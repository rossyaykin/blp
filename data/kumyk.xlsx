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МГУ\Орг\Шпокунас\Кумыки\"/>
    </mc:Choice>
  </mc:AlternateContent>
  <xr:revisionPtr revIDLastSave="0" documentId="13_ncr:1_{ED8C2F7F-9209-4714-9B5B-6901D76B5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зрослые" sheetId="1" r:id="rId1"/>
    <sheet name="Взрослые+идентичность" sheetId="2" r:id="rId2"/>
    <sheet name="Дети" sheetId="3" r:id="rId3"/>
    <sheet name="2-7" sheetId="4" r:id="rId4"/>
    <sheet name="8-12" sheetId="5" r:id="rId5"/>
    <sheet name="13-15" sheetId="6" r:id="rId6"/>
    <sheet name="16-30" sheetId="7" r:id="rId7"/>
    <sheet name="31-40" sheetId="8" r:id="rId8"/>
    <sheet name="41-55" sheetId="9" r:id="rId9"/>
    <sheet name="56+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8" i="5" l="1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D163" i="2" l="1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C163" i="2"/>
  <c r="BL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D148" i="2"/>
  <c r="C148" i="2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M76" i="9"/>
  <c r="L76" i="9"/>
  <c r="K76" i="9"/>
  <c r="J76" i="9"/>
  <c r="I76" i="9"/>
  <c r="I78" i="9" s="1"/>
  <c r="H76" i="9"/>
  <c r="G76" i="9"/>
  <c r="F76" i="9"/>
  <c r="E76" i="9"/>
  <c r="D76" i="9"/>
  <c r="C76" i="9"/>
  <c r="B76" i="9"/>
  <c r="A76" i="9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R76" i="8"/>
  <c r="Q76" i="8"/>
  <c r="P76" i="8"/>
  <c r="P78" i="8" s="1"/>
  <c r="O76" i="8"/>
  <c r="N76" i="8"/>
  <c r="N78" i="8" s="1"/>
  <c r="M76" i="8"/>
  <c r="L76" i="8"/>
  <c r="K76" i="8"/>
  <c r="J76" i="8"/>
  <c r="I76" i="8"/>
  <c r="H76" i="8"/>
  <c r="G76" i="8"/>
  <c r="F76" i="8"/>
  <c r="E76" i="8"/>
  <c r="D76" i="8"/>
  <c r="C76" i="8"/>
  <c r="B76" i="8"/>
  <c r="B78" i="8" s="1"/>
  <c r="A76" i="8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77" i="7"/>
  <c r="Q76" i="7"/>
  <c r="P76" i="7"/>
  <c r="P78" i="7" s="1"/>
  <c r="O76" i="7"/>
  <c r="N76" i="7"/>
  <c r="M76" i="7"/>
  <c r="L76" i="7"/>
  <c r="K76" i="7"/>
  <c r="J76" i="7"/>
  <c r="I76" i="7"/>
  <c r="H76" i="7"/>
  <c r="G76" i="7"/>
  <c r="F76" i="7"/>
  <c r="E76" i="7"/>
  <c r="D76" i="7"/>
  <c r="D78" i="7" s="1"/>
  <c r="C76" i="7"/>
  <c r="B76" i="7"/>
  <c r="A76" i="7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M76" i="6"/>
  <c r="M78" i="6" s="1"/>
  <c r="L76" i="6"/>
  <c r="L78" i="6" s="1"/>
  <c r="K76" i="6"/>
  <c r="J76" i="6"/>
  <c r="J78" i="6" s="1"/>
  <c r="I76" i="6"/>
  <c r="H76" i="6"/>
  <c r="H78" i="6" s="1"/>
  <c r="G76" i="6"/>
  <c r="F76" i="6"/>
  <c r="F78" i="6" s="1"/>
  <c r="E76" i="6"/>
  <c r="E78" i="6" s="1"/>
  <c r="D76" i="6"/>
  <c r="C76" i="6"/>
  <c r="C78" i="6" s="1"/>
  <c r="B76" i="6"/>
  <c r="B78" i="6" s="1"/>
  <c r="A76" i="6"/>
  <c r="A78" i="6" s="1"/>
  <c r="B81" i="5"/>
  <c r="B80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O76" i="4"/>
  <c r="N76" i="4"/>
  <c r="M76" i="4"/>
  <c r="L76" i="4"/>
  <c r="K76" i="4"/>
  <c r="J76" i="4"/>
  <c r="I76" i="4"/>
  <c r="I78" i="4" s="1"/>
  <c r="H76" i="4"/>
  <c r="H78" i="4" s="1"/>
  <c r="G76" i="4"/>
  <c r="G78" i="4" s="1"/>
  <c r="F76" i="4"/>
  <c r="E76" i="4"/>
  <c r="D76" i="4"/>
  <c r="C76" i="4"/>
  <c r="B76" i="4"/>
  <c r="A76" i="4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L76" i="1"/>
  <c r="BK76" i="1"/>
  <c r="BK78" i="1" s="1"/>
  <c r="BJ76" i="1"/>
  <c r="BJ78" i="1" s="1"/>
  <c r="BI76" i="1"/>
  <c r="BI78" i="1" s="1"/>
  <c r="BH76" i="1"/>
  <c r="BH78" i="1" s="1"/>
  <c r="BG76" i="1"/>
  <c r="BF76" i="1"/>
  <c r="BE76" i="1"/>
  <c r="BE78" i="1" s="1"/>
  <c r="BD76" i="1"/>
  <c r="BD78" i="1" s="1"/>
  <c r="BC76" i="1"/>
  <c r="BC78" i="1" s="1"/>
  <c r="BB76" i="1"/>
  <c r="BB78" i="1" s="1"/>
  <c r="BA76" i="1"/>
  <c r="AZ76" i="1"/>
  <c r="AZ78" i="1" s="1"/>
  <c r="AY76" i="1"/>
  <c r="AY78" i="1" s="1"/>
  <c r="AX76" i="1"/>
  <c r="AW76" i="1"/>
  <c r="AW78" i="1" s="1"/>
  <c r="AV76" i="1"/>
  <c r="AV78" i="1" s="1"/>
  <c r="AU76" i="1"/>
  <c r="AT76" i="1"/>
  <c r="AS76" i="1"/>
  <c r="AS78" i="1" s="1"/>
  <c r="AR76" i="1"/>
  <c r="AR78" i="1" s="1"/>
  <c r="AQ76" i="1"/>
  <c r="AQ78" i="1" s="1"/>
  <c r="AP76" i="1"/>
  <c r="AP78" i="1" s="1"/>
  <c r="AO76" i="1"/>
  <c r="AN76" i="1"/>
  <c r="AN78" i="1" s="1"/>
  <c r="AM76" i="1"/>
  <c r="AM78" i="1" s="1"/>
  <c r="AL76" i="1"/>
  <c r="AK76" i="1"/>
  <c r="AK78" i="1" s="1"/>
  <c r="AJ76" i="1"/>
  <c r="AJ78" i="1" s="1"/>
  <c r="AI76" i="1"/>
  <c r="AH76" i="1"/>
  <c r="AG76" i="1"/>
  <c r="AG78" i="1" s="1"/>
  <c r="AF76" i="1"/>
  <c r="AF78" i="1" s="1"/>
  <c r="AE76" i="1"/>
  <c r="AE78" i="1" s="1"/>
  <c r="AD76" i="1"/>
  <c r="AD78" i="1" s="1"/>
  <c r="AC76" i="1"/>
  <c r="AB76" i="1"/>
  <c r="AB78" i="1" s="1"/>
  <c r="AA76" i="1"/>
  <c r="AA78" i="1" s="1"/>
  <c r="Z76" i="1"/>
  <c r="Y76" i="1"/>
  <c r="Y78" i="1" s="1"/>
  <c r="X76" i="1"/>
  <c r="X78" i="1" s="1"/>
  <c r="W76" i="1"/>
  <c r="V76" i="1"/>
  <c r="U76" i="1"/>
  <c r="U78" i="1" s="1"/>
  <c r="T76" i="1"/>
  <c r="T78" i="1" s="1"/>
  <c r="S76" i="1"/>
  <c r="S78" i="1" s="1"/>
  <c r="R76" i="1"/>
  <c r="R78" i="1" s="1"/>
  <c r="Q76" i="1"/>
  <c r="P76" i="1"/>
  <c r="P78" i="1" s="1"/>
  <c r="O76" i="1"/>
  <c r="O78" i="1" s="1"/>
  <c r="N76" i="1"/>
  <c r="M76" i="1"/>
  <c r="M78" i="1" s="1"/>
  <c r="L76" i="1"/>
  <c r="L78" i="1" s="1"/>
  <c r="K76" i="1"/>
  <c r="J76" i="1"/>
  <c r="I76" i="1"/>
  <c r="I78" i="1" s="1"/>
  <c r="H76" i="1"/>
  <c r="H78" i="1" s="1"/>
  <c r="G76" i="1"/>
  <c r="G78" i="1" s="1"/>
  <c r="F76" i="1"/>
  <c r="F78" i="1" s="1"/>
  <c r="E76" i="1"/>
  <c r="D76" i="1"/>
  <c r="D78" i="1" s="1"/>
  <c r="C76" i="1"/>
  <c r="C78" i="1" s="1"/>
  <c r="J78" i="4" l="1"/>
  <c r="L78" i="4"/>
  <c r="D78" i="4"/>
  <c r="E78" i="4"/>
  <c r="F78" i="4"/>
  <c r="K78" i="4"/>
  <c r="M78" i="4"/>
  <c r="B78" i="4"/>
  <c r="N78" i="4"/>
  <c r="C78" i="4"/>
  <c r="O78" i="4"/>
  <c r="G78" i="6"/>
  <c r="K78" i="6"/>
  <c r="I78" i="6"/>
  <c r="D78" i="6"/>
  <c r="B78" i="7"/>
  <c r="N78" i="7"/>
  <c r="G78" i="9"/>
  <c r="C83" i="3"/>
  <c r="BL78" i="1"/>
  <c r="E78" i="1"/>
  <c r="C81" i="1" s="1"/>
  <c r="G78" i="2"/>
  <c r="S78" i="2"/>
  <c r="AE78" i="2"/>
  <c r="AQ78" i="2"/>
  <c r="BC78" i="2"/>
  <c r="C82" i="3"/>
  <c r="E78" i="10"/>
  <c r="K78" i="8"/>
  <c r="K78" i="1"/>
  <c r="W78" i="1"/>
  <c r="AI78" i="1"/>
  <c r="AU78" i="1"/>
  <c r="BG78" i="1"/>
  <c r="J78" i="1"/>
  <c r="V78" i="1"/>
  <c r="AH78" i="1"/>
  <c r="AT78" i="1"/>
  <c r="BF78" i="1"/>
  <c r="H78" i="2"/>
  <c r="BD78" i="2"/>
  <c r="N78" i="1"/>
  <c r="AL78" i="1"/>
  <c r="AX78" i="1"/>
  <c r="L78" i="8"/>
  <c r="Z78" i="1"/>
  <c r="Q78" i="1"/>
  <c r="AC78" i="1"/>
  <c r="AO78" i="1"/>
  <c r="BA78" i="1"/>
  <c r="C83" i="1"/>
  <c r="A78" i="4"/>
  <c r="H78" i="10"/>
  <c r="B78" i="10"/>
  <c r="G78" i="10"/>
  <c r="L78" i="10"/>
  <c r="N78" i="10"/>
  <c r="F78" i="10"/>
  <c r="K78" i="10"/>
  <c r="J78" i="10"/>
  <c r="I78" i="10"/>
  <c r="A78" i="10"/>
  <c r="M78" i="10"/>
  <c r="C78" i="10"/>
  <c r="D78" i="10"/>
  <c r="A78" i="9"/>
  <c r="M78" i="9"/>
  <c r="E78" i="9"/>
  <c r="J78" i="9"/>
  <c r="C78" i="9"/>
  <c r="F78" i="9"/>
  <c r="K78" i="9"/>
  <c r="D78" i="9"/>
  <c r="H78" i="9"/>
  <c r="L78" i="9"/>
  <c r="B78" i="9"/>
  <c r="E78" i="8"/>
  <c r="Q78" i="8"/>
  <c r="A78" i="8"/>
  <c r="D78" i="8"/>
  <c r="H78" i="8"/>
  <c r="C78" i="8"/>
  <c r="O78" i="8"/>
  <c r="J78" i="8"/>
  <c r="M78" i="8"/>
  <c r="R78" i="8"/>
  <c r="F78" i="8"/>
  <c r="I78" i="8"/>
  <c r="G78" i="8"/>
  <c r="C78" i="7"/>
  <c r="O78" i="7"/>
  <c r="J78" i="7"/>
  <c r="E78" i="7"/>
  <c r="F78" i="7"/>
  <c r="G78" i="7"/>
  <c r="Q78" i="7"/>
  <c r="H78" i="7"/>
  <c r="I78" i="7"/>
  <c r="K78" i="7"/>
  <c r="L78" i="7"/>
  <c r="A78" i="7"/>
  <c r="M78" i="7"/>
  <c r="E78" i="2"/>
  <c r="Q78" i="2"/>
  <c r="AC78" i="2"/>
  <c r="AO78" i="2"/>
  <c r="BA78" i="2"/>
  <c r="J78" i="2"/>
  <c r="V78" i="2"/>
  <c r="AH78" i="2"/>
  <c r="AT78" i="2"/>
  <c r="BF78" i="2"/>
  <c r="T78" i="2"/>
  <c r="AR78" i="2"/>
  <c r="N78" i="2"/>
  <c r="AL78" i="2"/>
  <c r="AX78" i="2"/>
  <c r="BJ78" i="2"/>
  <c r="Z78" i="2"/>
  <c r="M78" i="2"/>
  <c r="Y78" i="2"/>
  <c r="AK78" i="2"/>
  <c r="AW78" i="2"/>
  <c r="BI78" i="2"/>
  <c r="C78" i="2"/>
  <c r="O78" i="2"/>
  <c r="AA78" i="2"/>
  <c r="AM78" i="2"/>
  <c r="AY78" i="2"/>
  <c r="BK78" i="2"/>
  <c r="D78" i="2"/>
  <c r="P78" i="2"/>
  <c r="AB78" i="2"/>
  <c r="AN78" i="2"/>
  <c r="AZ78" i="2"/>
  <c r="BL78" i="2"/>
  <c r="L78" i="2"/>
  <c r="X78" i="2"/>
  <c r="AJ78" i="2"/>
  <c r="AV78" i="2"/>
  <c r="BH78" i="2"/>
  <c r="K78" i="2"/>
  <c r="W78" i="2"/>
  <c r="AI78" i="2"/>
  <c r="AU78" i="2"/>
  <c r="BG78" i="2"/>
  <c r="F78" i="2"/>
  <c r="R78" i="2"/>
  <c r="AD78" i="2"/>
  <c r="AP78" i="2"/>
  <c r="BB78" i="2"/>
  <c r="I78" i="2"/>
  <c r="U78" i="2"/>
  <c r="AG78" i="2"/>
  <c r="AS78" i="2"/>
  <c r="BE78" i="2"/>
  <c r="AF78" i="2"/>
  <c r="C80" i="1"/>
  <c r="C82" i="1"/>
  <c r="C78" i="3"/>
  <c r="B81" i="4" l="1"/>
  <c r="B80" i="4"/>
  <c r="B82" i="6"/>
  <c r="B81" i="6"/>
  <c r="B80" i="10"/>
  <c r="B81" i="10"/>
  <c r="B80" i="9"/>
  <c r="B81" i="9"/>
  <c r="B81" i="8"/>
  <c r="B80" i="8"/>
  <c r="B80" i="7"/>
  <c r="B81" i="7"/>
  <c r="C81" i="3"/>
  <c r="C80" i="3"/>
</calcChain>
</file>

<file path=xl/sharedStrings.xml><?xml version="1.0" encoding="utf-8"?>
<sst xmlns="http://schemas.openxmlformats.org/spreadsheetml/2006/main" count="1362" uniqueCount="211">
  <si>
    <t>Как считать</t>
  </si>
  <si>
    <t>Анкета</t>
  </si>
  <si>
    <t>всего для каждого языка max 218 баллов</t>
  </si>
  <si>
    <t>I. Общие сведения</t>
  </si>
  <si>
    <t>Имя</t>
  </si>
  <si>
    <t>Возраст (16+ лет)</t>
  </si>
  <si>
    <t xml:space="preserve">Пол </t>
  </si>
  <si>
    <t>ж</t>
  </si>
  <si>
    <t>м</t>
  </si>
  <si>
    <t>Текущее место жительства</t>
  </si>
  <si>
    <t>Предгорное</t>
  </si>
  <si>
    <t>Нальчик</t>
  </si>
  <si>
    <t>Калининский</t>
  </si>
  <si>
    <t>Моздок</t>
  </si>
  <si>
    <t>Кизляр</t>
  </si>
  <si>
    <t>Образование</t>
  </si>
  <si>
    <t>среднее</t>
  </si>
  <si>
    <t>неоконченное высшее</t>
  </si>
  <si>
    <t>высшее</t>
  </si>
  <si>
    <t>неоконч высшее</t>
  </si>
  <si>
    <t>неполное среднее</t>
  </si>
  <si>
    <t>для каждого языка диапазон от 0 до 20
k = 0.454, max 54.5</t>
  </si>
  <si>
    <t>II. Языковая история</t>
  </si>
  <si>
    <t>обратный порядок: 0 = 20 баллов</t>
  </si>
  <si>
    <t>1. В каком возрасте вы начали говорить</t>
  </si>
  <si>
    <t>20+ приравнивается к 0</t>
  </si>
  <si>
    <t>на кумыкском языке</t>
  </si>
  <si>
    <t>на русском языке</t>
  </si>
  <si>
    <t>2. В каком возрасте вы стали уверенно говорить</t>
  </si>
  <si>
    <t>прямой порядок: 0 = 0 баллов</t>
  </si>
  <si>
    <t>3. Сколько лет вашей учебы (в школе + в вузе) прошло</t>
  </si>
  <si>
    <t>4. Сколько лет вы провели в регионе, где говорят</t>
  </si>
  <si>
    <t>20+ приравнивается к 20</t>
  </si>
  <si>
    <t>5. Сколько лет вашей жизни прошло в семье, где говорят</t>
  </si>
  <si>
    <t>6. Сколько лет вы провели в рабочей среде, где говорят</t>
  </si>
  <si>
    <t>для каждого языка диапазон от 0 до 10
проценты делятся на 10, k = 1.09, max 54.5</t>
  </si>
  <si>
    <t>III. Использование языков</t>
  </si>
  <si>
    <t>7. Какой процент времени в неделю вы обычно говорите с друзьями</t>
  </si>
  <si>
    <t>на других языках</t>
  </si>
  <si>
    <t>8. Какой процент времени в неделю вы обычно говорите в семье</t>
  </si>
  <si>
    <t>9. Какой процент времени в неделю вы обычно говорите на работе</t>
  </si>
  <si>
    <t>10. Какой процент времени вы думаете</t>
  </si>
  <si>
    <t>11. Какой процент времени вы считаете</t>
  </si>
  <si>
    <t>для каждого языка диапазон от 0 до 6
k = 2.27, max 54.5</t>
  </si>
  <si>
    <t>IV. Владение языками</t>
  </si>
  <si>
    <t>12. Насколько свободно вы говорите</t>
  </si>
  <si>
    <t>13. Насколько хорошо вы понимаете речь</t>
  </si>
  <si>
    <t>14. Насколько хорошо вы читаете</t>
  </si>
  <si>
    <t>15. Насколько хорошо вы пишете</t>
  </si>
  <si>
    <t>V. Отношение к языкам</t>
  </si>
  <si>
    <t>16. Для меня естественно говорить</t>
  </si>
  <si>
    <t>17. Я ощущаю себя частью</t>
  </si>
  <si>
    <t>кумыкской культуры</t>
  </si>
  <si>
    <t>русской культуры</t>
  </si>
  <si>
    <t>18. Для меня важно, что я использую этот язык как родной</t>
  </si>
  <si>
    <t>кумыкский язык</t>
  </si>
  <si>
    <t>русский язык</t>
  </si>
  <si>
    <t>19. Я хочу, чтобы окружающие думали, что этот язык для меня родной</t>
  </si>
  <si>
    <t>Подсчет для кумыкского языка</t>
  </si>
  <si>
    <t>Подсчет для русского языка</t>
  </si>
  <si>
    <t>Итоговый коэффициент</t>
  </si>
  <si>
    <t>медиана</t>
  </si>
  <si>
    <t>среднее кумыкское</t>
  </si>
  <si>
    <t>среднее русское</t>
  </si>
  <si>
    <t>Анкета кумыкско-русского билингва</t>
  </si>
  <si>
    <t>Анкета Идентичность</t>
  </si>
  <si>
    <t>I. Самосознание</t>
  </si>
  <si>
    <t>1. К какой этнической группе Вы себя относите?</t>
  </si>
  <si>
    <t>тюркский</t>
  </si>
  <si>
    <t>терские кумыки</t>
  </si>
  <si>
    <t>кумыки</t>
  </si>
  <si>
    <t>тюркязычный</t>
  </si>
  <si>
    <t>2. Укажите Вашу национальность</t>
  </si>
  <si>
    <t>кумычка</t>
  </si>
  <si>
    <t>кумык</t>
  </si>
  <si>
    <t>кумычка / чеченка</t>
  </si>
  <si>
    <t>3. Какова Ваша профессия?</t>
  </si>
  <si>
    <t>медсестра</t>
  </si>
  <si>
    <t>врач</t>
  </si>
  <si>
    <t>спасатель</t>
  </si>
  <si>
    <t>швея, почтальон</t>
  </si>
  <si>
    <t>каменщик</t>
  </si>
  <si>
    <t>военный</t>
  </si>
  <si>
    <t>кондуктор</t>
  </si>
  <si>
    <t>педагог</t>
  </si>
  <si>
    <t>юрист</t>
  </si>
  <si>
    <t>инженер-строитель</t>
  </si>
  <si>
    <t>бухгалтер</t>
  </si>
  <si>
    <t>учитель</t>
  </si>
  <si>
    <t>экономист</t>
  </si>
  <si>
    <t>разнорабочий</t>
  </si>
  <si>
    <t>повар</t>
  </si>
  <si>
    <t>методист</t>
  </si>
  <si>
    <t>газоэлектросварщик</t>
  </si>
  <si>
    <t>МЧС</t>
  </si>
  <si>
    <t>менеджер</t>
  </si>
  <si>
    <t>электрик</t>
  </si>
  <si>
    <t>швея</t>
  </si>
  <si>
    <t>пожарный</t>
  </si>
  <si>
    <t>страший прапорщик</t>
  </si>
  <si>
    <t>воспитательница</t>
  </si>
  <si>
    <t>лаборант</t>
  </si>
  <si>
    <t>медбрат</t>
  </si>
  <si>
    <t>нефтяник</t>
  </si>
  <si>
    <t>библиотекарь</t>
  </si>
  <si>
    <t>4. Укажите место Вашего рождения</t>
  </si>
  <si>
    <t>Северная Осетия</t>
  </si>
  <si>
    <t>Малгобек</t>
  </si>
  <si>
    <t>Виноградное</t>
  </si>
  <si>
    <t>Грозный</t>
  </si>
  <si>
    <t>Ингушетия</t>
  </si>
  <si>
    <t>5. Укажите этническую принадлежность Ваших родителей.</t>
  </si>
  <si>
    <t>Мать</t>
  </si>
  <si>
    <t>тюркская</t>
  </si>
  <si>
    <t>тюрк</t>
  </si>
  <si>
    <t>кабардинка</t>
  </si>
  <si>
    <t xml:space="preserve">Отец </t>
  </si>
  <si>
    <t>чеченец</t>
  </si>
  <si>
    <t>балкарец</t>
  </si>
  <si>
    <t>6. Что значит для Вас быть кумыком? Выберите самый важный для Вас критерий или укажите свой.</t>
  </si>
  <si>
    <t>считать себя кумыком</t>
  </si>
  <si>
    <t>хорошо владеть кумыкским языком</t>
  </si>
  <si>
    <t>хорошо знать кумыкскую культуру и историю</t>
  </si>
  <si>
    <t>происходить из кумыкской семьи</t>
  </si>
  <si>
    <t>быть уроженцем кумыкского населенного пункта</t>
  </si>
  <si>
    <t>исповедовать ислам</t>
  </si>
  <si>
    <t>другое</t>
  </si>
  <si>
    <t>7. Какова Ваша религиозная принадлежность? Выберите один вариант или укажите свой.</t>
  </si>
  <si>
    <t>ислам (суннизм)</t>
  </si>
  <si>
    <t>иное течение в исламе</t>
  </si>
  <si>
    <t>православие</t>
  </si>
  <si>
    <t>атеизм</t>
  </si>
  <si>
    <t xml:space="preserve">иной вариант </t>
  </si>
  <si>
    <t>II. Этнокультурное образование</t>
  </si>
  <si>
    <t>8. Изучали ли Вы историю и культуру своего народа в школе, средних и высших учебных заведениях? (да / нет)</t>
  </si>
  <si>
    <t>9. Укажите точные или приблизительные названия учебных дисциплин.</t>
  </si>
  <si>
    <t>10. Изучали ли Вы кумыкский язык в школе как отдельный предмет? (да / нет)</t>
  </si>
  <si>
    <t>11. Изучали ли Вы кумыкский язык как отдельный предмет в среднем или высшем учебном заведении? (да / нет)</t>
  </si>
  <si>
    <t>III. Культурные практики</t>
  </si>
  <si>
    <t>12. Оцените свою заинтересованность в кумыкской культуре и истории.</t>
  </si>
  <si>
    <t>13. Оцените свои знания в сфере кумыкской культуры и истории.</t>
  </si>
  <si>
    <t>14. Укажите свой главный источник знаний о кумыкской культуре.</t>
  </si>
  <si>
    <t>семейные традиции</t>
  </si>
  <si>
    <t xml:space="preserve">местное окружение, соседи друзья </t>
  </si>
  <si>
    <t>школьное образование</t>
  </si>
  <si>
    <t xml:space="preserve">самообразование </t>
  </si>
  <si>
    <t>среднее и высшее образование</t>
  </si>
  <si>
    <t xml:space="preserve">профессиональная деятельность </t>
  </si>
  <si>
    <t xml:space="preserve">СМИ </t>
  </si>
  <si>
    <t>художественная литература</t>
  </si>
  <si>
    <t>15. На каких языках Вы читаете и смотрите СМИ (газеты, журналы, Интернет, телевидение, радио)?</t>
  </si>
  <si>
    <t>на кумыкском</t>
  </si>
  <si>
    <t xml:space="preserve">на русском </t>
  </si>
  <si>
    <t>на осетинском</t>
  </si>
  <si>
    <t>на другом языке народов Кавказа</t>
  </si>
  <si>
    <t>16. На каких языках Вы читаете художественную литературу ?</t>
  </si>
  <si>
    <t xml:space="preserve">на кумыкском </t>
  </si>
  <si>
    <t xml:space="preserve">на осетинском </t>
  </si>
  <si>
    <t xml:space="preserve">на другом языке народов Кавказа </t>
  </si>
  <si>
    <t>17. Посещаете ли Вы национальные кумыкские праздники. Укажите степень своей вовлеченности в праздничную культуру.</t>
  </si>
  <si>
    <t>18. Оцените свое знание кумыкского фольклора (эпос, песни, легенды, сказки и т.д.)</t>
  </si>
  <si>
    <t>IV. Межэтническое взаимодействие</t>
  </si>
  <si>
    <t>19. С представителями какой этнической группы Вы взаимодействуете в публичной сфере и профессиональной деятельности</t>
  </si>
  <si>
    <t xml:space="preserve">кумыки </t>
  </si>
  <si>
    <t xml:space="preserve">осетины </t>
  </si>
  <si>
    <t xml:space="preserve">русские </t>
  </si>
  <si>
    <t xml:space="preserve">ингуши </t>
  </si>
  <si>
    <t>чеченцы</t>
  </si>
  <si>
    <t xml:space="preserve">аварцы </t>
  </si>
  <si>
    <t>даргинцы</t>
  </si>
  <si>
    <t xml:space="preserve">лакцы </t>
  </si>
  <si>
    <t>азербайджанцы</t>
  </si>
  <si>
    <t xml:space="preserve">ногайцы </t>
  </si>
  <si>
    <t>цахуры</t>
  </si>
  <si>
    <t>лезгины</t>
  </si>
  <si>
    <t xml:space="preserve">другой народ </t>
  </si>
  <si>
    <t>20. С представителями какой этнической групп Вы взаимодействуете в семейной/частной жизни</t>
  </si>
  <si>
    <t>21. Насколько окружающие Вас кумыки заинтересованы в кумыкской культуре?</t>
  </si>
  <si>
    <t>22. Насколько Ваше некумыкское окружение заинтересовано в кумыкской культуре?</t>
  </si>
  <si>
    <t>23. Важно ли Вам, чтобы Ваши дети и/или молодое поколение кумыков сохраняли язык, идентичность и знания о кумыкской культуре?</t>
  </si>
  <si>
    <t>Возраст (до 16 лет)</t>
  </si>
  <si>
    <t>Какими языками владеет</t>
  </si>
  <si>
    <t>мама ребенка</t>
  </si>
  <si>
    <t>кумыкский, русский</t>
  </si>
  <si>
    <t>русский, кумыкский</t>
  </si>
  <si>
    <t>папа ребенка</t>
  </si>
  <si>
    <t>для каждого языка диапазон от 0 до 15
k = 0.61, max 54.5</t>
  </si>
  <si>
    <t>обратный порядок: 0 = 15 баллов</t>
  </si>
  <si>
    <t>1. В каком возрасте ребенок начал говорить</t>
  </si>
  <si>
    <t>2. В каком возрасте ребенок стал уверенно говорить</t>
  </si>
  <si>
    <t>3. Сколько лет ребенок провел в регионе, где говорят</t>
  </si>
  <si>
    <t>4. Сколько лет в яслях (если он туда ходил) с ребенком разговаривали</t>
  </si>
  <si>
    <t>5. Сколько лет в детском саду (если он туда ходил) с ребенком разговаривали</t>
  </si>
  <si>
    <t>6. Сколько лет обучения в школе (если он туда ходил) с ребенком разговаривали</t>
  </si>
  <si>
    <t>для каждого языка диапазон от 0 до 10
проценты делятся на 10, k = 1.36, max 54.5</t>
  </si>
  <si>
    <t>7. Какой процент времени в неделю ребенок обычно говорит с родителями</t>
  </si>
  <si>
    <t>8. Какой процент времени в неделю ребенок обычно говорит с братьями / сестрами</t>
  </si>
  <si>
    <t>9. Какой процент времени в неделю ребенок обычно говорит с бабушками / дедушками</t>
  </si>
  <si>
    <t>10. Какой процент времени в неделю ребенок обычно говорит с друзьями</t>
  </si>
  <si>
    <t>11. Насколько свободно ребенок говорит</t>
  </si>
  <si>
    <t>12. Насколько хорошо ребенок понимает речь</t>
  </si>
  <si>
    <t>13. Насколько хорошо ребенок читает</t>
  </si>
  <si>
    <t>14. Насколько хорошо ребенок пишет</t>
  </si>
  <si>
    <t>для каждого языка диапазон от 0 до 6
k = 1.8, max 54.5</t>
  </si>
  <si>
    <t>V. Особые случаи</t>
  </si>
  <si>
    <t>15. Сможет ли ребенок поддержать разговор при встрече с незнакомым человеком</t>
  </si>
  <si>
    <t>16. Сможет ли ребенок поддержать разговор по телефону с незнакомым человеком</t>
  </si>
  <si>
    <t>17. На каком языке ребенок предпочитает говорить, когда он очень устал</t>
  </si>
  <si>
    <t>18. На каком языке ребенок предпочитает говорить, когда он очень недоволен</t>
  </si>
  <si>
    <t>19. На каком языке ребенок предпочитает говорить, когда он очень доволен</t>
  </si>
  <si>
    <t>(сумма)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</si>
</sst>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1155CC"/>
      <name val="&quot;Google Sans Mono&quot;"/>
    </font>
    <font>
      <sz val="10"/>
      <color rgb="FFFF0000"/>
      <name val="Arial"/>
      <scheme val="minor"/>
    </font>
    <font>
      <b/>
      <sz val="14"/>
      <color theme="1"/>
      <name val="Arial"/>
      <scheme val="minor"/>
    </font>
    <font>
      <sz val="10"/>
      <color rgb="FF1155CC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Fill="1"/>
    <xf numFmtId="0" fontId="0" fillId="0" borderId="0" xfId="0" applyFill="1"/>
    <xf numFmtId="164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028"/>
  <sheetViews>
    <sheetView tabSelected="1" zoomScaleNormal="100" workbookViewId="0">
      <selection activeCell="A7" sqref="A7"/>
    </sheetView>
  </sheetViews>
  <sheetFormatPr defaultColWidth="12.5546875" defaultRowHeight="15.75" customHeight="1"/>
  <cols>
    <col min="1" max="1" width="37" customWidth="1"/>
    <col min="2" max="2" width="58.88671875" customWidth="1"/>
  </cols>
  <sheetData>
    <row r="1" spans="1:64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>
      <c r="A2" s="3" t="s">
        <v>2</v>
      </c>
      <c r="B2" s="4" t="s">
        <v>3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  <c r="AI2" s="3">
        <v>33</v>
      </c>
      <c r="AJ2" s="3">
        <v>34</v>
      </c>
      <c r="AK2" s="3">
        <v>35</v>
      </c>
      <c r="AL2" s="3">
        <v>36</v>
      </c>
      <c r="AM2" s="3">
        <v>37</v>
      </c>
      <c r="AN2" s="3">
        <v>38</v>
      </c>
      <c r="AO2" s="3">
        <v>39</v>
      </c>
      <c r="AP2" s="3">
        <v>40</v>
      </c>
      <c r="AQ2" s="3">
        <v>41</v>
      </c>
      <c r="AR2" s="3">
        <v>42</v>
      </c>
      <c r="AS2" s="3">
        <v>43</v>
      </c>
      <c r="AT2" s="3">
        <v>44</v>
      </c>
      <c r="AU2" s="3">
        <v>45</v>
      </c>
      <c r="AV2" s="3">
        <v>46</v>
      </c>
      <c r="AW2" s="3">
        <v>47</v>
      </c>
      <c r="AX2" s="3">
        <v>48</v>
      </c>
      <c r="AY2" s="3">
        <v>49</v>
      </c>
      <c r="AZ2" s="3">
        <v>50</v>
      </c>
      <c r="BA2" s="3">
        <v>51</v>
      </c>
      <c r="BB2" s="3">
        <v>52</v>
      </c>
      <c r="BC2" s="3">
        <v>53</v>
      </c>
      <c r="BD2" s="3">
        <v>54</v>
      </c>
      <c r="BE2" s="3">
        <v>55</v>
      </c>
      <c r="BF2" s="3">
        <v>56</v>
      </c>
      <c r="BG2" s="3">
        <v>57</v>
      </c>
      <c r="BH2" s="3">
        <v>58</v>
      </c>
      <c r="BI2" s="3">
        <v>59</v>
      </c>
      <c r="BJ2" s="3">
        <v>60</v>
      </c>
      <c r="BK2" s="3">
        <v>61</v>
      </c>
      <c r="BL2" s="3">
        <v>62</v>
      </c>
    </row>
    <row r="3" spans="1:64">
      <c r="A3" s="3"/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spans="1:64">
      <c r="A4" s="3"/>
      <c r="B4" s="3" t="s">
        <v>5</v>
      </c>
      <c r="C4" s="3">
        <v>18</v>
      </c>
      <c r="D4" s="3">
        <v>21</v>
      </c>
      <c r="E4" s="3">
        <v>23</v>
      </c>
      <c r="F4" s="3">
        <v>24</v>
      </c>
      <c r="G4" s="3">
        <v>31</v>
      </c>
      <c r="H4" s="3">
        <v>35</v>
      </c>
      <c r="I4" s="3">
        <v>50</v>
      </c>
      <c r="J4" s="3">
        <v>51</v>
      </c>
      <c r="K4" s="3">
        <v>54</v>
      </c>
      <c r="L4" s="3">
        <v>57</v>
      </c>
      <c r="M4" s="3">
        <v>58</v>
      </c>
      <c r="N4" s="3">
        <v>60</v>
      </c>
      <c r="O4" s="3">
        <v>85</v>
      </c>
      <c r="P4" s="3">
        <v>53</v>
      </c>
      <c r="Q4" s="3">
        <v>41</v>
      </c>
      <c r="R4" s="3">
        <v>47</v>
      </c>
      <c r="S4" s="3">
        <v>44</v>
      </c>
      <c r="T4" s="3">
        <v>64</v>
      </c>
      <c r="U4" s="3">
        <v>41</v>
      </c>
      <c r="V4" s="3">
        <v>36</v>
      </c>
      <c r="W4" s="3">
        <v>58</v>
      </c>
      <c r="X4" s="3">
        <v>35</v>
      </c>
      <c r="Y4" s="3">
        <v>39</v>
      </c>
      <c r="Z4" s="3">
        <v>16</v>
      </c>
      <c r="AA4" s="3">
        <v>16</v>
      </c>
      <c r="AB4" s="3">
        <v>18</v>
      </c>
      <c r="AC4" s="3">
        <v>39</v>
      </c>
      <c r="AD4" s="3">
        <v>46</v>
      </c>
      <c r="AE4" s="3">
        <v>39</v>
      </c>
      <c r="AF4" s="3">
        <v>16</v>
      </c>
      <c r="AG4" s="3">
        <v>19</v>
      </c>
      <c r="AH4" s="3">
        <v>16</v>
      </c>
      <c r="AI4" s="3">
        <v>35</v>
      </c>
      <c r="AJ4" s="3">
        <v>37</v>
      </c>
      <c r="AK4" s="3">
        <v>28</v>
      </c>
      <c r="AL4" s="3">
        <v>60</v>
      </c>
      <c r="AM4" s="3">
        <v>31</v>
      </c>
      <c r="AN4" s="3">
        <v>31</v>
      </c>
      <c r="AO4" s="3">
        <v>31</v>
      </c>
      <c r="AP4" s="3">
        <v>40</v>
      </c>
      <c r="AQ4" s="3">
        <v>36</v>
      </c>
      <c r="AR4" s="3">
        <v>68</v>
      </c>
      <c r="AS4" s="3">
        <v>69</v>
      </c>
      <c r="AT4" s="3">
        <v>41</v>
      </c>
      <c r="AU4" s="3">
        <v>41</v>
      </c>
      <c r="AV4" s="3">
        <v>39</v>
      </c>
      <c r="AW4" s="3">
        <v>40</v>
      </c>
      <c r="AX4" s="3">
        <v>46</v>
      </c>
      <c r="AY4" s="3">
        <v>18</v>
      </c>
      <c r="AZ4" s="3">
        <v>20</v>
      </c>
      <c r="BA4" s="3">
        <v>39</v>
      </c>
      <c r="BB4" s="3">
        <v>31</v>
      </c>
      <c r="BC4" s="3">
        <v>81</v>
      </c>
      <c r="BD4" s="3">
        <v>61</v>
      </c>
      <c r="BE4" s="3">
        <v>25</v>
      </c>
      <c r="BF4" s="3">
        <v>73</v>
      </c>
      <c r="BG4" s="3">
        <v>28</v>
      </c>
      <c r="BH4" s="3">
        <v>55</v>
      </c>
      <c r="BI4" s="3">
        <v>64</v>
      </c>
      <c r="BJ4" s="3">
        <v>67</v>
      </c>
      <c r="BK4" s="3">
        <v>28</v>
      </c>
      <c r="BL4" s="3">
        <v>24</v>
      </c>
    </row>
    <row r="5" spans="1:64">
      <c r="A5" s="3"/>
      <c r="B5" s="3" t="s">
        <v>6</v>
      </c>
      <c r="C5" s="3" t="s">
        <v>7</v>
      </c>
      <c r="D5" s="3" t="s">
        <v>8</v>
      </c>
      <c r="E5" s="3" t="s">
        <v>8</v>
      </c>
      <c r="F5" s="3" t="s">
        <v>7</v>
      </c>
      <c r="G5" s="3" t="s">
        <v>7</v>
      </c>
      <c r="H5" s="3" t="s">
        <v>8</v>
      </c>
      <c r="I5" s="3" t="s">
        <v>7</v>
      </c>
      <c r="J5" s="3" t="s">
        <v>7</v>
      </c>
      <c r="K5" s="3" t="s">
        <v>8</v>
      </c>
      <c r="L5" s="3" t="s">
        <v>7</v>
      </c>
      <c r="M5" s="3" t="s">
        <v>8</v>
      </c>
      <c r="N5" s="3" t="s">
        <v>8</v>
      </c>
      <c r="O5" s="3" t="s">
        <v>8</v>
      </c>
      <c r="P5" s="3" t="s">
        <v>7</v>
      </c>
      <c r="Q5" s="3" t="s">
        <v>8</v>
      </c>
      <c r="R5" s="3" t="s">
        <v>8</v>
      </c>
      <c r="S5" s="3" t="s">
        <v>7</v>
      </c>
      <c r="T5" s="3" t="s">
        <v>7</v>
      </c>
      <c r="U5" s="3" t="s">
        <v>8</v>
      </c>
      <c r="V5" s="3" t="s">
        <v>7</v>
      </c>
      <c r="W5" s="3" t="s">
        <v>7</v>
      </c>
      <c r="X5" s="3" t="s">
        <v>7</v>
      </c>
      <c r="Y5" s="3" t="s">
        <v>7</v>
      </c>
      <c r="Z5" s="3" t="s">
        <v>8</v>
      </c>
      <c r="AA5" s="3" t="s">
        <v>7</v>
      </c>
      <c r="AB5" s="3" t="s">
        <v>7</v>
      </c>
      <c r="AC5" s="3" t="s">
        <v>7</v>
      </c>
      <c r="AD5" s="3" t="s">
        <v>8</v>
      </c>
      <c r="AE5" s="3" t="s">
        <v>7</v>
      </c>
      <c r="AF5" s="3" t="s">
        <v>8</v>
      </c>
      <c r="AG5" s="3" t="s">
        <v>8</v>
      </c>
      <c r="AH5" s="3" t="s">
        <v>8</v>
      </c>
      <c r="AI5" s="3" t="s">
        <v>7</v>
      </c>
      <c r="AJ5" s="3" t="s">
        <v>7</v>
      </c>
      <c r="AK5" s="3" t="s">
        <v>7</v>
      </c>
      <c r="AL5" s="3" t="s">
        <v>7</v>
      </c>
      <c r="AM5" s="3" t="s">
        <v>8</v>
      </c>
      <c r="AN5" s="3" t="s">
        <v>8</v>
      </c>
      <c r="AO5" s="3" t="s">
        <v>8</v>
      </c>
      <c r="AP5" s="3" t="s">
        <v>8</v>
      </c>
      <c r="AQ5" s="3" t="s">
        <v>7</v>
      </c>
      <c r="AR5" s="3" t="s">
        <v>7</v>
      </c>
      <c r="AS5" s="3" t="s">
        <v>8</v>
      </c>
      <c r="AT5" s="3" t="s">
        <v>8</v>
      </c>
      <c r="AU5" s="3" t="s">
        <v>7</v>
      </c>
      <c r="AV5" s="3" t="s">
        <v>7</v>
      </c>
      <c r="AW5" s="3" t="s">
        <v>7</v>
      </c>
      <c r="AX5" s="3" t="s">
        <v>8</v>
      </c>
      <c r="AY5" s="3" t="s">
        <v>7</v>
      </c>
      <c r="AZ5" s="3" t="s">
        <v>7</v>
      </c>
      <c r="BA5" s="3" t="s">
        <v>8</v>
      </c>
      <c r="BB5" s="3" t="s">
        <v>7</v>
      </c>
      <c r="BC5" s="3" t="s">
        <v>7</v>
      </c>
      <c r="BD5" s="3" t="s">
        <v>7</v>
      </c>
      <c r="BE5" s="3" t="s">
        <v>8</v>
      </c>
      <c r="BF5" s="3" t="s">
        <v>7</v>
      </c>
      <c r="BG5" s="3" t="s">
        <v>7</v>
      </c>
      <c r="BH5" s="3" t="s">
        <v>7</v>
      </c>
      <c r="BI5" s="3" t="s">
        <v>7</v>
      </c>
      <c r="BJ5" s="3" t="s">
        <v>8</v>
      </c>
      <c r="BK5" s="3" t="s">
        <v>8</v>
      </c>
      <c r="BL5" s="3" t="s">
        <v>7</v>
      </c>
    </row>
    <row r="6" spans="1:64">
      <c r="A6" s="3"/>
      <c r="B6" s="3" t="s">
        <v>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11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12</v>
      </c>
      <c r="Y6" s="3" t="s">
        <v>10</v>
      </c>
      <c r="Z6" s="3" t="s">
        <v>10</v>
      </c>
      <c r="AA6" s="3" t="s">
        <v>13</v>
      </c>
      <c r="AB6" s="3" t="s">
        <v>13</v>
      </c>
      <c r="AC6" s="3" t="s">
        <v>13</v>
      </c>
      <c r="AD6" s="3" t="s">
        <v>13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14</v>
      </c>
      <c r="AL6" s="3" t="s">
        <v>14</v>
      </c>
      <c r="AM6" s="3" t="s">
        <v>14</v>
      </c>
      <c r="AN6" s="3" t="s">
        <v>14</v>
      </c>
      <c r="AO6" s="3" t="s">
        <v>14</v>
      </c>
      <c r="AP6" s="3" t="s">
        <v>14</v>
      </c>
      <c r="AQ6" s="3" t="s">
        <v>10</v>
      </c>
      <c r="AR6" s="3" t="s">
        <v>10</v>
      </c>
      <c r="AS6" s="3" t="s">
        <v>10</v>
      </c>
      <c r="AT6" s="3" t="s">
        <v>10</v>
      </c>
      <c r="AU6" s="3" t="s">
        <v>10</v>
      </c>
      <c r="AV6" s="3" t="s">
        <v>10</v>
      </c>
      <c r="AW6" s="3" t="s">
        <v>10</v>
      </c>
      <c r="AX6" s="3" t="s">
        <v>10</v>
      </c>
      <c r="AY6" s="3" t="s">
        <v>10</v>
      </c>
      <c r="AZ6" s="3" t="s">
        <v>10</v>
      </c>
      <c r="BA6" s="3" t="s">
        <v>10</v>
      </c>
      <c r="BB6" s="3" t="s">
        <v>10</v>
      </c>
      <c r="BC6" s="3" t="s">
        <v>10</v>
      </c>
      <c r="BD6" s="3" t="s">
        <v>10</v>
      </c>
      <c r="BE6" s="3" t="s">
        <v>10</v>
      </c>
      <c r="BF6" s="3" t="s">
        <v>10</v>
      </c>
      <c r="BG6" s="3" t="s">
        <v>10</v>
      </c>
      <c r="BH6" s="3" t="s">
        <v>10</v>
      </c>
      <c r="BI6" s="3" t="s">
        <v>10</v>
      </c>
      <c r="BJ6" s="3" t="s">
        <v>10</v>
      </c>
      <c r="BK6" s="3" t="s">
        <v>10</v>
      </c>
      <c r="BL6" s="3" t="s">
        <v>10</v>
      </c>
    </row>
    <row r="7" spans="1:64">
      <c r="A7" s="3"/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16</v>
      </c>
      <c r="H7" s="3" t="s">
        <v>16</v>
      </c>
      <c r="I7" s="3"/>
      <c r="J7" s="3" t="s">
        <v>16</v>
      </c>
      <c r="K7" s="3" t="s">
        <v>16</v>
      </c>
      <c r="L7" s="3"/>
      <c r="M7" s="3"/>
      <c r="N7" s="3" t="s">
        <v>16</v>
      </c>
      <c r="O7" s="3" t="s">
        <v>16</v>
      </c>
      <c r="P7" s="3"/>
      <c r="Q7" s="3" t="s">
        <v>18</v>
      </c>
      <c r="R7" s="3" t="s">
        <v>18</v>
      </c>
      <c r="S7" s="3" t="s">
        <v>18</v>
      </c>
      <c r="T7" s="3"/>
      <c r="U7" s="3"/>
      <c r="V7" s="3" t="s">
        <v>19</v>
      </c>
      <c r="W7" s="3" t="s">
        <v>16</v>
      </c>
      <c r="X7" s="3" t="s">
        <v>18</v>
      </c>
      <c r="Y7" s="3"/>
      <c r="Z7" s="3"/>
      <c r="AA7" s="3"/>
      <c r="AB7" s="3"/>
      <c r="AC7" s="3" t="s">
        <v>18</v>
      </c>
      <c r="AD7" s="3"/>
      <c r="AE7" s="3" t="s">
        <v>16</v>
      </c>
      <c r="AF7" s="3"/>
      <c r="AG7" s="3"/>
      <c r="AH7" s="3"/>
      <c r="AI7" s="3"/>
      <c r="AJ7" s="3"/>
      <c r="AK7" s="3"/>
      <c r="AL7" s="3" t="s">
        <v>16</v>
      </c>
      <c r="AM7" s="3" t="s">
        <v>16</v>
      </c>
      <c r="AN7" s="3" t="s">
        <v>16</v>
      </c>
      <c r="AO7" s="3" t="s">
        <v>16</v>
      </c>
      <c r="AP7" s="3" t="s">
        <v>16</v>
      </c>
      <c r="AQ7" s="3" t="s">
        <v>16</v>
      </c>
      <c r="AR7" s="3" t="s">
        <v>16</v>
      </c>
      <c r="AS7" s="3" t="s">
        <v>16</v>
      </c>
      <c r="AT7" s="3"/>
      <c r="AU7" s="3" t="s">
        <v>16</v>
      </c>
      <c r="AV7" s="3" t="s">
        <v>16</v>
      </c>
      <c r="AW7" s="3" t="s">
        <v>18</v>
      </c>
      <c r="AX7" s="3" t="s">
        <v>16</v>
      </c>
      <c r="AY7" s="3" t="s">
        <v>16</v>
      </c>
      <c r="AZ7" s="3" t="s">
        <v>16</v>
      </c>
      <c r="BA7" s="3"/>
      <c r="BB7" s="3" t="s">
        <v>16</v>
      </c>
      <c r="BC7" s="3"/>
      <c r="BD7" s="3" t="s">
        <v>20</v>
      </c>
      <c r="BE7" s="3" t="s">
        <v>16</v>
      </c>
      <c r="BF7" s="3" t="s">
        <v>20</v>
      </c>
      <c r="BG7" s="3"/>
      <c r="BH7" s="3"/>
      <c r="BI7" s="3"/>
      <c r="BJ7" s="3"/>
      <c r="BK7" s="3"/>
      <c r="BL7" s="3"/>
    </row>
    <row r="8" spans="1:64">
      <c r="A8" s="5" t="s">
        <v>21</v>
      </c>
      <c r="B8" s="6" t="s">
        <v>22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</row>
    <row r="9" spans="1:64">
      <c r="A9" s="5" t="s">
        <v>23</v>
      </c>
      <c r="B9" s="7" t="s">
        <v>24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</row>
    <row r="10" spans="1:64">
      <c r="A10" s="5" t="s">
        <v>25</v>
      </c>
      <c r="B10" s="8" t="s">
        <v>26</v>
      </c>
      <c r="C10" s="7">
        <v>2</v>
      </c>
      <c r="D10" s="7">
        <v>2</v>
      </c>
      <c r="E10" s="7">
        <v>3</v>
      </c>
      <c r="F10" s="7">
        <v>1</v>
      </c>
      <c r="G10" s="7">
        <v>1.5</v>
      </c>
      <c r="H10" s="7">
        <v>1</v>
      </c>
      <c r="I10" s="7">
        <v>2</v>
      </c>
      <c r="J10" s="7">
        <v>2</v>
      </c>
      <c r="K10" s="7">
        <v>2</v>
      </c>
      <c r="L10" s="7">
        <v>1</v>
      </c>
      <c r="M10" s="7">
        <v>7</v>
      </c>
      <c r="N10" s="7">
        <v>1</v>
      </c>
      <c r="O10" s="7">
        <v>2</v>
      </c>
      <c r="P10" s="7">
        <v>1.5</v>
      </c>
      <c r="Q10" s="7">
        <v>1.5</v>
      </c>
      <c r="R10" s="7">
        <v>1</v>
      </c>
      <c r="S10" s="7">
        <v>2</v>
      </c>
      <c r="T10" s="7">
        <v>2</v>
      </c>
      <c r="U10" s="7">
        <v>2</v>
      </c>
      <c r="V10" s="7">
        <v>12</v>
      </c>
      <c r="W10" s="7">
        <v>2</v>
      </c>
      <c r="X10" s="7">
        <v>1.5</v>
      </c>
      <c r="Y10" s="7">
        <v>2.5</v>
      </c>
      <c r="Z10" s="7">
        <v>2</v>
      </c>
      <c r="AA10" s="7">
        <v>2.5</v>
      </c>
      <c r="AB10" s="7">
        <v>2.1</v>
      </c>
      <c r="AC10" s="7">
        <v>3</v>
      </c>
      <c r="AD10" s="7">
        <v>2.5</v>
      </c>
      <c r="AE10" s="7">
        <v>2</v>
      </c>
      <c r="AF10" s="7">
        <v>2.5</v>
      </c>
      <c r="AG10" s="7">
        <v>3</v>
      </c>
      <c r="AH10" s="7">
        <v>2</v>
      </c>
      <c r="AI10" s="7">
        <v>1</v>
      </c>
      <c r="AJ10" s="7">
        <v>1</v>
      </c>
      <c r="AK10" s="7">
        <v>2.5</v>
      </c>
      <c r="AL10" s="7">
        <v>2</v>
      </c>
      <c r="AM10" s="7">
        <v>2.5</v>
      </c>
      <c r="AN10" s="7">
        <v>3</v>
      </c>
      <c r="AO10" s="7">
        <v>2</v>
      </c>
      <c r="AP10" s="7">
        <v>3</v>
      </c>
      <c r="AQ10" s="7">
        <v>1</v>
      </c>
      <c r="AR10" s="7">
        <v>2</v>
      </c>
      <c r="AS10" s="7">
        <v>1</v>
      </c>
      <c r="AT10" s="7">
        <v>3</v>
      </c>
      <c r="AU10" s="7">
        <v>2</v>
      </c>
      <c r="AV10" s="7">
        <v>3</v>
      </c>
      <c r="AW10" s="7">
        <v>1</v>
      </c>
      <c r="AX10" s="7">
        <v>2</v>
      </c>
      <c r="AY10" s="7">
        <v>2</v>
      </c>
      <c r="AZ10" s="7">
        <v>2</v>
      </c>
      <c r="BA10" s="7">
        <v>2</v>
      </c>
      <c r="BB10" s="7">
        <v>2</v>
      </c>
      <c r="BC10" s="7"/>
      <c r="BD10" s="7">
        <v>1</v>
      </c>
      <c r="BE10" s="7">
        <v>1</v>
      </c>
      <c r="BF10" s="7">
        <v>1</v>
      </c>
      <c r="BG10" s="7">
        <v>1</v>
      </c>
      <c r="BH10" s="7">
        <v>2</v>
      </c>
      <c r="BI10" s="7">
        <v>2</v>
      </c>
      <c r="BJ10" s="7">
        <v>1</v>
      </c>
      <c r="BK10" s="7">
        <v>2</v>
      </c>
      <c r="BL10" s="7">
        <v>1</v>
      </c>
    </row>
    <row r="11" spans="1:64">
      <c r="A11" s="5"/>
      <c r="B11" s="8" t="s">
        <v>27</v>
      </c>
      <c r="C11" s="7">
        <v>8</v>
      </c>
      <c r="D11" s="7">
        <v>2</v>
      </c>
      <c r="E11" s="7">
        <v>5</v>
      </c>
      <c r="F11" s="7">
        <v>1</v>
      </c>
      <c r="G11" s="7">
        <v>1.5</v>
      </c>
      <c r="H11" s="7"/>
      <c r="I11" s="7">
        <v>6</v>
      </c>
      <c r="J11" s="7">
        <v>10</v>
      </c>
      <c r="K11" s="7">
        <v>10</v>
      </c>
      <c r="L11" s="7"/>
      <c r="M11" s="7">
        <v>2</v>
      </c>
      <c r="N11" s="7"/>
      <c r="O11" s="7">
        <v>6</v>
      </c>
      <c r="P11" s="7">
        <v>7</v>
      </c>
      <c r="Q11" s="7">
        <v>5.5</v>
      </c>
      <c r="R11" s="7">
        <v>10</v>
      </c>
      <c r="S11" s="7">
        <v>6</v>
      </c>
      <c r="T11" s="7">
        <v>2</v>
      </c>
      <c r="U11" s="7">
        <v>2</v>
      </c>
      <c r="V11" s="7">
        <v>2</v>
      </c>
      <c r="W11" s="7">
        <v>7</v>
      </c>
      <c r="X11" s="7">
        <v>3</v>
      </c>
      <c r="Y11" s="7">
        <v>3</v>
      </c>
      <c r="Z11" s="7">
        <v>6</v>
      </c>
      <c r="AA11" s="7">
        <v>4</v>
      </c>
      <c r="AB11" s="7">
        <v>2.4</v>
      </c>
      <c r="AC11" s="7">
        <v>2.5</v>
      </c>
      <c r="AD11" s="7">
        <v>4</v>
      </c>
      <c r="AE11" s="7">
        <v>6</v>
      </c>
      <c r="AF11" s="7">
        <v>5</v>
      </c>
      <c r="AG11" s="7">
        <v>5</v>
      </c>
      <c r="AH11" s="7">
        <v>4</v>
      </c>
      <c r="AI11" s="7">
        <v>1</v>
      </c>
      <c r="AJ11" s="7">
        <v>3</v>
      </c>
      <c r="AK11" s="7">
        <v>8</v>
      </c>
      <c r="AL11" s="7">
        <v>6</v>
      </c>
      <c r="AM11" s="7">
        <v>6</v>
      </c>
      <c r="AN11" s="7">
        <v>7</v>
      </c>
      <c r="AO11" s="7">
        <v>7</v>
      </c>
      <c r="AP11" s="7">
        <v>4</v>
      </c>
      <c r="AQ11" s="7">
        <v>7</v>
      </c>
      <c r="AR11" s="7">
        <v>8</v>
      </c>
      <c r="AS11" s="7">
        <v>7</v>
      </c>
      <c r="AT11" s="7">
        <v>9</v>
      </c>
      <c r="AU11" s="7">
        <v>4</v>
      </c>
      <c r="AV11" s="7">
        <v>9</v>
      </c>
      <c r="AW11" s="7"/>
      <c r="AX11" s="7">
        <v>4</v>
      </c>
      <c r="AY11" s="7">
        <v>4</v>
      </c>
      <c r="AZ11" s="7">
        <v>3</v>
      </c>
      <c r="BA11" s="7">
        <v>2</v>
      </c>
      <c r="BB11" s="7">
        <v>7</v>
      </c>
      <c r="BC11" s="7"/>
      <c r="BD11" s="7">
        <v>6</v>
      </c>
      <c r="BE11" s="7">
        <v>2</v>
      </c>
      <c r="BF11" s="7">
        <v>8</v>
      </c>
      <c r="BG11" s="7">
        <v>6</v>
      </c>
      <c r="BH11" s="7">
        <v>7</v>
      </c>
      <c r="BI11" s="7">
        <v>6</v>
      </c>
      <c r="BJ11" s="7">
        <v>8</v>
      </c>
      <c r="BK11" s="7">
        <v>5</v>
      </c>
      <c r="BL11" s="7">
        <v>6</v>
      </c>
    </row>
    <row r="12" spans="1:64">
      <c r="A12" s="5" t="s">
        <v>23</v>
      </c>
      <c r="B12" s="7" t="s">
        <v>28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64">
      <c r="A13" s="5" t="s">
        <v>25</v>
      </c>
      <c r="B13" s="8" t="s">
        <v>26</v>
      </c>
      <c r="C13" s="7">
        <v>2</v>
      </c>
      <c r="D13" s="7">
        <v>3</v>
      </c>
      <c r="E13" s="7">
        <v>3</v>
      </c>
      <c r="F13" s="7">
        <v>3</v>
      </c>
      <c r="G13" s="7">
        <v>2</v>
      </c>
      <c r="H13" s="7">
        <v>1</v>
      </c>
      <c r="I13" s="7">
        <v>3</v>
      </c>
      <c r="J13" s="7">
        <v>3</v>
      </c>
      <c r="K13" s="7">
        <v>3</v>
      </c>
      <c r="L13" s="7">
        <v>2</v>
      </c>
      <c r="M13" s="7">
        <v>8</v>
      </c>
      <c r="N13" s="7"/>
      <c r="O13" s="7">
        <v>3</v>
      </c>
      <c r="P13" s="7">
        <v>6</v>
      </c>
      <c r="Q13" s="7">
        <v>2</v>
      </c>
      <c r="R13" s="7">
        <v>5</v>
      </c>
      <c r="S13" s="7">
        <v>2</v>
      </c>
      <c r="T13" s="7">
        <v>3</v>
      </c>
      <c r="U13" s="7">
        <v>3</v>
      </c>
      <c r="V13" s="7">
        <v>16</v>
      </c>
      <c r="W13" s="7">
        <v>5</v>
      </c>
      <c r="X13" s="7">
        <v>2</v>
      </c>
      <c r="Y13" s="7">
        <v>3</v>
      </c>
      <c r="Z13" s="7">
        <v>4</v>
      </c>
      <c r="AA13" s="7">
        <v>4</v>
      </c>
      <c r="AB13" s="7">
        <v>2.2999999999999998</v>
      </c>
      <c r="AC13" s="7">
        <v>3.3</v>
      </c>
      <c r="AD13" s="7">
        <v>4</v>
      </c>
      <c r="AE13" s="7">
        <v>3</v>
      </c>
      <c r="AF13" s="7">
        <v>3</v>
      </c>
      <c r="AG13" s="7">
        <v>5</v>
      </c>
      <c r="AH13" s="7">
        <v>4</v>
      </c>
      <c r="AI13" s="7">
        <v>2</v>
      </c>
      <c r="AJ13" s="7">
        <v>1</v>
      </c>
      <c r="AK13" s="7">
        <v>3</v>
      </c>
      <c r="AL13" s="7">
        <v>2</v>
      </c>
      <c r="AM13" s="7">
        <v>3</v>
      </c>
      <c r="AN13" s="7">
        <v>5</v>
      </c>
      <c r="AO13" s="7">
        <v>4</v>
      </c>
      <c r="AP13" s="7">
        <v>5</v>
      </c>
      <c r="AQ13" s="7">
        <v>2</v>
      </c>
      <c r="AR13" s="7">
        <v>2</v>
      </c>
      <c r="AS13" s="7">
        <v>2</v>
      </c>
      <c r="AT13" s="7">
        <v>5</v>
      </c>
      <c r="AU13" s="7">
        <v>4</v>
      </c>
      <c r="AV13" s="7">
        <v>5</v>
      </c>
      <c r="AW13" s="7">
        <v>2</v>
      </c>
      <c r="AX13" s="7">
        <v>4</v>
      </c>
      <c r="AY13" s="7">
        <v>4</v>
      </c>
      <c r="AZ13" s="7">
        <v>3</v>
      </c>
      <c r="BA13" s="7">
        <v>4</v>
      </c>
      <c r="BB13" s="7">
        <v>3</v>
      </c>
      <c r="BC13" s="7">
        <v>5</v>
      </c>
      <c r="BD13" s="7">
        <v>2</v>
      </c>
      <c r="BE13" s="7">
        <v>2</v>
      </c>
      <c r="BF13" s="7">
        <v>2</v>
      </c>
      <c r="BG13" s="7">
        <v>2</v>
      </c>
      <c r="BH13" s="7">
        <v>2</v>
      </c>
      <c r="BI13" s="7">
        <v>3</v>
      </c>
      <c r="BJ13" s="7">
        <v>2</v>
      </c>
      <c r="BK13" s="7">
        <v>2</v>
      </c>
      <c r="BL13" s="7">
        <v>2</v>
      </c>
    </row>
    <row r="14" spans="1:64">
      <c r="A14" s="5"/>
      <c r="B14" s="8" t="s">
        <v>27</v>
      </c>
      <c r="C14" s="7">
        <v>11</v>
      </c>
      <c r="D14" s="7">
        <v>6</v>
      </c>
      <c r="E14" s="7">
        <v>6</v>
      </c>
      <c r="F14" s="7">
        <v>3</v>
      </c>
      <c r="G14" s="7">
        <v>2</v>
      </c>
      <c r="H14" s="7"/>
      <c r="I14" s="7">
        <v>7</v>
      </c>
      <c r="J14" s="7"/>
      <c r="K14" s="7">
        <v>12</v>
      </c>
      <c r="L14" s="7"/>
      <c r="M14" s="7">
        <v>2</v>
      </c>
      <c r="N14" s="7"/>
      <c r="O14" s="7">
        <v>7</v>
      </c>
      <c r="P14" s="7">
        <v>7</v>
      </c>
      <c r="Q14" s="7">
        <v>6</v>
      </c>
      <c r="R14" s="7">
        <v>10</v>
      </c>
      <c r="S14" s="7">
        <v>7</v>
      </c>
      <c r="T14" s="7">
        <v>3</v>
      </c>
      <c r="U14" s="7">
        <v>3</v>
      </c>
      <c r="V14" s="7">
        <v>3</v>
      </c>
      <c r="W14" s="7">
        <v>10</v>
      </c>
      <c r="X14" s="7">
        <v>8</v>
      </c>
      <c r="Y14" s="7">
        <v>5</v>
      </c>
      <c r="Z14" s="7">
        <v>6</v>
      </c>
      <c r="AA14" s="7">
        <v>4</v>
      </c>
      <c r="AB14" s="7">
        <v>2.5</v>
      </c>
      <c r="AC14" s="7">
        <v>2.7</v>
      </c>
      <c r="AD14" s="7">
        <v>5</v>
      </c>
      <c r="AE14" s="7">
        <v>7</v>
      </c>
      <c r="AF14" s="7">
        <v>5</v>
      </c>
      <c r="AG14" s="7">
        <v>6</v>
      </c>
      <c r="AH14" s="7">
        <v>6</v>
      </c>
      <c r="AI14" s="7">
        <v>2</v>
      </c>
      <c r="AJ14" s="7">
        <v>5</v>
      </c>
      <c r="AK14" s="7">
        <v>8</v>
      </c>
      <c r="AL14" s="7">
        <v>7</v>
      </c>
      <c r="AM14" s="7">
        <v>8</v>
      </c>
      <c r="AN14" s="7">
        <v>7</v>
      </c>
      <c r="AO14" s="7">
        <v>10</v>
      </c>
      <c r="AP14" s="7">
        <v>5</v>
      </c>
      <c r="AQ14" s="7">
        <v>7</v>
      </c>
      <c r="AR14" s="7">
        <v>8</v>
      </c>
      <c r="AS14" s="7">
        <v>8</v>
      </c>
      <c r="AT14" s="7">
        <v>9</v>
      </c>
      <c r="AU14" s="7">
        <v>5</v>
      </c>
      <c r="AV14" s="7">
        <v>13</v>
      </c>
      <c r="AW14" s="7"/>
      <c r="AX14" s="7">
        <v>5</v>
      </c>
      <c r="AY14" s="7">
        <v>5</v>
      </c>
      <c r="AZ14" s="7">
        <v>4</v>
      </c>
      <c r="BA14" s="7">
        <v>4</v>
      </c>
      <c r="BB14" s="7">
        <v>7</v>
      </c>
      <c r="BC14" s="7">
        <v>5</v>
      </c>
      <c r="BD14" s="7">
        <v>8</v>
      </c>
      <c r="BE14" s="7">
        <v>3</v>
      </c>
      <c r="BF14" s="7">
        <v>10</v>
      </c>
      <c r="BG14" s="7">
        <v>7</v>
      </c>
      <c r="BH14" s="7">
        <v>7</v>
      </c>
      <c r="BI14" s="7">
        <v>6</v>
      </c>
      <c r="BJ14" s="7">
        <v>9</v>
      </c>
      <c r="BK14" s="7">
        <v>6</v>
      </c>
      <c r="BL14" s="7">
        <v>6</v>
      </c>
    </row>
    <row r="15" spans="1:64">
      <c r="A15" s="5" t="s">
        <v>29</v>
      </c>
      <c r="B15" s="7" t="s">
        <v>30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</row>
    <row r="16" spans="1:64">
      <c r="A16" s="5"/>
      <c r="B16" s="8" t="s">
        <v>26</v>
      </c>
      <c r="C16" s="7">
        <v>9</v>
      </c>
      <c r="D16" s="7">
        <v>5</v>
      </c>
      <c r="E16" s="7">
        <v>5</v>
      </c>
      <c r="F16" s="7">
        <v>5</v>
      </c>
      <c r="G16" s="7">
        <v>9</v>
      </c>
      <c r="H16" s="7">
        <v>11</v>
      </c>
      <c r="I16" s="7"/>
      <c r="J16" s="7">
        <v>10</v>
      </c>
      <c r="K16" s="7">
        <v>10</v>
      </c>
      <c r="L16" s="7"/>
      <c r="M16" s="7"/>
      <c r="N16" s="7"/>
      <c r="O16" s="7"/>
      <c r="P16" s="7"/>
      <c r="Q16" s="7">
        <v>11</v>
      </c>
      <c r="R16" s="7">
        <v>9</v>
      </c>
      <c r="S16" s="7">
        <v>11</v>
      </c>
      <c r="T16" s="7"/>
      <c r="U16" s="7">
        <v>18</v>
      </c>
      <c r="V16" s="7"/>
      <c r="W16" s="7"/>
      <c r="X16" s="7"/>
      <c r="Y16" s="7">
        <v>11</v>
      </c>
      <c r="Z16" s="7"/>
      <c r="AA16" s="7">
        <v>2</v>
      </c>
      <c r="AB16" s="7">
        <v>4</v>
      </c>
      <c r="AC16" s="7"/>
      <c r="AD16" s="7">
        <v>11</v>
      </c>
      <c r="AE16" s="7"/>
      <c r="AF16" s="7">
        <v>9</v>
      </c>
      <c r="AG16" s="7">
        <v>9</v>
      </c>
      <c r="AH16" s="7">
        <v>9</v>
      </c>
      <c r="AI16" s="7"/>
      <c r="AJ16" s="7">
        <v>6</v>
      </c>
      <c r="AK16" s="7">
        <v>12</v>
      </c>
      <c r="AL16" s="7">
        <v>43</v>
      </c>
      <c r="AM16" s="7">
        <v>15</v>
      </c>
      <c r="AN16" s="7">
        <v>15</v>
      </c>
      <c r="AO16" s="7">
        <v>9</v>
      </c>
      <c r="AP16" s="7">
        <v>18</v>
      </c>
      <c r="AQ16" s="7">
        <v>9</v>
      </c>
      <c r="AR16" s="7"/>
      <c r="AS16" s="7"/>
      <c r="AT16" s="7">
        <v>11</v>
      </c>
      <c r="AU16" s="7">
        <v>11</v>
      </c>
      <c r="AV16" s="7">
        <v>11</v>
      </c>
      <c r="AW16" s="7">
        <v>11</v>
      </c>
      <c r="AX16" s="7">
        <v>11</v>
      </c>
      <c r="AY16" s="7">
        <v>11</v>
      </c>
      <c r="AZ16" s="7">
        <v>9</v>
      </c>
      <c r="BA16" s="7">
        <v>4</v>
      </c>
      <c r="BB16" s="7">
        <v>2</v>
      </c>
      <c r="BC16" s="7"/>
      <c r="BD16" s="7">
        <v>6</v>
      </c>
      <c r="BE16" s="7">
        <v>10</v>
      </c>
      <c r="BF16" s="7">
        <v>20</v>
      </c>
      <c r="BG16" s="7">
        <v>9</v>
      </c>
      <c r="BH16" s="7">
        <v>8</v>
      </c>
      <c r="BI16" s="7">
        <v>7</v>
      </c>
      <c r="BJ16" s="7"/>
      <c r="BK16" s="7">
        <v>10</v>
      </c>
      <c r="BL16" s="7">
        <v>8</v>
      </c>
    </row>
    <row r="17" spans="1:64">
      <c r="A17" s="5"/>
      <c r="B17" s="8" t="s">
        <v>27</v>
      </c>
      <c r="C17" s="7">
        <v>9</v>
      </c>
      <c r="D17" s="7">
        <v>16</v>
      </c>
      <c r="E17" s="7">
        <v>18</v>
      </c>
      <c r="F17" s="7">
        <v>19</v>
      </c>
      <c r="G17" s="7">
        <v>9</v>
      </c>
      <c r="H17" s="7">
        <v>11</v>
      </c>
      <c r="I17" s="7">
        <v>8</v>
      </c>
      <c r="J17" s="7">
        <v>10</v>
      </c>
      <c r="K17" s="7">
        <v>10</v>
      </c>
      <c r="L17" s="7">
        <v>8</v>
      </c>
      <c r="M17" s="7">
        <v>8</v>
      </c>
      <c r="N17" s="7">
        <v>8</v>
      </c>
      <c r="O17" s="7">
        <v>7</v>
      </c>
      <c r="P17" s="7">
        <v>10</v>
      </c>
      <c r="Q17" s="7">
        <v>11</v>
      </c>
      <c r="R17" s="7">
        <v>18</v>
      </c>
      <c r="S17" s="7">
        <v>16</v>
      </c>
      <c r="T17" s="7">
        <v>22</v>
      </c>
      <c r="U17" s="7">
        <v>23</v>
      </c>
      <c r="V17" s="7">
        <v>6</v>
      </c>
      <c r="W17" s="7">
        <v>13</v>
      </c>
      <c r="X17" s="7">
        <v>16</v>
      </c>
      <c r="Y17" s="7">
        <v>15</v>
      </c>
      <c r="Z17" s="7"/>
      <c r="AA17" s="7">
        <v>9</v>
      </c>
      <c r="AB17" s="7">
        <v>5</v>
      </c>
      <c r="AC17" s="7">
        <v>15</v>
      </c>
      <c r="AD17" s="7"/>
      <c r="AE17" s="7"/>
      <c r="AF17" s="7">
        <v>9</v>
      </c>
      <c r="AG17" s="7">
        <v>11</v>
      </c>
      <c r="AH17" s="7">
        <v>9</v>
      </c>
      <c r="AI17" s="7">
        <v>11</v>
      </c>
      <c r="AJ17" s="7">
        <v>34</v>
      </c>
      <c r="AK17" s="7">
        <v>12</v>
      </c>
      <c r="AL17" s="7">
        <v>43</v>
      </c>
      <c r="AM17" s="7">
        <v>15</v>
      </c>
      <c r="AN17" s="7">
        <v>15</v>
      </c>
      <c r="AO17" s="7">
        <v>9</v>
      </c>
      <c r="AP17" s="7">
        <v>23</v>
      </c>
      <c r="AQ17" s="7">
        <v>9</v>
      </c>
      <c r="AR17" s="7">
        <v>10</v>
      </c>
      <c r="AS17" s="7"/>
      <c r="AT17" s="7">
        <v>15</v>
      </c>
      <c r="AU17" s="7">
        <v>11</v>
      </c>
      <c r="AV17" s="7">
        <v>14</v>
      </c>
      <c r="AW17" s="7">
        <v>6</v>
      </c>
      <c r="AX17" s="7">
        <v>11</v>
      </c>
      <c r="AY17" s="7">
        <v>11</v>
      </c>
      <c r="AZ17" s="7">
        <v>13</v>
      </c>
      <c r="BA17" s="7">
        <v>11</v>
      </c>
      <c r="BB17" s="7">
        <v>9</v>
      </c>
      <c r="BC17" s="7">
        <v>8</v>
      </c>
      <c r="BD17" s="7">
        <v>9</v>
      </c>
      <c r="BE17" s="7">
        <v>12</v>
      </c>
      <c r="BF17" s="7"/>
      <c r="BG17" s="7">
        <v>11</v>
      </c>
      <c r="BH17" s="7">
        <v>10</v>
      </c>
      <c r="BI17" s="7">
        <v>9</v>
      </c>
      <c r="BJ17" s="7">
        <v>10</v>
      </c>
      <c r="BK17" s="7">
        <v>14</v>
      </c>
      <c r="BL17" s="7">
        <v>10</v>
      </c>
    </row>
    <row r="18" spans="1:64">
      <c r="A18" s="5" t="s">
        <v>29</v>
      </c>
      <c r="B18" s="7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</row>
    <row r="19" spans="1:64">
      <c r="A19" s="5" t="s">
        <v>32</v>
      </c>
      <c r="B19" s="8" t="s">
        <v>26</v>
      </c>
      <c r="C19" s="7">
        <v>18</v>
      </c>
      <c r="D19" s="7">
        <v>21</v>
      </c>
      <c r="E19" s="7">
        <v>23</v>
      </c>
      <c r="F19" s="7">
        <v>24</v>
      </c>
      <c r="G19" s="7">
        <v>31</v>
      </c>
      <c r="H19" s="7">
        <v>35</v>
      </c>
      <c r="I19" s="7">
        <v>50</v>
      </c>
      <c r="J19" s="7">
        <v>51</v>
      </c>
      <c r="K19" s="7">
        <v>54</v>
      </c>
      <c r="L19" s="7">
        <v>57</v>
      </c>
      <c r="M19" s="7">
        <v>51</v>
      </c>
      <c r="N19" s="7">
        <v>60</v>
      </c>
      <c r="O19" s="7">
        <v>74</v>
      </c>
      <c r="P19" s="7">
        <v>53</v>
      </c>
      <c r="Q19" s="7">
        <v>20</v>
      </c>
      <c r="R19" s="7">
        <v>15</v>
      </c>
      <c r="S19" s="7">
        <v>44</v>
      </c>
      <c r="T19" s="7">
        <v>64</v>
      </c>
      <c r="U19" s="7">
        <v>18</v>
      </c>
      <c r="V19" s="7">
        <v>18</v>
      </c>
      <c r="W19" s="7"/>
      <c r="X19" s="7"/>
      <c r="Y19" s="7">
        <v>39</v>
      </c>
      <c r="Z19" s="7">
        <v>16</v>
      </c>
      <c r="AA19" s="7">
        <v>16</v>
      </c>
      <c r="AB19" s="7">
        <v>9</v>
      </c>
      <c r="AC19" s="7">
        <v>39</v>
      </c>
      <c r="AD19" s="7">
        <v>46</v>
      </c>
      <c r="AE19" s="7">
        <v>39</v>
      </c>
      <c r="AF19" s="7">
        <v>16</v>
      </c>
      <c r="AG19" s="7">
        <v>19</v>
      </c>
      <c r="AH19" s="7">
        <v>16</v>
      </c>
      <c r="AI19" s="7">
        <v>16</v>
      </c>
      <c r="AJ19" s="7">
        <v>37</v>
      </c>
      <c r="AK19" s="7">
        <v>28</v>
      </c>
      <c r="AL19" s="7">
        <v>60</v>
      </c>
      <c r="AM19" s="7">
        <v>31</v>
      </c>
      <c r="AN19" s="7">
        <v>31</v>
      </c>
      <c r="AO19" s="7">
        <v>31</v>
      </c>
      <c r="AP19" s="7">
        <v>40</v>
      </c>
      <c r="AQ19" s="7">
        <v>36</v>
      </c>
      <c r="AR19" s="7">
        <v>68</v>
      </c>
      <c r="AS19" s="7">
        <v>69</v>
      </c>
      <c r="AT19" s="7">
        <v>41</v>
      </c>
      <c r="AU19" s="7">
        <v>41</v>
      </c>
      <c r="AV19" s="7">
        <v>30</v>
      </c>
      <c r="AW19" s="7">
        <v>40</v>
      </c>
      <c r="AX19" s="7">
        <v>39</v>
      </c>
      <c r="AY19" s="7">
        <v>18</v>
      </c>
      <c r="AZ19" s="7">
        <v>20</v>
      </c>
      <c r="BA19" s="7">
        <v>19</v>
      </c>
      <c r="BB19" s="7">
        <v>31</v>
      </c>
      <c r="BC19" s="7">
        <v>60</v>
      </c>
      <c r="BD19" s="7">
        <v>61</v>
      </c>
      <c r="BE19" s="7">
        <v>25</v>
      </c>
      <c r="BF19" s="7">
        <v>73</v>
      </c>
      <c r="BG19" s="7">
        <v>28</v>
      </c>
      <c r="BH19" s="7">
        <v>55</v>
      </c>
      <c r="BI19" s="7">
        <v>64</v>
      </c>
      <c r="BJ19" s="7">
        <v>67</v>
      </c>
      <c r="BK19" s="7">
        <v>28</v>
      </c>
      <c r="BL19" s="7">
        <v>24</v>
      </c>
    </row>
    <row r="20" spans="1:64">
      <c r="A20" s="5"/>
      <c r="B20" s="8" t="s">
        <v>27</v>
      </c>
      <c r="C20" s="7">
        <v>18</v>
      </c>
      <c r="D20" s="7">
        <v>21</v>
      </c>
      <c r="E20" s="7">
        <v>23</v>
      </c>
      <c r="F20" s="7">
        <v>24</v>
      </c>
      <c r="G20" s="7"/>
      <c r="H20" s="7"/>
      <c r="I20" s="7"/>
      <c r="J20" s="7">
        <v>51</v>
      </c>
      <c r="K20" s="7"/>
      <c r="L20" s="7"/>
      <c r="M20" s="7">
        <v>4</v>
      </c>
      <c r="N20" s="7"/>
      <c r="O20" s="7">
        <v>10</v>
      </c>
      <c r="P20" s="7"/>
      <c r="Q20" s="7">
        <v>20</v>
      </c>
      <c r="R20" s="7">
        <v>25</v>
      </c>
      <c r="S20" s="7">
        <v>44</v>
      </c>
      <c r="T20" s="7">
        <v>18</v>
      </c>
      <c r="U20" s="7">
        <v>40</v>
      </c>
      <c r="V20" s="7">
        <v>36</v>
      </c>
      <c r="W20" s="7"/>
      <c r="X20" s="7"/>
      <c r="Y20" s="7">
        <v>6</v>
      </c>
      <c r="Z20" s="7"/>
      <c r="AA20" s="7">
        <v>16</v>
      </c>
      <c r="AB20" s="7">
        <v>9</v>
      </c>
      <c r="AC20" s="7">
        <v>39</v>
      </c>
      <c r="AD20" s="7"/>
      <c r="AE20" s="7">
        <v>39</v>
      </c>
      <c r="AF20" s="7"/>
      <c r="AG20" s="7"/>
      <c r="AH20" s="7"/>
      <c r="AI20" s="7">
        <v>19</v>
      </c>
      <c r="AJ20" s="7"/>
      <c r="AK20" s="7">
        <v>28</v>
      </c>
      <c r="AL20" s="7"/>
      <c r="AM20" s="7"/>
      <c r="AN20" s="7"/>
      <c r="AO20" s="7">
        <v>31</v>
      </c>
      <c r="AP20" s="7">
        <v>4</v>
      </c>
      <c r="AQ20" s="7">
        <v>36</v>
      </c>
      <c r="AR20" s="7">
        <v>68</v>
      </c>
      <c r="AS20" s="7"/>
      <c r="AT20" s="7">
        <v>41</v>
      </c>
      <c r="AU20" s="7">
        <v>41</v>
      </c>
      <c r="AV20" s="7">
        <v>39</v>
      </c>
      <c r="AW20" s="7"/>
      <c r="AX20" s="7">
        <v>46</v>
      </c>
      <c r="AY20" s="7">
        <v>18</v>
      </c>
      <c r="AZ20" s="7">
        <v>20</v>
      </c>
      <c r="BA20" s="7">
        <v>20</v>
      </c>
      <c r="BB20" s="7"/>
      <c r="BC20" s="7">
        <v>21</v>
      </c>
      <c r="BD20" s="7"/>
      <c r="BE20" s="7"/>
      <c r="BF20" s="7"/>
      <c r="BG20" s="7"/>
      <c r="BH20" s="7"/>
      <c r="BI20" s="7"/>
      <c r="BJ20" s="7"/>
      <c r="BK20" s="7"/>
      <c r="BL20" s="7"/>
    </row>
    <row r="21" spans="1:64">
      <c r="A21" s="5" t="s">
        <v>29</v>
      </c>
      <c r="B21" s="7" t="s">
        <v>33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64">
      <c r="A22" s="5" t="s">
        <v>32</v>
      </c>
      <c r="B22" s="8" t="s">
        <v>26</v>
      </c>
      <c r="C22" s="7">
        <v>18</v>
      </c>
      <c r="D22" s="7">
        <v>21</v>
      </c>
      <c r="E22" s="7">
        <v>23</v>
      </c>
      <c r="F22" s="7">
        <v>24</v>
      </c>
      <c r="G22" s="7">
        <v>31</v>
      </c>
      <c r="H22" s="7">
        <v>35</v>
      </c>
      <c r="I22" s="7">
        <v>50</v>
      </c>
      <c r="J22" s="7">
        <v>51</v>
      </c>
      <c r="K22" s="7">
        <v>54</v>
      </c>
      <c r="L22" s="7">
        <v>57</v>
      </c>
      <c r="M22" s="7">
        <v>58</v>
      </c>
      <c r="N22" s="7">
        <v>60</v>
      </c>
      <c r="O22" s="7">
        <v>84</v>
      </c>
      <c r="P22" s="7">
        <v>53</v>
      </c>
      <c r="Q22" s="7">
        <v>40</v>
      </c>
      <c r="R22" s="7">
        <v>40</v>
      </c>
      <c r="S22" s="7">
        <v>44</v>
      </c>
      <c r="T22" s="7">
        <v>64</v>
      </c>
      <c r="U22" s="7">
        <v>40</v>
      </c>
      <c r="V22" s="7">
        <v>18</v>
      </c>
      <c r="W22" s="7">
        <v>58</v>
      </c>
      <c r="X22" s="7">
        <v>35</v>
      </c>
      <c r="Y22" s="7">
        <v>39</v>
      </c>
      <c r="Z22" s="7">
        <v>16</v>
      </c>
      <c r="AA22" s="7">
        <v>16</v>
      </c>
      <c r="AB22" s="7">
        <v>18</v>
      </c>
      <c r="AC22" s="7">
        <v>39</v>
      </c>
      <c r="AD22" s="7">
        <v>46</v>
      </c>
      <c r="AE22" s="7">
        <v>39</v>
      </c>
      <c r="AF22" s="7">
        <v>16</v>
      </c>
      <c r="AG22" s="7">
        <v>19</v>
      </c>
      <c r="AH22" s="7">
        <v>16</v>
      </c>
      <c r="AI22" s="7">
        <v>16</v>
      </c>
      <c r="AJ22" s="7">
        <v>37</v>
      </c>
      <c r="AK22" s="7">
        <v>28</v>
      </c>
      <c r="AL22" s="7">
        <v>60</v>
      </c>
      <c r="AM22" s="7">
        <v>31</v>
      </c>
      <c r="AN22" s="7">
        <v>31</v>
      </c>
      <c r="AO22" s="7">
        <v>31</v>
      </c>
      <c r="AP22" s="7">
        <v>40</v>
      </c>
      <c r="AQ22" s="7">
        <v>36</v>
      </c>
      <c r="AR22" s="7">
        <v>68</v>
      </c>
      <c r="AS22" s="7">
        <v>69</v>
      </c>
      <c r="AT22" s="7">
        <v>41</v>
      </c>
      <c r="AU22" s="7">
        <v>41</v>
      </c>
      <c r="AV22" s="7">
        <v>39</v>
      </c>
      <c r="AW22" s="7"/>
      <c r="AX22" s="7">
        <v>46</v>
      </c>
      <c r="AY22" s="7">
        <v>18</v>
      </c>
      <c r="AZ22" s="7">
        <v>20</v>
      </c>
      <c r="BA22" s="7">
        <v>39</v>
      </c>
      <c r="BB22" s="7">
        <v>31</v>
      </c>
      <c r="BC22" s="7">
        <v>81</v>
      </c>
      <c r="BD22" s="7">
        <v>61</v>
      </c>
      <c r="BE22" s="7">
        <v>25</v>
      </c>
      <c r="BF22" s="7"/>
      <c r="BG22" s="7">
        <v>28</v>
      </c>
      <c r="BH22" s="7">
        <v>55</v>
      </c>
      <c r="BI22" s="7">
        <v>64</v>
      </c>
      <c r="BJ22" s="7">
        <v>67</v>
      </c>
      <c r="BK22" s="7">
        <v>28</v>
      </c>
      <c r="BL22" s="7">
        <v>24</v>
      </c>
    </row>
    <row r="23" spans="1:64">
      <c r="A23" s="5"/>
      <c r="B23" s="8" t="s">
        <v>27</v>
      </c>
      <c r="C23" s="7">
        <v>18</v>
      </c>
      <c r="D23" s="7">
        <v>21</v>
      </c>
      <c r="E23" s="7">
        <v>23</v>
      </c>
      <c r="F23" s="7">
        <v>24</v>
      </c>
      <c r="G23" s="7"/>
      <c r="H23" s="7"/>
      <c r="I23" s="7"/>
      <c r="J23" s="7"/>
      <c r="K23" s="7"/>
      <c r="L23" s="7"/>
      <c r="M23" s="7"/>
      <c r="N23" s="7"/>
      <c r="O23" s="7"/>
      <c r="P23" s="7">
        <v>53</v>
      </c>
      <c r="Q23" s="7">
        <v>20</v>
      </c>
      <c r="R23" s="7">
        <v>40</v>
      </c>
      <c r="S23" s="7">
        <v>44</v>
      </c>
      <c r="T23" s="7">
        <v>18</v>
      </c>
      <c r="U23" s="7">
        <v>40</v>
      </c>
      <c r="V23" s="7">
        <v>36</v>
      </c>
      <c r="W23" s="7"/>
      <c r="X23" s="7"/>
      <c r="Y23" s="7"/>
      <c r="Z23" s="7"/>
      <c r="AA23" s="7">
        <v>16</v>
      </c>
      <c r="AB23" s="7">
        <v>18</v>
      </c>
      <c r="AC23" s="7">
        <v>39</v>
      </c>
      <c r="AD23" s="7"/>
      <c r="AE23" s="7"/>
      <c r="AF23" s="7"/>
      <c r="AG23" s="7"/>
      <c r="AH23" s="7"/>
      <c r="AI23" s="7">
        <v>19</v>
      </c>
      <c r="AJ23" s="7"/>
      <c r="AK23" s="7"/>
      <c r="AL23" s="7"/>
      <c r="AM23" s="7"/>
      <c r="AN23" s="7"/>
      <c r="AO23" s="7">
        <v>31</v>
      </c>
      <c r="AP23" s="7"/>
      <c r="AQ23" s="7">
        <v>36</v>
      </c>
      <c r="AR23" s="7">
        <v>68</v>
      </c>
      <c r="AS23" s="7"/>
      <c r="AT23" s="7"/>
      <c r="AU23" s="7">
        <v>41</v>
      </c>
      <c r="AV23" s="7">
        <v>26</v>
      </c>
      <c r="AW23" s="7"/>
      <c r="AX23" s="7">
        <v>46</v>
      </c>
      <c r="AY23" s="7">
        <v>18</v>
      </c>
      <c r="AZ23" s="7">
        <v>20</v>
      </c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</row>
    <row r="24" spans="1:64">
      <c r="A24" s="5" t="s">
        <v>29</v>
      </c>
      <c r="B24" s="7" t="s">
        <v>34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</row>
    <row r="25" spans="1:64">
      <c r="A25" s="5" t="s">
        <v>32</v>
      </c>
      <c r="B25" s="8" t="s">
        <v>26</v>
      </c>
      <c r="C25" s="7"/>
      <c r="D25" s="7">
        <v>12</v>
      </c>
      <c r="E25" s="7">
        <v>12</v>
      </c>
      <c r="F25" s="7">
        <v>12</v>
      </c>
      <c r="G25" s="7"/>
      <c r="H25" s="7">
        <v>33</v>
      </c>
      <c r="I25" s="7">
        <v>25</v>
      </c>
      <c r="J25" s="7"/>
      <c r="K25" s="7">
        <v>20</v>
      </c>
      <c r="L25" s="7">
        <v>57</v>
      </c>
      <c r="M25" s="7">
        <v>19</v>
      </c>
      <c r="N25" s="7">
        <v>60</v>
      </c>
      <c r="O25" s="7"/>
      <c r="P25" s="7">
        <v>30</v>
      </c>
      <c r="Q25" s="7"/>
      <c r="R25" s="7">
        <v>10</v>
      </c>
      <c r="S25" s="7"/>
      <c r="T25" s="7">
        <v>35</v>
      </c>
      <c r="U25" s="7">
        <v>18</v>
      </c>
      <c r="V25" s="7">
        <v>18</v>
      </c>
      <c r="W25" s="7"/>
      <c r="X25" s="7"/>
      <c r="Y25" s="7">
        <v>9</v>
      </c>
      <c r="Z25" s="7"/>
      <c r="AA25" s="7">
        <v>10</v>
      </c>
      <c r="AB25" s="7">
        <v>5</v>
      </c>
      <c r="AC25" s="7"/>
      <c r="AD25" s="7"/>
      <c r="AE25" s="7">
        <v>12</v>
      </c>
      <c r="AF25" s="7"/>
      <c r="AG25" s="7">
        <v>19</v>
      </c>
      <c r="AH25" s="7"/>
      <c r="AI25" s="7">
        <v>16</v>
      </c>
      <c r="AJ25" s="7">
        <v>37</v>
      </c>
      <c r="AK25" s="7">
        <v>5</v>
      </c>
      <c r="AL25" s="7"/>
      <c r="AM25" s="7"/>
      <c r="AN25" s="7"/>
      <c r="AO25" s="7">
        <v>20</v>
      </c>
      <c r="AP25" s="7">
        <v>10</v>
      </c>
      <c r="AQ25" s="7"/>
      <c r="AR25" s="7">
        <v>68</v>
      </c>
      <c r="AS25" s="7">
        <v>69</v>
      </c>
      <c r="AT25" s="7">
        <v>20</v>
      </c>
      <c r="AU25" s="7">
        <v>20</v>
      </c>
      <c r="AV25" s="7"/>
      <c r="AW25" s="7"/>
      <c r="AX25" s="7">
        <v>30</v>
      </c>
      <c r="AY25" s="7"/>
      <c r="AZ25" s="7"/>
      <c r="BA25" s="7">
        <v>3</v>
      </c>
      <c r="BB25" s="7">
        <v>20</v>
      </c>
      <c r="BC25" s="7"/>
      <c r="BD25" s="7">
        <v>61</v>
      </c>
      <c r="BE25" s="7"/>
      <c r="BF25" s="7">
        <v>73</v>
      </c>
      <c r="BG25" s="7">
        <v>28</v>
      </c>
      <c r="BH25" s="7">
        <v>55</v>
      </c>
      <c r="BI25" s="7">
        <v>64</v>
      </c>
      <c r="BJ25" s="7">
        <v>67</v>
      </c>
      <c r="BK25" s="7">
        <v>28</v>
      </c>
      <c r="BL25" s="7">
        <v>24</v>
      </c>
    </row>
    <row r="26" spans="1:64">
      <c r="A26" s="8"/>
      <c r="B26" s="8" t="s">
        <v>27</v>
      </c>
      <c r="C26" s="7"/>
      <c r="D26" s="7">
        <v>16</v>
      </c>
      <c r="E26" s="7">
        <v>18</v>
      </c>
      <c r="F26" s="7">
        <v>19</v>
      </c>
      <c r="G26" s="7">
        <v>7</v>
      </c>
      <c r="H26" s="7">
        <v>2</v>
      </c>
      <c r="I26" s="7"/>
      <c r="J26" s="7"/>
      <c r="K26" s="7">
        <v>30</v>
      </c>
      <c r="L26" s="7"/>
      <c r="M26" s="7">
        <v>11</v>
      </c>
      <c r="N26" s="7"/>
      <c r="O26" s="7">
        <v>15</v>
      </c>
      <c r="P26" s="7">
        <v>30</v>
      </c>
      <c r="Q26" s="7">
        <v>20</v>
      </c>
      <c r="R26" s="7">
        <v>20</v>
      </c>
      <c r="S26" s="7">
        <v>23</v>
      </c>
      <c r="T26" s="7">
        <v>35</v>
      </c>
      <c r="U26" s="7">
        <v>40</v>
      </c>
      <c r="V26" s="7">
        <v>36</v>
      </c>
      <c r="W26" s="7">
        <v>39</v>
      </c>
      <c r="X26" s="7">
        <v>10</v>
      </c>
      <c r="Y26" s="7">
        <v>4</v>
      </c>
      <c r="Z26" s="7"/>
      <c r="AA26" s="7">
        <v>13</v>
      </c>
      <c r="AB26" s="7">
        <v>11</v>
      </c>
      <c r="AC26" s="7">
        <v>39</v>
      </c>
      <c r="AD26" s="7"/>
      <c r="AE26" s="7"/>
      <c r="AF26" s="7"/>
      <c r="AG26" s="7"/>
      <c r="AH26" s="7"/>
      <c r="AI26" s="7">
        <v>19</v>
      </c>
      <c r="AJ26" s="7">
        <v>37</v>
      </c>
      <c r="AK26" s="7">
        <v>3</v>
      </c>
      <c r="AL26" s="7"/>
      <c r="AM26" s="7"/>
      <c r="AN26" s="7">
        <v>19</v>
      </c>
      <c r="AO26" s="7">
        <v>11</v>
      </c>
      <c r="AP26" s="7">
        <v>12</v>
      </c>
      <c r="AQ26" s="7"/>
      <c r="AR26" s="7">
        <v>68</v>
      </c>
      <c r="AS26" s="7"/>
      <c r="AT26" s="7"/>
      <c r="AU26" s="7">
        <v>20</v>
      </c>
      <c r="AV26" s="7"/>
      <c r="AW26" s="7"/>
      <c r="AX26" s="7">
        <v>25</v>
      </c>
      <c r="AY26" s="7"/>
      <c r="AZ26" s="7"/>
      <c r="BA26" s="7">
        <v>20</v>
      </c>
      <c r="BB26" s="7">
        <v>11</v>
      </c>
      <c r="BC26" s="7">
        <v>18</v>
      </c>
      <c r="BD26" s="7"/>
      <c r="BE26" s="7">
        <v>5</v>
      </c>
      <c r="BF26" s="7"/>
      <c r="BG26" s="7">
        <v>28</v>
      </c>
      <c r="BH26" s="7"/>
      <c r="BI26" s="7"/>
      <c r="BJ26" s="7"/>
      <c r="BK26" s="7"/>
      <c r="BL26" s="7"/>
    </row>
    <row r="27" spans="1:64">
      <c r="A27" s="9" t="s">
        <v>35</v>
      </c>
      <c r="B27" s="10" t="s">
        <v>36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64">
      <c r="A28" s="11"/>
      <c r="B28" s="11" t="s">
        <v>37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1:64">
      <c r="A29" s="12"/>
      <c r="B29" s="12" t="s">
        <v>26</v>
      </c>
      <c r="C29" s="11">
        <v>70</v>
      </c>
      <c r="D29" s="11">
        <v>50</v>
      </c>
      <c r="E29" s="11">
        <v>50</v>
      </c>
      <c r="F29" s="11">
        <v>70</v>
      </c>
      <c r="G29" s="11">
        <v>100</v>
      </c>
      <c r="H29" s="11">
        <v>50</v>
      </c>
      <c r="I29" s="11">
        <v>90</v>
      </c>
      <c r="J29" s="11">
        <v>90</v>
      </c>
      <c r="K29" s="11">
        <v>90</v>
      </c>
      <c r="L29" s="11">
        <v>50</v>
      </c>
      <c r="M29" s="11">
        <v>90</v>
      </c>
      <c r="N29" s="11">
        <v>50</v>
      </c>
      <c r="O29" s="11">
        <v>100</v>
      </c>
      <c r="P29" s="11">
        <v>80</v>
      </c>
      <c r="Q29" s="11">
        <v>50</v>
      </c>
      <c r="R29" s="11">
        <v>40</v>
      </c>
      <c r="S29" s="11">
        <v>60</v>
      </c>
      <c r="T29" s="11">
        <v>80</v>
      </c>
      <c r="U29" s="11">
        <v>50</v>
      </c>
      <c r="V29" s="11">
        <v>30</v>
      </c>
      <c r="W29" s="11">
        <v>70</v>
      </c>
      <c r="X29" s="11">
        <v>80</v>
      </c>
      <c r="Y29" s="11">
        <v>45</v>
      </c>
      <c r="Z29" s="11">
        <v>100</v>
      </c>
      <c r="AA29" s="11">
        <v>70</v>
      </c>
      <c r="AB29" s="11">
        <v>90</v>
      </c>
      <c r="AC29" s="11">
        <v>90</v>
      </c>
      <c r="AD29" s="11">
        <v>70</v>
      </c>
      <c r="AE29" s="11">
        <v>100</v>
      </c>
      <c r="AF29" s="11">
        <v>100</v>
      </c>
      <c r="AG29" s="11">
        <v>100</v>
      </c>
      <c r="AH29" s="11">
        <v>100</v>
      </c>
      <c r="AI29" s="11">
        <v>30</v>
      </c>
      <c r="AJ29" s="11">
        <v>60</v>
      </c>
      <c r="AK29" s="11">
        <v>100</v>
      </c>
      <c r="AL29" s="11">
        <v>75</v>
      </c>
      <c r="AM29" s="11">
        <v>75</v>
      </c>
      <c r="AN29" s="11">
        <v>100</v>
      </c>
      <c r="AO29" s="11">
        <v>80</v>
      </c>
      <c r="AP29" s="11">
        <v>75</v>
      </c>
      <c r="AQ29" s="11">
        <v>100</v>
      </c>
      <c r="AR29" s="11">
        <v>100</v>
      </c>
      <c r="AS29" s="11">
        <v>100</v>
      </c>
      <c r="AT29" s="11">
        <v>80</v>
      </c>
      <c r="AU29" s="11">
        <v>60</v>
      </c>
      <c r="AV29" s="11">
        <v>85</v>
      </c>
      <c r="AW29" s="11">
        <v>80</v>
      </c>
      <c r="AX29" s="11">
        <v>80</v>
      </c>
      <c r="AY29" s="11">
        <v>70</v>
      </c>
      <c r="AZ29" s="11">
        <v>60</v>
      </c>
      <c r="BA29" s="11">
        <v>100</v>
      </c>
      <c r="BB29" s="11">
        <v>60</v>
      </c>
      <c r="BC29" s="11">
        <v>60</v>
      </c>
      <c r="BD29" s="11">
        <v>80</v>
      </c>
      <c r="BE29" s="11">
        <v>50</v>
      </c>
      <c r="BF29" s="11">
        <v>100</v>
      </c>
      <c r="BG29" s="11">
        <v>70</v>
      </c>
      <c r="BH29" s="11">
        <v>100</v>
      </c>
      <c r="BI29" s="11">
        <v>100</v>
      </c>
      <c r="BJ29" s="11">
        <v>100</v>
      </c>
      <c r="BK29" s="11">
        <v>100</v>
      </c>
      <c r="BL29" s="11">
        <v>100</v>
      </c>
    </row>
    <row r="30" spans="1:64">
      <c r="A30" s="12"/>
      <c r="B30" s="12" t="s">
        <v>27</v>
      </c>
      <c r="C30" s="11">
        <v>30</v>
      </c>
      <c r="D30" s="11">
        <v>45</v>
      </c>
      <c r="E30" s="11">
        <v>45</v>
      </c>
      <c r="F30" s="11">
        <v>30</v>
      </c>
      <c r="G30" s="11"/>
      <c r="H30" s="11">
        <v>50</v>
      </c>
      <c r="I30" s="11">
        <v>10</v>
      </c>
      <c r="J30" s="11">
        <v>10</v>
      </c>
      <c r="K30" s="11">
        <v>10</v>
      </c>
      <c r="L30" s="11">
        <v>50</v>
      </c>
      <c r="M30" s="11">
        <v>10</v>
      </c>
      <c r="N30" s="11">
        <v>50</v>
      </c>
      <c r="O30" s="11"/>
      <c r="P30" s="11">
        <v>20</v>
      </c>
      <c r="Q30" s="11">
        <v>50</v>
      </c>
      <c r="R30" s="11">
        <v>50</v>
      </c>
      <c r="S30" s="11">
        <v>40</v>
      </c>
      <c r="T30" s="11">
        <v>20</v>
      </c>
      <c r="U30" s="11">
        <v>50</v>
      </c>
      <c r="V30" s="11">
        <v>70</v>
      </c>
      <c r="W30" s="11">
        <v>30</v>
      </c>
      <c r="X30" s="11">
        <v>20</v>
      </c>
      <c r="Y30" s="11">
        <v>45</v>
      </c>
      <c r="Z30" s="11"/>
      <c r="AA30" s="11">
        <v>25</v>
      </c>
      <c r="AB30" s="11">
        <v>10</v>
      </c>
      <c r="AC30" s="11">
        <v>10</v>
      </c>
      <c r="AD30" s="11">
        <v>30</v>
      </c>
      <c r="AE30" s="11"/>
      <c r="AF30" s="11"/>
      <c r="AG30" s="11"/>
      <c r="AH30" s="11"/>
      <c r="AI30" s="11">
        <v>70</v>
      </c>
      <c r="AJ30" s="11">
        <v>40</v>
      </c>
      <c r="AK30" s="11"/>
      <c r="AL30" s="11">
        <v>25</v>
      </c>
      <c r="AM30" s="11">
        <v>25</v>
      </c>
      <c r="AN30" s="11"/>
      <c r="AO30" s="11">
        <v>20</v>
      </c>
      <c r="AP30" s="11">
        <v>25</v>
      </c>
      <c r="AQ30" s="11"/>
      <c r="AR30" s="11"/>
      <c r="AS30" s="11"/>
      <c r="AT30" s="11">
        <v>20</v>
      </c>
      <c r="AU30" s="11">
        <v>40</v>
      </c>
      <c r="AV30" s="11">
        <v>10</v>
      </c>
      <c r="AW30" s="11">
        <v>20</v>
      </c>
      <c r="AX30" s="11">
        <v>10</v>
      </c>
      <c r="AY30" s="11">
        <v>30</v>
      </c>
      <c r="AZ30" s="11">
        <v>40</v>
      </c>
      <c r="BA30" s="11"/>
      <c r="BB30" s="11">
        <v>40</v>
      </c>
      <c r="BC30" s="11">
        <v>40</v>
      </c>
      <c r="BD30" s="11">
        <v>20</v>
      </c>
      <c r="BE30" s="11">
        <v>50</v>
      </c>
      <c r="BF30" s="11"/>
      <c r="BG30" s="11">
        <v>30</v>
      </c>
      <c r="BH30" s="11"/>
      <c r="BI30" s="11"/>
      <c r="BJ30" s="11"/>
      <c r="BK30" s="11"/>
      <c r="BL30" s="11"/>
    </row>
    <row r="31" spans="1:64">
      <c r="A31" s="12"/>
      <c r="B31" s="12" t="s">
        <v>38</v>
      </c>
      <c r="C31" s="11"/>
      <c r="D31" s="11">
        <v>5</v>
      </c>
      <c r="E31" s="11">
        <v>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>
        <v>10</v>
      </c>
      <c r="S31" s="11"/>
      <c r="T31" s="11"/>
      <c r="U31" s="11"/>
      <c r="V31" s="11"/>
      <c r="W31" s="11"/>
      <c r="X31" s="11"/>
      <c r="Y31" s="11">
        <v>10</v>
      </c>
      <c r="Z31" s="11"/>
      <c r="AA31" s="11">
        <v>5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>
        <v>5</v>
      </c>
      <c r="AW31" s="11"/>
      <c r="AX31" s="11">
        <v>10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1:64">
      <c r="A32" s="11"/>
      <c r="B32" s="11" t="s">
        <v>39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>
      <c r="A33" s="12"/>
      <c r="B33" s="12" t="s">
        <v>26</v>
      </c>
      <c r="C33" s="11">
        <v>90</v>
      </c>
      <c r="D33" s="11">
        <v>65</v>
      </c>
      <c r="E33" s="11">
        <v>65</v>
      </c>
      <c r="F33" s="11">
        <v>65</v>
      </c>
      <c r="G33" s="11">
        <v>100</v>
      </c>
      <c r="H33" s="11">
        <v>100</v>
      </c>
      <c r="I33" s="11">
        <v>95</v>
      </c>
      <c r="J33" s="11">
        <v>100</v>
      </c>
      <c r="K33" s="11">
        <v>100</v>
      </c>
      <c r="L33" s="11">
        <v>50</v>
      </c>
      <c r="M33" s="11">
        <v>95</v>
      </c>
      <c r="N33" s="11">
        <v>80</v>
      </c>
      <c r="O33" s="11">
        <v>98</v>
      </c>
      <c r="P33" s="11">
        <v>70</v>
      </c>
      <c r="Q33" s="11">
        <v>40</v>
      </c>
      <c r="R33" s="11">
        <v>100</v>
      </c>
      <c r="S33" s="11">
        <v>90</v>
      </c>
      <c r="T33" s="11">
        <v>80</v>
      </c>
      <c r="U33" s="11">
        <v>50</v>
      </c>
      <c r="V33" s="11">
        <v>20</v>
      </c>
      <c r="W33" s="11"/>
      <c r="X33" s="11">
        <v>50</v>
      </c>
      <c r="Y33" s="11">
        <v>50</v>
      </c>
      <c r="Z33" s="11">
        <v>100</v>
      </c>
      <c r="AA33" s="11">
        <v>8</v>
      </c>
      <c r="AB33" s="11">
        <v>97</v>
      </c>
      <c r="AC33" s="11">
        <v>97</v>
      </c>
      <c r="AD33" s="11">
        <v>90</v>
      </c>
      <c r="AE33" s="11">
        <v>75</v>
      </c>
      <c r="AF33" s="11">
        <v>50</v>
      </c>
      <c r="AG33" s="11">
        <v>100</v>
      </c>
      <c r="AH33" s="11">
        <v>100</v>
      </c>
      <c r="AI33" s="11">
        <v>50</v>
      </c>
      <c r="AJ33" s="11">
        <v>90</v>
      </c>
      <c r="AK33" s="11"/>
      <c r="AL33" s="11">
        <v>90</v>
      </c>
      <c r="AM33" s="11">
        <v>60</v>
      </c>
      <c r="AN33" s="11">
        <v>100</v>
      </c>
      <c r="AO33" s="11">
        <v>95</v>
      </c>
      <c r="AP33" s="11">
        <v>90</v>
      </c>
      <c r="AQ33" s="11">
        <v>100</v>
      </c>
      <c r="AR33" s="11">
        <v>100</v>
      </c>
      <c r="AS33" s="11">
        <v>100</v>
      </c>
      <c r="AT33" s="11">
        <v>90</v>
      </c>
      <c r="AU33" s="11">
        <v>70</v>
      </c>
      <c r="AV33" s="11">
        <v>80</v>
      </c>
      <c r="AW33" s="11">
        <v>80</v>
      </c>
      <c r="AX33" s="11">
        <v>90</v>
      </c>
      <c r="AY33" s="11">
        <v>80</v>
      </c>
      <c r="AZ33" s="11">
        <v>50</v>
      </c>
      <c r="BA33" s="11">
        <v>70</v>
      </c>
      <c r="BB33" s="11">
        <v>80</v>
      </c>
      <c r="BC33" s="11">
        <v>60</v>
      </c>
      <c r="BD33" s="11">
        <v>100</v>
      </c>
      <c r="BE33" s="11">
        <v>100</v>
      </c>
      <c r="BF33" s="11">
        <v>100</v>
      </c>
      <c r="BG33" s="11">
        <v>80</v>
      </c>
      <c r="BH33" s="11">
        <v>100</v>
      </c>
      <c r="BI33" s="11">
        <v>100</v>
      </c>
      <c r="BJ33" s="11">
        <v>100</v>
      </c>
      <c r="BK33" s="11">
        <v>100</v>
      </c>
      <c r="BL33" s="11">
        <v>100</v>
      </c>
    </row>
    <row r="34" spans="1:64">
      <c r="A34" s="12"/>
      <c r="B34" s="12" t="s">
        <v>27</v>
      </c>
      <c r="C34" s="11">
        <v>10</v>
      </c>
      <c r="D34" s="11">
        <v>30</v>
      </c>
      <c r="E34" s="11">
        <v>30</v>
      </c>
      <c r="F34" s="11">
        <v>30</v>
      </c>
      <c r="G34" s="11"/>
      <c r="H34" s="11"/>
      <c r="I34" s="11">
        <v>5</v>
      </c>
      <c r="J34" s="11"/>
      <c r="K34" s="11"/>
      <c r="L34" s="11">
        <v>50</v>
      </c>
      <c r="M34" s="11">
        <v>5</v>
      </c>
      <c r="N34" s="11">
        <v>20</v>
      </c>
      <c r="O34" s="11">
        <v>2</v>
      </c>
      <c r="P34" s="11">
        <v>30</v>
      </c>
      <c r="Q34" s="11">
        <v>60</v>
      </c>
      <c r="R34" s="11"/>
      <c r="S34" s="11">
        <v>10</v>
      </c>
      <c r="T34" s="11">
        <v>20</v>
      </c>
      <c r="U34" s="11">
        <v>50</v>
      </c>
      <c r="V34" s="11">
        <v>80</v>
      </c>
      <c r="W34" s="11"/>
      <c r="X34" s="11">
        <v>50</v>
      </c>
      <c r="Y34" s="11">
        <v>50</v>
      </c>
      <c r="Z34" s="11"/>
      <c r="AA34" s="11">
        <v>10</v>
      </c>
      <c r="AB34" s="11">
        <v>3</v>
      </c>
      <c r="AC34" s="11">
        <v>3</v>
      </c>
      <c r="AD34" s="11">
        <v>10</v>
      </c>
      <c r="AE34" s="11">
        <v>25</v>
      </c>
      <c r="AF34" s="11">
        <v>50</v>
      </c>
      <c r="AG34" s="11"/>
      <c r="AH34" s="11"/>
      <c r="AI34" s="11">
        <v>50</v>
      </c>
      <c r="AJ34" s="11">
        <v>10</v>
      </c>
      <c r="AK34" s="11"/>
      <c r="AL34" s="11">
        <v>10</v>
      </c>
      <c r="AM34" s="11">
        <v>40</v>
      </c>
      <c r="AN34" s="11"/>
      <c r="AO34" s="11">
        <v>5</v>
      </c>
      <c r="AP34" s="11">
        <v>10</v>
      </c>
      <c r="AQ34" s="11"/>
      <c r="AR34" s="11"/>
      <c r="AS34" s="11"/>
      <c r="AT34" s="11">
        <v>10</v>
      </c>
      <c r="AU34" s="11">
        <v>30</v>
      </c>
      <c r="AV34" s="11">
        <v>20</v>
      </c>
      <c r="AW34" s="11">
        <v>20</v>
      </c>
      <c r="AX34" s="11">
        <v>5</v>
      </c>
      <c r="AY34" s="11">
        <v>20</v>
      </c>
      <c r="AZ34" s="11">
        <v>50</v>
      </c>
      <c r="BA34" s="11">
        <v>30</v>
      </c>
      <c r="BB34" s="11">
        <v>20</v>
      </c>
      <c r="BC34" s="11">
        <v>40</v>
      </c>
      <c r="BD34" s="11"/>
      <c r="BE34" s="11"/>
      <c r="BF34" s="11"/>
      <c r="BG34" s="11">
        <v>20</v>
      </c>
      <c r="BH34" s="11"/>
      <c r="BI34" s="11"/>
      <c r="BJ34" s="11"/>
      <c r="BK34" s="11"/>
      <c r="BL34" s="11"/>
    </row>
    <row r="35" spans="1:64">
      <c r="A35" s="12"/>
      <c r="B35" s="12" t="s">
        <v>38</v>
      </c>
      <c r="C35" s="11"/>
      <c r="D35" s="11">
        <v>5</v>
      </c>
      <c r="E35" s="11">
        <v>5</v>
      </c>
      <c r="F35" s="11">
        <v>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>
        <v>1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>
        <v>5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>
      <c r="A36" s="11"/>
      <c r="B36" s="11" t="s">
        <v>40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>
      <c r="A37" s="12"/>
      <c r="B37" s="12" t="s">
        <v>26</v>
      </c>
      <c r="C37" s="11"/>
      <c r="D37" s="11">
        <v>50</v>
      </c>
      <c r="E37" s="11">
        <v>10</v>
      </c>
      <c r="F37" s="11"/>
      <c r="G37" s="11"/>
      <c r="H37" s="11"/>
      <c r="I37" s="11">
        <v>90</v>
      </c>
      <c r="J37" s="11">
        <v>60</v>
      </c>
      <c r="K37" s="11">
        <v>20</v>
      </c>
      <c r="L37" s="11">
        <v>50</v>
      </c>
      <c r="M37" s="11">
        <v>50</v>
      </c>
      <c r="N37" s="11">
        <v>50</v>
      </c>
      <c r="O37" s="11">
        <v>10</v>
      </c>
      <c r="P37" s="11">
        <v>60</v>
      </c>
      <c r="Q37" s="11"/>
      <c r="R37" s="11">
        <v>30</v>
      </c>
      <c r="S37" s="11"/>
      <c r="T37" s="11">
        <v>30</v>
      </c>
      <c r="U37" s="11"/>
      <c r="V37" s="11"/>
      <c r="W37" s="11">
        <v>20</v>
      </c>
      <c r="X37" s="11">
        <v>20</v>
      </c>
      <c r="Y37" s="11">
        <v>10</v>
      </c>
      <c r="Z37" s="11"/>
      <c r="AA37" s="11">
        <v>60</v>
      </c>
      <c r="AB37" s="11"/>
      <c r="AC37" s="11"/>
      <c r="AD37" s="11">
        <v>95</v>
      </c>
      <c r="AE37" s="11">
        <v>100</v>
      </c>
      <c r="AF37" s="11"/>
      <c r="AG37" s="11">
        <v>100</v>
      </c>
      <c r="AH37" s="11"/>
      <c r="AI37" s="11">
        <v>50</v>
      </c>
      <c r="AJ37" s="11">
        <v>10</v>
      </c>
      <c r="AK37" s="11">
        <v>50</v>
      </c>
      <c r="AL37" s="11">
        <v>80</v>
      </c>
      <c r="AM37" s="11">
        <v>10</v>
      </c>
      <c r="AN37" s="11">
        <v>30</v>
      </c>
      <c r="AO37" s="11">
        <v>30</v>
      </c>
      <c r="AP37" s="11">
        <v>20</v>
      </c>
      <c r="AQ37" s="11"/>
      <c r="AR37" s="11"/>
      <c r="AS37" s="11">
        <v>100</v>
      </c>
      <c r="AT37" s="11">
        <v>90</v>
      </c>
      <c r="AU37" s="11"/>
      <c r="AV37" s="11"/>
      <c r="AW37" s="11">
        <v>70</v>
      </c>
      <c r="AX37" s="11"/>
      <c r="AY37" s="11"/>
      <c r="AZ37" s="11"/>
      <c r="BA37" s="11">
        <v>90</v>
      </c>
      <c r="BB37" s="11">
        <v>70</v>
      </c>
      <c r="BC37" s="11"/>
      <c r="BD37" s="11">
        <v>80</v>
      </c>
      <c r="BE37" s="11">
        <v>100</v>
      </c>
      <c r="BF37" s="11">
        <v>100</v>
      </c>
      <c r="BG37" s="11">
        <v>100</v>
      </c>
      <c r="BH37" s="11"/>
      <c r="BI37" s="11"/>
      <c r="BJ37" s="11"/>
      <c r="BK37" s="11"/>
      <c r="BL37" s="11"/>
    </row>
    <row r="38" spans="1:64">
      <c r="A38" s="12"/>
      <c r="B38" s="12" t="s">
        <v>27</v>
      </c>
      <c r="C38" s="11"/>
      <c r="D38" s="11">
        <v>50</v>
      </c>
      <c r="E38" s="11">
        <v>90</v>
      </c>
      <c r="F38" s="11">
        <v>95</v>
      </c>
      <c r="G38" s="11"/>
      <c r="H38" s="11">
        <v>100</v>
      </c>
      <c r="I38" s="11">
        <v>10</v>
      </c>
      <c r="J38" s="11">
        <v>40</v>
      </c>
      <c r="K38" s="11">
        <v>80</v>
      </c>
      <c r="L38" s="11">
        <v>50</v>
      </c>
      <c r="M38" s="11">
        <v>50</v>
      </c>
      <c r="N38" s="11">
        <v>50</v>
      </c>
      <c r="O38" s="11">
        <v>90</v>
      </c>
      <c r="P38" s="11">
        <v>40</v>
      </c>
      <c r="Q38" s="11">
        <v>100</v>
      </c>
      <c r="R38" s="11">
        <v>70</v>
      </c>
      <c r="S38" s="11">
        <v>100</v>
      </c>
      <c r="T38" s="11">
        <v>70</v>
      </c>
      <c r="U38" s="11">
        <v>100</v>
      </c>
      <c r="V38" s="11">
        <v>100</v>
      </c>
      <c r="W38" s="11">
        <v>80</v>
      </c>
      <c r="X38" s="11">
        <v>80</v>
      </c>
      <c r="Y38" s="11">
        <v>70</v>
      </c>
      <c r="Z38" s="11"/>
      <c r="AA38" s="11">
        <v>39</v>
      </c>
      <c r="AB38" s="11"/>
      <c r="AC38" s="11"/>
      <c r="AD38" s="11">
        <v>5</v>
      </c>
      <c r="AE38" s="11"/>
      <c r="AF38" s="11"/>
      <c r="AG38" s="11"/>
      <c r="AH38" s="11"/>
      <c r="AI38" s="11">
        <v>50</v>
      </c>
      <c r="AJ38" s="11">
        <v>90</v>
      </c>
      <c r="AK38" s="11">
        <v>50</v>
      </c>
      <c r="AL38" s="11">
        <v>20</v>
      </c>
      <c r="AM38" s="11">
        <v>90</v>
      </c>
      <c r="AN38" s="11">
        <v>70</v>
      </c>
      <c r="AO38" s="11">
        <v>70</v>
      </c>
      <c r="AP38" s="11">
        <v>80</v>
      </c>
      <c r="AQ38" s="11"/>
      <c r="AR38" s="11"/>
      <c r="AS38" s="11"/>
      <c r="AT38" s="11">
        <v>10</v>
      </c>
      <c r="AU38" s="11"/>
      <c r="AV38" s="11"/>
      <c r="AW38" s="11">
        <v>30</v>
      </c>
      <c r="AX38" s="11"/>
      <c r="AY38" s="11"/>
      <c r="AZ38" s="11">
        <v>100</v>
      </c>
      <c r="BA38" s="11">
        <v>10</v>
      </c>
      <c r="BB38" s="11">
        <v>30</v>
      </c>
      <c r="BC38" s="11"/>
      <c r="BD38" s="11">
        <v>20</v>
      </c>
      <c r="BE38" s="11"/>
      <c r="BF38" s="11"/>
      <c r="BG38" s="11"/>
      <c r="BH38" s="11">
        <v>100</v>
      </c>
      <c r="BI38" s="11">
        <v>100</v>
      </c>
      <c r="BJ38" s="11">
        <v>100</v>
      </c>
      <c r="BK38" s="11">
        <v>100</v>
      </c>
      <c r="BL38" s="11">
        <v>100</v>
      </c>
    </row>
    <row r="39" spans="1:64">
      <c r="A39" s="12"/>
      <c r="B39" s="12" t="s">
        <v>38</v>
      </c>
      <c r="C39" s="11"/>
      <c r="D39" s="11"/>
      <c r="E39" s="11"/>
      <c r="F39" s="11">
        <v>5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20</v>
      </c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1:64">
      <c r="A40" s="11"/>
      <c r="B40" s="11" t="s">
        <v>41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1:64">
      <c r="A41" s="12"/>
      <c r="B41" s="12" t="s">
        <v>26</v>
      </c>
      <c r="C41" s="11">
        <v>50</v>
      </c>
      <c r="D41" s="11">
        <v>30</v>
      </c>
      <c r="E41" s="11">
        <v>60</v>
      </c>
      <c r="F41" s="11">
        <v>50</v>
      </c>
      <c r="G41" s="11">
        <v>100</v>
      </c>
      <c r="H41" s="11">
        <v>50</v>
      </c>
      <c r="I41" s="11">
        <v>100</v>
      </c>
      <c r="J41" s="11">
        <v>50</v>
      </c>
      <c r="K41" s="11">
        <v>90</v>
      </c>
      <c r="L41" s="11">
        <v>100</v>
      </c>
      <c r="M41" s="11">
        <v>100</v>
      </c>
      <c r="N41" s="11">
        <v>100</v>
      </c>
      <c r="O41" s="11">
        <v>100</v>
      </c>
      <c r="P41" s="11">
        <v>100</v>
      </c>
      <c r="Q41" s="11">
        <v>90</v>
      </c>
      <c r="R41" s="11">
        <v>70</v>
      </c>
      <c r="S41" s="11">
        <v>80</v>
      </c>
      <c r="T41" s="11">
        <v>80</v>
      </c>
      <c r="U41" s="11">
        <v>50</v>
      </c>
      <c r="V41" s="11">
        <v>10</v>
      </c>
      <c r="W41" s="11">
        <v>80</v>
      </c>
      <c r="X41" s="11">
        <v>80</v>
      </c>
      <c r="Y41" s="11">
        <v>100</v>
      </c>
      <c r="Z41" s="11"/>
      <c r="AA41" s="11">
        <v>90</v>
      </c>
      <c r="AB41" s="11">
        <v>90</v>
      </c>
      <c r="AC41" s="11">
        <v>90</v>
      </c>
      <c r="AD41" s="11">
        <v>95</v>
      </c>
      <c r="AE41" s="11">
        <v>100</v>
      </c>
      <c r="AF41" s="11">
        <v>100</v>
      </c>
      <c r="AG41" s="11">
        <v>100</v>
      </c>
      <c r="AH41" s="11">
        <v>100</v>
      </c>
      <c r="AI41" s="11">
        <v>50</v>
      </c>
      <c r="AJ41" s="11">
        <v>20</v>
      </c>
      <c r="AK41" s="11">
        <v>100</v>
      </c>
      <c r="AL41" s="11">
        <v>100</v>
      </c>
      <c r="AM41" s="11">
        <v>100</v>
      </c>
      <c r="AN41" s="11">
        <v>100</v>
      </c>
      <c r="AO41" s="11">
        <v>99</v>
      </c>
      <c r="AP41" s="11">
        <v>100</v>
      </c>
      <c r="AQ41" s="11">
        <v>100</v>
      </c>
      <c r="AR41" s="11">
        <v>100</v>
      </c>
      <c r="AS41" s="11">
        <v>100</v>
      </c>
      <c r="AT41" s="11">
        <v>50</v>
      </c>
      <c r="AU41" s="11">
        <v>100</v>
      </c>
      <c r="AV41" s="11">
        <v>100</v>
      </c>
      <c r="AW41" s="11">
        <v>100</v>
      </c>
      <c r="AX41" s="11">
        <v>100</v>
      </c>
      <c r="AY41" s="11">
        <v>100</v>
      </c>
      <c r="AZ41" s="11">
        <v>50</v>
      </c>
      <c r="BA41" s="11">
        <v>100</v>
      </c>
      <c r="BB41" s="11">
        <v>80</v>
      </c>
      <c r="BC41" s="11">
        <v>50</v>
      </c>
      <c r="BD41" s="11">
        <v>100</v>
      </c>
      <c r="BE41" s="11">
        <v>70</v>
      </c>
      <c r="BF41" s="11">
        <v>100</v>
      </c>
      <c r="BG41" s="11">
        <v>100</v>
      </c>
      <c r="BH41" s="11">
        <v>100</v>
      </c>
      <c r="BI41" s="11">
        <v>100</v>
      </c>
      <c r="BJ41" s="11">
        <v>100</v>
      </c>
      <c r="BK41" s="11">
        <v>100</v>
      </c>
      <c r="BL41" s="11">
        <v>100</v>
      </c>
    </row>
    <row r="42" spans="1:64">
      <c r="A42" s="12"/>
      <c r="B42" s="12" t="s">
        <v>27</v>
      </c>
      <c r="C42" s="11">
        <v>50</v>
      </c>
      <c r="D42" s="11">
        <v>60</v>
      </c>
      <c r="E42" s="11">
        <v>40</v>
      </c>
      <c r="F42" s="11">
        <v>50</v>
      </c>
      <c r="G42" s="11"/>
      <c r="H42" s="11">
        <v>50</v>
      </c>
      <c r="I42" s="11"/>
      <c r="J42" s="11">
        <v>50</v>
      </c>
      <c r="K42" s="11">
        <v>10</v>
      </c>
      <c r="L42" s="11"/>
      <c r="M42" s="11"/>
      <c r="N42" s="11"/>
      <c r="O42" s="11"/>
      <c r="P42" s="11"/>
      <c r="Q42" s="11">
        <v>10</v>
      </c>
      <c r="R42" s="11">
        <v>30</v>
      </c>
      <c r="S42" s="11">
        <v>20</v>
      </c>
      <c r="T42" s="11">
        <v>20</v>
      </c>
      <c r="U42" s="11">
        <v>50</v>
      </c>
      <c r="V42" s="11">
        <v>90</v>
      </c>
      <c r="W42" s="11">
        <v>20</v>
      </c>
      <c r="X42" s="11">
        <v>20</v>
      </c>
      <c r="Y42" s="11"/>
      <c r="Z42" s="11"/>
      <c r="AA42" s="11">
        <v>7</v>
      </c>
      <c r="AB42" s="11">
        <v>10</v>
      </c>
      <c r="AC42" s="11">
        <v>10</v>
      </c>
      <c r="AD42" s="11"/>
      <c r="AE42" s="11"/>
      <c r="AF42" s="11"/>
      <c r="AG42" s="11"/>
      <c r="AH42" s="11"/>
      <c r="AI42" s="11">
        <v>50</v>
      </c>
      <c r="AJ42" s="11">
        <v>80</v>
      </c>
      <c r="AK42" s="11"/>
      <c r="AL42" s="11"/>
      <c r="AM42" s="11"/>
      <c r="AN42" s="11"/>
      <c r="AO42" s="11">
        <v>1</v>
      </c>
      <c r="AP42" s="11"/>
      <c r="AQ42" s="11"/>
      <c r="AR42" s="11"/>
      <c r="AS42" s="11"/>
      <c r="AT42" s="11">
        <v>50</v>
      </c>
      <c r="AU42" s="11"/>
      <c r="AV42" s="11"/>
      <c r="AW42" s="11"/>
      <c r="AX42" s="11"/>
      <c r="AY42" s="11"/>
      <c r="AZ42" s="11">
        <v>50</v>
      </c>
      <c r="BA42" s="11"/>
      <c r="BB42" s="11">
        <v>20</v>
      </c>
      <c r="BC42" s="11">
        <v>50</v>
      </c>
      <c r="BD42" s="11"/>
      <c r="BE42" s="11">
        <v>30</v>
      </c>
      <c r="BF42" s="11"/>
      <c r="BG42" s="11"/>
      <c r="BH42" s="11"/>
      <c r="BI42" s="11"/>
      <c r="BJ42" s="11"/>
      <c r="BK42" s="11"/>
      <c r="BL42" s="11"/>
    </row>
    <row r="43" spans="1:64">
      <c r="A43" s="12"/>
      <c r="B43" s="12" t="s">
        <v>38</v>
      </c>
      <c r="C43" s="11"/>
      <c r="D43" s="11">
        <v>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1:64">
      <c r="A44" s="11"/>
      <c r="B44" s="11" t="s">
        <v>42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1:64">
      <c r="A45" s="12"/>
      <c r="B45" s="12" t="s">
        <v>26</v>
      </c>
      <c r="C45" s="11"/>
      <c r="D45" s="11">
        <v>10</v>
      </c>
      <c r="E45" s="11">
        <v>35</v>
      </c>
      <c r="F45" s="11">
        <v>5</v>
      </c>
      <c r="G45" s="11"/>
      <c r="H45" s="11">
        <v>50</v>
      </c>
      <c r="I45" s="11">
        <v>100</v>
      </c>
      <c r="J45" s="11"/>
      <c r="K45" s="11"/>
      <c r="L45" s="11"/>
      <c r="M45" s="11">
        <v>90</v>
      </c>
      <c r="N45" s="11">
        <v>100</v>
      </c>
      <c r="O45" s="11">
        <v>100</v>
      </c>
      <c r="P45" s="11">
        <v>75</v>
      </c>
      <c r="Q45" s="11">
        <v>90</v>
      </c>
      <c r="R45" s="11">
        <v>90</v>
      </c>
      <c r="S45" s="11"/>
      <c r="T45" s="11">
        <v>70</v>
      </c>
      <c r="U45" s="11">
        <v>50</v>
      </c>
      <c r="V45" s="11">
        <v>10</v>
      </c>
      <c r="W45" s="11"/>
      <c r="X45" s="11"/>
      <c r="Y45" s="11"/>
      <c r="Z45" s="11">
        <v>50</v>
      </c>
      <c r="AA45" s="11">
        <v>60</v>
      </c>
      <c r="AB45" s="11">
        <v>50</v>
      </c>
      <c r="AC45" s="11">
        <v>90</v>
      </c>
      <c r="AD45" s="11">
        <v>97</v>
      </c>
      <c r="AE45" s="11">
        <v>50</v>
      </c>
      <c r="AF45" s="11">
        <v>30</v>
      </c>
      <c r="AG45" s="11">
        <v>100</v>
      </c>
      <c r="AH45" s="11">
        <v>50</v>
      </c>
      <c r="AI45" s="11"/>
      <c r="AJ45" s="11">
        <v>50</v>
      </c>
      <c r="AK45" s="11">
        <v>50</v>
      </c>
      <c r="AL45" s="11">
        <v>75</v>
      </c>
      <c r="AM45" s="11">
        <v>50</v>
      </c>
      <c r="AN45" s="11">
        <v>50</v>
      </c>
      <c r="AO45" s="11">
        <v>50</v>
      </c>
      <c r="AP45" s="11">
        <v>50</v>
      </c>
      <c r="AQ45" s="11">
        <v>50</v>
      </c>
      <c r="AR45" s="11">
        <v>100</v>
      </c>
      <c r="AS45" s="11">
        <v>100</v>
      </c>
      <c r="AT45" s="11">
        <v>100</v>
      </c>
      <c r="AU45" s="11"/>
      <c r="AV45" s="11"/>
      <c r="AW45" s="11">
        <v>50</v>
      </c>
      <c r="AX45" s="11"/>
      <c r="AY45" s="11"/>
      <c r="AZ45" s="11"/>
      <c r="BA45" s="11">
        <v>100</v>
      </c>
      <c r="BB45" s="11">
        <v>60</v>
      </c>
      <c r="BC45" s="11">
        <v>40</v>
      </c>
      <c r="BD45" s="11">
        <v>50</v>
      </c>
      <c r="BE45" s="11">
        <v>50</v>
      </c>
      <c r="BF45" s="11">
        <v>100</v>
      </c>
      <c r="BG45" s="11">
        <v>50</v>
      </c>
      <c r="BH45" s="11">
        <v>100</v>
      </c>
      <c r="BI45" s="11">
        <v>100</v>
      </c>
      <c r="BJ45" s="11">
        <v>10</v>
      </c>
      <c r="BK45" s="11">
        <v>100</v>
      </c>
      <c r="BL45" s="11">
        <v>100</v>
      </c>
    </row>
    <row r="46" spans="1:64">
      <c r="A46" s="12"/>
      <c r="B46" s="12" t="s">
        <v>27</v>
      </c>
      <c r="C46" s="11"/>
      <c r="D46" s="11">
        <v>90</v>
      </c>
      <c r="E46" s="11">
        <v>60</v>
      </c>
      <c r="F46" s="11">
        <v>90</v>
      </c>
      <c r="G46" s="11">
        <v>100</v>
      </c>
      <c r="H46" s="11">
        <v>50</v>
      </c>
      <c r="I46" s="11"/>
      <c r="J46" s="11"/>
      <c r="K46" s="11"/>
      <c r="L46" s="11"/>
      <c r="M46" s="11">
        <v>10</v>
      </c>
      <c r="N46" s="11"/>
      <c r="O46" s="11"/>
      <c r="P46" s="11">
        <v>25</v>
      </c>
      <c r="Q46" s="11">
        <v>10</v>
      </c>
      <c r="R46" s="11">
        <v>10</v>
      </c>
      <c r="S46" s="11">
        <v>100</v>
      </c>
      <c r="T46" s="11">
        <v>30</v>
      </c>
      <c r="U46" s="11">
        <v>50</v>
      </c>
      <c r="V46" s="11">
        <v>90</v>
      </c>
      <c r="W46" s="11">
        <v>100</v>
      </c>
      <c r="X46" s="11">
        <v>100</v>
      </c>
      <c r="Y46" s="11">
        <v>100</v>
      </c>
      <c r="Z46" s="11">
        <v>50</v>
      </c>
      <c r="AA46" s="11">
        <v>35</v>
      </c>
      <c r="AB46" s="11">
        <v>50</v>
      </c>
      <c r="AC46" s="11">
        <v>10</v>
      </c>
      <c r="AD46" s="11">
        <v>3</v>
      </c>
      <c r="AE46" s="11">
        <v>50</v>
      </c>
      <c r="AF46" s="11">
        <v>70</v>
      </c>
      <c r="AG46" s="11"/>
      <c r="AH46" s="11">
        <v>50</v>
      </c>
      <c r="AI46" s="11">
        <v>100</v>
      </c>
      <c r="AJ46" s="11">
        <v>50</v>
      </c>
      <c r="AK46" s="11">
        <v>50</v>
      </c>
      <c r="AL46" s="11">
        <v>25</v>
      </c>
      <c r="AM46" s="11">
        <v>50</v>
      </c>
      <c r="AN46" s="11">
        <v>50</v>
      </c>
      <c r="AO46" s="11">
        <v>50</v>
      </c>
      <c r="AP46" s="11">
        <v>50</v>
      </c>
      <c r="AQ46" s="11">
        <v>50</v>
      </c>
      <c r="AR46" s="11"/>
      <c r="AS46" s="11"/>
      <c r="AT46" s="11"/>
      <c r="AU46" s="11">
        <v>100</v>
      </c>
      <c r="AV46" s="11"/>
      <c r="AW46" s="11">
        <v>50</v>
      </c>
      <c r="AX46" s="11">
        <v>100</v>
      </c>
      <c r="AY46" s="11">
        <v>100</v>
      </c>
      <c r="AZ46" s="11">
        <v>100</v>
      </c>
      <c r="BA46" s="11"/>
      <c r="BB46" s="11">
        <v>40</v>
      </c>
      <c r="BC46" s="11">
        <v>60</v>
      </c>
      <c r="BD46" s="11">
        <v>50</v>
      </c>
      <c r="BE46" s="11">
        <v>50</v>
      </c>
      <c r="BF46" s="11"/>
      <c r="BG46" s="11">
        <v>50</v>
      </c>
      <c r="BH46" s="11"/>
      <c r="BI46" s="11"/>
      <c r="BJ46" s="11">
        <v>90</v>
      </c>
      <c r="BK46" s="11"/>
      <c r="BL46" s="11"/>
    </row>
    <row r="47" spans="1:64">
      <c r="A47" s="12"/>
      <c r="B47" s="12" t="s">
        <v>38</v>
      </c>
      <c r="C47" s="11"/>
      <c r="D47" s="11"/>
      <c r="E47" s="11">
        <v>5</v>
      </c>
      <c r="F47" s="11">
        <v>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>
        <v>5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1:64">
      <c r="A48" s="13" t="s">
        <v>43</v>
      </c>
      <c r="B48" s="14" t="s">
        <v>44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</row>
    <row r="49" spans="1:64">
      <c r="A49" s="13"/>
      <c r="B49" s="15" t="s">
        <v>45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</row>
    <row r="50" spans="1:64">
      <c r="A50" s="16"/>
      <c r="B50" s="16" t="s">
        <v>26</v>
      </c>
      <c r="C50" s="15">
        <v>6</v>
      </c>
      <c r="D50" s="15">
        <v>6</v>
      </c>
      <c r="E50" s="15">
        <v>5</v>
      </c>
      <c r="F50" s="15">
        <v>6</v>
      </c>
      <c r="G50" s="15">
        <v>6</v>
      </c>
      <c r="H50" s="15">
        <v>6</v>
      </c>
      <c r="I50" s="15">
        <v>5</v>
      </c>
      <c r="J50" s="15">
        <v>6</v>
      </c>
      <c r="K50" s="15">
        <v>6</v>
      </c>
      <c r="L50" s="15">
        <v>6</v>
      </c>
      <c r="M50" s="15">
        <v>6</v>
      </c>
      <c r="N50" s="15">
        <v>6</v>
      </c>
      <c r="O50" s="15">
        <v>6</v>
      </c>
      <c r="P50" s="15">
        <v>6</v>
      </c>
      <c r="Q50" s="15">
        <v>6</v>
      </c>
      <c r="R50" s="15">
        <v>6</v>
      </c>
      <c r="S50" s="15">
        <v>6</v>
      </c>
      <c r="T50" s="15">
        <v>6</v>
      </c>
      <c r="U50" s="15">
        <v>6</v>
      </c>
      <c r="V50" s="15">
        <v>6</v>
      </c>
      <c r="W50" s="15">
        <v>6</v>
      </c>
      <c r="X50" s="15">
        <v>6</v>
      </c>
      <c r="Y50" s="15">
        <v>6</v>
      </c>
      <c r="Z50" s="15">
        <v>6</v>
      </c>
      <c r="AA50" s="15">
        <v>5</v>
      </c>
      <c r="AB50" s="15">
        <v>4</v>
      </c>
      <c r="AC50" s="15">
        <v>5</v>
      </c>
      <c r="AD50" s="15">
        <v>5</v>
      </c>
      <c r="AE50" s="15">
        <v>6</v>
      </c>
      <c r="AF50" s="15">
        <v>6</v>
      </c>
      <c r="AG50" s="15">
        <v>6</v>
      </c>
      <c r="AH50" s="15">
        <v>6</v>
      </c>
      <c r="AI50" s="15">
        <v>6</v>
      </c>
      <c r="AJ50" s="15">
        <v>6</v>
      </c>
      <c r="AK50" s="15">
        <v>6</v>
      </c>
      <c r="AL50" s="15">
        <v>6</v>
      </c>
      <c r="AM50" s="15">
        <v>6</v>
      </c>
      <c r="AN50" s="15">
        <v>6</v>
      </c>
      <c r="AO50" s="15">
        <v>6</v>
      </c>
      <c r="AP50" s="15">
        <v>6</v>
      </c>
      <c r="AQ50" s="15">
        <v>5</v>
      </c>
      <c r="AR50" s="15">
        <v>6</v>
      </c>
      <c r="AS50" s="15">
        <v>6</v>
      </c>
      <c r="AT50" s="15">
        <v>6</v>
      </c>
      <c r="AU50" s="15">
        <v>6</v>
      </c>
      <c r="AV50" s="15">
        <v>6</v>
      </c>
      <c r="AW50" s="15">
        <v>6</v>
      </c>
      <c r="AX50" s="15">
        <v>6</v>
      </c>
      <c r="AY50" s="15">
        <v>5</v>
      </c>
      <c r="AZ50" s="15">
        <v>5</v>
      </c>
      <c r="BA50" s="15">
        <v>6</v>
      </c>
      <c r="BB50" s="15">
        <v>6</v>
      </c>
      <c r="BC50" s="15">
        <v>6</v>
      </c>
      <c r="BD50" s="15">
        <v>6</v>
      </c>
      <c r="BE50" s="15">
        <v>6</v>
      </c>
      <c r="BF50" s="15">
        <v>6</v>
      </c>
      <c r="BG50" s="15">
        <v>6</v>
      </c>
      <c r="BH50" s="15">
        <v>6</v>
      </c>
      <c r="BI50" s="15">
        <v>6</v>
      </c>
      <c r="BJ50" s="15">
        <v>6</v>
      </c>
      <c r="BK50" s="15">
        <v>6</v>
      </c>
      <c r="BL50" s="15">
        <v>6</v>
      </c>
    </row>
    <row r="51" spans="1:64">
      <c r="A51" s="16"/>
      <c r="B51" s="16" t="s">
        <v>27</v>
      </c>
      <c r="C51" s="15">
        <v>6</v>
      </c>
      <c r="D51" s="15">
        <v>6</v>
      </c>
      <c r="E51" s="15">
        <v>5</v>
      </c>
      <c r="F51" s="15">
        <v>5</v>
      </c>
      <c r="G51" s="15">
        <v>6</v>
      </c>
      <c r="H51" s="15">
        <v>6</v>
      </c>
      <c r="I51" s="15">
        <v>4</v>
      </c>
      <c r="J51" s="15">
        <v>6</v>
      </c>
      <c r="K51" s="15">
        <v>6</v>
      </c>
      <c r="L51" s="15">
        <v>6</v>
      </c>
      <c r="M51" s="15">
        <v>5</v>
      </c>
      <c r="N51" s="15">
        <v>6</v>
      </c>
      <c r="O51" s="15">
        <v>3</v>
      </c>
      <c r="P51" s="15">
        <v>6</v>
      </c>
      <c r="Q51" s="15">
        <v>6</v>
      </c>
      <c r="R51" s="15">
        <v>6</v>
      </c>
      <c r="S51" s="15">
        <v>6</v>
      </c>
      <c r="T51" s="15">
        <v>6</v>
      </c>
      <c r="U51" s="15">
        <v>6</v>
      </c>
      <c r="V51" s="15">
        <v>6</v>
      </c>
      <c r="W51" s="15">
        <v>6</v>
      </c>
      <c r="X51" s="15">
        <v>6</v>
      </c>
      <c r="Y51" s="15">
        <v>6</v>
      </c>
      <c r="Z51" s="15">
        <v>6</v>
      </c>
      <c r="AA51" s="15">
        <v>5</v>
      </c>
      <c r="AB51" s="15">
        <v>4</v>
      </c>
      <c r="AC51" s="15">
        <v>5</v>
      </c>
      <c r="AD51" s="15">
        <v>5</v>
      </c>
      <c r="AE51" s="15">
        <v>6</v>
      </c>
      <c r="AF51" s="15">
        <v>6</v>
      </c>
      <c r="AG51" s="15">
        <v>6</v>
      </c>
      <c r="AH51" s="15">
        <v>6</v>
      </c>
      <c r="AI51" s="15">
        <v>6</v>
      </c>
      <c r="AJ51" s="15">
        <v>6</v>
      </c>
      <c r="AK51" s="15">
        <v>6</v>
      </c>
      <c r="AL51" s="15">
        <v>6</v>
      </c>
      <c r="AM51" s="15">
        <v>6</v>
      </c>
      <c r="AN51" s="15">
        <v>6</v>
      </c>
      <c r="AO51" s="15">
        <v>6</v>
      </c>
      <c r="AP51" s="15">
        <v>6</v>
      </c>
      <c r="AQ51" s="15">
        <v>5</v>
      </c>
      <c r="AR51" s="15">
        <v>6</v>
      </c>
      <c r="AS51" s="15">
        <v>6</v>
      </c>
      <c r="AT51" s="15">
        <v>6</v>
      </c>
      <c r="AU51" s="15">
        <v>6</v>
      </c>
      <c r="AV51" s="15">
        <v>6</v>
      </c>
      <c r="AW51" s="15">
        <v>4</v>
      </c>
      <c r="AX51" s="15">
        <v>3</v>
      </c>
      <c r="AY51" s="15">
        <v>5</v>
      </c>
      <c r="AZ51" s="15">
        <v>5</v>
      </c>
      <c r="BA51" s="15">
        <v>6</v>
      </c>
      <c r="BB51" s="15">
        <v>6</v>
      </c>
      <c r="BC51" s="15">
        <v>6</v>
      </c>
      <c r="BD51" s="15">
        <v>6</v>
      </c>
      <c r="BE51" s="15">
        <v>6</v>
      </c>
      <c r="BF51" s="15"/>
      <c r="BG51" s="15">
        <v>6</v>
      </c>
      <c r="BH51" s="15">
        <v>6</v>
      </c>
      <c r="BI51" s="15">
        <v>6</v>
      </c>
      <c r="BJ51" s="15">
        <v>6</v>
      </c>
      <c r="BK51" s="15">
        <v>6</v>
      </c>
      <c r="BL51" s="15">
        <v>6</v>
      </c>
    </row>
    <row r="52" spans="1:64">
      <c r="A52" s="15"/>
      <c r="B52" s="15" t="s">
        <v>46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</row>
    <row r="53" spans="1:64">
      <c r="A53" s="16"/>
      <c r="B53" s="16" t="s">
        <v>26</v>
      </c>
      <c r="C53" s="15">
        <v>6</v>
      </c>
      <c r="D53" s="15">
        <v>6</v>
      </c>
      <c r="E53" s="15">
        <v>5</v>
      </c>
      <c r="F53" s="15">
        <v>6</v>
      </c>
      <c r="G53" s="15">
        <v>6</v>
      </c>
      <c r="H53" s="15">
        <v>6</v>
      </c>
      <c r="I53" s="15">
        <v>6</v>
      </c>
      <c r="J53" s="15">
        <v>6</v>
      </c>
      <c r="K53" s="15">
        <v>6</v>
      </c>
      <c r="L53" s="15">
        <v>6</v>
      </c>
      <c r="M53" s="15">
        <v>6</v>
      </c>
      <c r="N53" s="15">
        <v>6</v>
      </c>
      <c r="O53" s="15">
        <v>6</v>
      </c>
      <c r="P53" s="15">
        <v>6</v>
      </c>
      <c r="Q53" s="15">
        <v>6</v>
      </c>
      <c r="R53" s="15">
        <v>6</v>
      </c>
      <c r="S53" s="15">
        <v>6</v>
      </c>
      <c r="T53" s="15">
        <v>6</v>
      </c>
      <c r="U53" s="15">
        <v>6</v>
      </c>
      <c r="V53" s="15">
        <v>6</v>
      </c>
      <c r="W53" s="15">
        <v>6</v>
      </c>
      <c r="X53" s="15">
        <v>6</v>
      </c>
      <c r="Y53" s="15">
        <v>6</v>
      </c>
      <c r="Z53" s="15">
        <v>6</v>
      </c>
      <c r="AA53" s="15">
        <v>4</v>
      </c>
      <c r="AB53" s="15">
        <v>5</v>
      </c>
      <c r="AC53" s="15">
        <v>4</v>
      </c>
      <c r="AD53" s="15">
        <v>5</v>
      </c>
      <c r="AE53" s="15">
        <v>6</v>
      </c>
      <c r="AF53" s="15">
        <v>6</v>
      </c>
      <c r="AG53" s="15">
        <v>6</v>
      </c>
      <c r="AH53" s="15">
        <v>6</v>
      </c>
      <c r="AI53" s="15">
        <v>6</v>
      </c>
      <c r="AJ53" s="15">
        <v>6</v>
      </c>
      <c r="AK53" s="15">
        <v>6</v>
      </c>
      <c r="AL53" s="15">
        <v>6</v>
      </c>
      <c r="AM53" s="15">
        <v>6</v>
      </c>
      <c r="AN53" s="15">
        <v>6</v>
      </c>
      <c r="AO53" s="15">
        <v>6</v>
      </c>
      <c r="AP53" s="15">
        <v>6</v>
      </c>
      <c r="AQ53" s="15">
        <v>5</v>
      </c>
      <c r="AR53" s="15">
        <v>6</v>
      </c>
      <c r="AS53" s="15">
        <v>6</v>
      </c>
      <c r="AT53" s="15">
        <v>6</v>
      </c>
      <c r="AU53" s="15">
        <v>6</v>
      </c>
      <c r="AV53" s="15">
        <v>6</v>
      </c>
      <c r="AW53" s="15">
        <v>6</v>
      </c>
      <c r="AX53" s="15">
        <v>6</v>
      </c>
      <c r="AY53" s="15">
        <v>6</v>
      </c>
      <c r="AZ53" s="15">
        <v>5</v>
      </c>
      <c r="BA53" s="15">
        <v>6</v>
      </c>
      <c r="BB53" s="15">
        <v>6</v>
      </c>
      <c r="BC53" s="15">
        <v>6</v>
      </c>
      <c r="BD53" s="15">
        <v>6</v>
      </c>
      <c r="BE53" s="15">
        <v>6</v>
      </c>
      <c r="BF53" s="15">
        <v>6</v>
      </c>
      <c r="BG53" s="15">
        <v>6</v>
      </c>
      <c r="BH53" s="15">
        <v>6</v>
      </c>
      <c r="BI53" s="15">
        <v>6</v>
      </c>
      <c r="BJ53" s="15">
        <v>6</v>
      </c>
      <c r="BK53" s="15">
        <v>6</v>
      </c>
      <c r="BL53" s="15">
        <v>6</v>
      </c>
    </row>
    <row r="54" spans="1:64">
      <c r="A54" s="16"/>
      <c r="B54" s="16" t="s">
        <v>27</v>
      </c>
      <c r="C54" s="15">
        <v>6</v>
      </c>
      <c r="D54" s="15">
        <v>6</v>
      </c>
      <c r="E54" s="15">
        <v>6</v>
      </c>
      <c r="F54" s="15">
        <v>6</v>
      </c>
      <c r="G54" s="15">
        <v>6</v>
      </c>
      <c r="H54" s="15">
        <v>6</v>
      </c>
      <c r="I54" s="15">
        <v>4</v>
      </c>
      <c r="J54" s="15">
        <v>6</v>
      </c>
      <c r="K54" s="15">
        <v>6</v>
      </c>
      <c r="L54" s="15">
        <v>6</v>
      </c>
      <c r="M54" s="15">
        <v>5</v>
      </c>
      <c r="N54" s="15">
        <v>6</v>
      </c>
      <c r="O54" s="15">
        <v>2</v>
      </c>
      <c r="P54" s="15">
        <v>6</v>
      </c>
      <c r="Q54" s="15">
        <v>6</v>
      </c>
      <c r="R54" s="15">
        <v>6</v>
      </c>
      <c r="S54" s="15">
        <v>6</v>
      </c>
      <c r="T54" s="15">
        <v>6</v>
      </c>
      <c r="U54" s="15">
        <v>6</v>
      </c>
      <c r="V54" s="15">
        <v>6</v>
      </c>
      <c r="W54" s="15">
        <v>6</v>
      </c>
      <c r="X54" s="15">
        <v>6</v>
      </c>
      <c r="Y54" s="15">
        <v>6</v>
      </c>
      <c r="Z54" s="15">
        <v>6</v>
      </c>
      <c r="AA54" s="15">
        <v>5</v>
      </c>
      <c r="AB54" s="15">
        <v>5</v>
      </c>
      <c r="AC54" s="15">
        <v>5</v>
      </c>
      <c r="AD54" s="15">
        <v>4</v>
      </c>
      <c r="AE54" s="15">
        <v>6</v>
      </c>
      <c r="AF54" s="15">
        <v>6</v>
      </c>
      <c r="AG54" s="15">
        <v>6</v>
      </c>
      <c r="AH54" s="15">
        <v>6</v>
      </c>
      <c r="AI54" s="15">
        <v>6</v>
      </c>
      <c r="AJ54" s="15">
        <v>6</v>
      </c>
      <c r="AK54" s="15">
        <v>6</v>
      </c>
      <c r="AL54" s="15">
        <v>6</v>
      </c>
      <c r="AM54" s="15">
        <v>6</v>
      </c>
      <c r="AN54" s="15">
        <v>6</v>
      </c>
      <c r="AO54" s="15">
        <v>6</v>
      </c>
      <c r="AP54" s="15">
        <v>6</v>
      </c>
      <c r="AQ54" s="15">
        <v>5</v>
      </c>
      <c r="AR54" s="15">
        <v>6</v>
      </c>
      <c r="AS54" s="15">
        <v>6</v>
      </c>
      <c r="AT54" s="15">
        <v>6</v>
      </c>
      <c r="AU54" s="15">
        <v>5</v>
      </c>
      <c r="AV54" s="15">
        <v>6</v>
      </c>
      <c r="AW54" s="15">
        <v>6</v>
      </c>
      <c r="AX54" s="15">
        <v>6</v>
      </c>
      <c r="AY54" s="15">
        <v>6</v>
      </c>
      <c r="AZ54" s="15">
        <v>5</v>
      </c>
      <c r="BA54" s="15">
        <v>6</v>
      </c>
      <c r="BB54" s="15">
        <v>6</v>
      </c>
      <c r="BC54" s="15">
        <v>6</v>
      </c>
      <c r="BD54" s="15">
        <v>6</v>
      </c>
      <c r="BE54" s="15">
        <v>6</v>
      </c>
      <c r="BF54" s="15"/>
      <c r="BG54" s="15">
        <v>6</v>
      </c>
      <c r="BH54" s="15">
        <v>6</v>
      </c>
      <c r="BI54" s="15">
        <v>6</v>
      </c>
      <c r="BJ54" s="15">
        <v>6</v>
      </c>
      <c r="BK54" s="15">
        <v>6</v>
      </c>
      <c r="BL54" s="15">
        <v>6</v>
      </c>
    </row>
    <row r="55" spans="1:64">
      <c r="A55" s="15"/>
      <c r="B55" s="15" t="s">
        <v>47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</row>
    <row r="56" spans="1:64">
      <c r="A56" s="16"/>
      <c r="B56" s="16" t="s">
        <v>26</v>
      </c>
      <c r="C56" s="15">
        <v>6</v>
      </c>
      <c r="D56" s="15">
        <v>6</v>
      </c>
      <c r="E56" s="15">
        <v>4</v>
      </c>
      <c r="F56" s="15">
        <v>5</v>
      </c>
      <c r="G56" s="15">
        <v>6</v>
      </c>
      <c r="H56" s="15">
        <v>6</v>
      </c>
      <c r="I56" s="15">
        <v>5</v>
      </c>
      <c r="J56" s="15">
        <v>6</v>
      </c>
      <c r="K56" s="15">
        <v>6</v>
      </c>
      <c r="L56" s="15">
        <v>6</v>
      </c>
      <c r="M56" s="15">
        <v>2</v>
      </c>
      <c r="N56" s="15">
        <v>6</v>
      </c>
      <c r="O56" s="15">
        <v>6</v>
      </c>
      <c r="P56" s="15">
        <v>6</v>
      </c>
      <c r="Q56" s="15">
        <v>6</v>
      </c>
      <c r="R56" s="15">
        <v>6</v>
      </c>
      <c r="S56" s="15">
        <v>6</v>
      </c>
      <c r="T56" s="15">
        <v>6</v>
      </c>
      <c r="U56" s="15">
        <v>6</v>
      </c>
      <c r="V56" s="15">
        <v>4</v>
      </c>
      <c r="W56" s="15">
        <v>6</v>
      </c>
      <c r="X56" s="15">
        <v>6</v>
      </c>
      <c r="Y56" s="15">
        <v>6</v>
      </c>
      <c r="Z56" s="15">
        <v>6</v>
      </c>
      <c r="AA56" s="15">
        <v>4</v>
      </c>
      <c r="AB56" s="15">
        <v>3</v>
      </c>
      <c r="AC56" s="15">
        <v>4</v>
      </c>
      <c r="AD56" s="15">
        <v>5</v>
      </c>
      <c r="AE56" s="15">
        <v>6</v>
      </c>
      <c r="AF56" s="15">
        <v>6</v>
      </c>
      <c r="AG56" s="15">
        <v>6</v>
      </c>
      <c r="AH56" s="15">
        <v>6</v>
      </c>
      <c r="AI56" s="15">
        <v>3</v>
      </c>
      <c r="AJ56" s="15">
        <v>6</v>
      </c>
      <c r="AK56" s="15">
        <v>6</v>
      </c>
      <c r="AL56" s="15">
        <v>6</v>
      </c>
      <c r="AM56" s="15">
        <v>6</v>
      </c>
      <c r="AN56" s="15">
        <v>6</v>
      </c>
      <c r="AO56" s="15">
        <v>6</v>
      </c>
      <c r="AP56" s="15">
        <v>6</v>
      </c>
      <c r="AQ56" s="15">
        <v>5</v>
      </c>
      <c r="AR56" s="15">
        <v>6</v>
      </c>
      <c r="AS56" s="15">
        <v>6</v>
      </c>
      <c r="AT56" s="15">
        <v>6</v>
      </c>
      <c r="AU56" s="15">
        <v>6</v>
      </c>
      <c r="AV56" s="15">
        <v>6</v>
      </c>
      <c r="AW56" s="15">
        <v>6</v>
      </c>
      <c r="AX56" s="15">
        <v>3</v>
      </c>
      <c r="AY56" s="15">
        <v>5</v>
      </c>
      <c r="AZ56" s="15">
        <v>6</v>
      </c>
      <c r="BA56" s="15">
        <v>4</v>
      </c>
      <c r="BB56" s="15">
        <v>5</v>
      </c>
      <c r="BC56" s="15">
        <v>4</v>
      </c>
      <c r="BD56" s="15">
        <v>6</v>
      </c>
      <c r="BE56" s="15">
        <v>6</v>
      </c>
      <c r="BF56" s="15">
        <v>6</v>
      </c>
      <c r="BG56" s="15">
        <v>6</v>
      </c>
      <c r="BH56" s="15">
        <v>6</v>
      </c>
      <c r="BI56" s="15">
        <v>6</v>
      </c>
      <c r="BJ56" s="15">
        <v>5</v>
      </c>
      <c r="BK56" s="15">
        <v>6</v>
      </c>
      <c r="BL56" s="15">
        <v>6</v>
      </c>
    </row>
    <row r="57" spans="1:64">
      <c r="A57" s="16"/>
      <c r="B57" s="16" t="s">
        <v>27</v>
      </c>
      <c r="C57" s="15">
        <v>6</v>
      </c>
      <c r="D57" s="15">
        <v>6</v>
      </c>
      <c r="E57" s="15">
        <v>6</v>
      </c>
      <c r="F57" s="15">
        <v>6</v>
      </c>
      <c r="G57" s="15">
        <v>6</v>
      </c>
      <c r="H57" s="15">
        <v>6</v>
      </c>
      <c r="I57" s="15">
        <v>5</v>
      </c>
      <c r="J57" s="15">
        <v>6</v>
      </c>
      <c r="K57" s="15">
        <v>6</v>
      </c>
      <c r="L57" s="15">
        <v>6</v>
      </c>
      <c r="M57" s="15">
        <v>4</v>
      </c>
      <c r="N57" s="15">
        <v>6</v>
      </c>
      <c r="O57" s="15">
        <v>3</v>
      </c>
      <c r="P57" s="15">
        <v>6</v>
      </c>
      <c r="Q57" s="15">
        <v>6</v>
      </c>
      <c r="R57" s="15">
        <v>6</v>
      </c>
      <c r="S57" s="15">
        <v>6</v>
      </c>
      <c r="T57" s="15">
        <v>6</v>
      </c>
      <c r="U57" s="15">
        <v>6</v>
      </c>
      <c r="V57" s="15">
        <v>6</v>
      </c>
      <c r="W57" s="15">
        <v>6</v>
      </c>
      <c r="X57" s="15">
        <v>6</v>
      </c>
      <c r="Y57" s="15">
        <v>6</v>
      </c>
      <c r="Z57" s="15">
        <v>6</v>
      </c>
      <c r="AA57" s="15">
        <v>5</v>
      </c>
      <c r="AB57" s="15">
        <v>5</v>
      </c>
      <c r="AC57" s="15">
        <v>5</v>
      </c>
      <c r="AD57" s="15">
        <v>5</v>
      </c>
      <c r="AE57" s="15">
        <v>6</v>
      </c>
      <c r="AF57" s="15">
        <v>6</v>
      </c>
      <c r="AG57" s="15">
        <v>6</v>
      </c>
      <c r="AH57" s="15">
        <v>6</v>
      </c>
      <c r="AI57" s="15">
        <v>6</v>
      </c>
      <c r="AJ57" s="15">
        <v>6</v>
      </c>
      <c r="AK57" s="15">
        <v>6</v>
      </c>
      <c r="AL57" s="15">
        <v>6</v>
      </c>
      <c r="AM57" s="15">
        <v>6</v>
      </c>
      <c r="AN57" s="15">
        <v>6</v>
      </c>
      <c r="AO57" s="15">
        <v>6</v>
      </c>
      <c r="AP57" s="15">
        <v>6</v>
      </c>
      <c r="AQ57" s="15">
        <v>5</v>
      </c>
      <c r="AR57" s="15">
        <v>6</v>
      </c>
      <c r="AS57" s="15">
        <v>6</v>
      </c>
      <c r="AT57" s="15">
        <v>6</v>
      </c>
      <c r="AU57" s="15">
        <v>6</v>
      </c>
      <c r="AV57" s="15">
        <v>6</v>
      </c>
      <c r="AW57" s="15">
        <v>6</v>
      </c>
      <c r="AX57" s="15">
        <v>4</v>
      </c>
      <c r="AY57" s="15">
        <v>6</v>
      </c>
      <c r="AZ57" s="15">
        <v>6</v>
      </c>
      <c r="BA57" s="15">
        <v>6</v>
      </c>
      <c r="BB57" s="15">
        <v>6</v>
      </c>
      <c r="BC57" s="15">
        <v>6</v>
      </c>
      <c r="BD57" s="15">
        <v>6</v>
      </c>
      <c r="BE57" s="15">
        <v>6</v>
      </c>
      <c r="BF57" s="15"/>
      <c r="BG57" s="15">
        <v>6</v>
      </c>
      <c r="BH57" s="15">
        <v>6</v>
      </c>
      <c r="BI57" s="15">
        <v>6</v>
      </c>
      <c r="BJ57" s="15">
        <v>6</v>
      </c>
      <c r="BK57" s="15">
        <v>6</v>
      </c>
      <c r="BL57" s="15">
        <v>6</v>
      </c>
    </row>
    <row r="58" spans="1:64">
      <c r="A58" s="15"/>
      <c r="B58" s="15" t="s">
        <v>48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</row>
    <row r="59" spans="1:64">
      <c r="A59" s="16"/>
      <c r="B59" s="16" t="s">
        <v>26</v>
      </c>
      <c r="C59" s="15">
        <v>6</v>
      </c>
      <c r="D59" s="15">
        <v>6</v>
      </c>
      <c r="E59" s="15">
        <v>4</v>
      </c>
      <c r="F59" s="15">
        <v>4</v>
      </c>
      <c r="G59" s="15">
        <v>6</v>
      </c>
      <c r="H59" s="15">
        <v>6</v>
      </c>
      <c r="I59" s="15">
        <v>4</v>
      </c>
      <c r="J59" s="15">
        <v>6</v>
      </c>
      <c r="K59" s="15">
        <v>6</v>
      </c>
      <c r="L59" s="15">
        <v>6</v>
      </c>
      <c r="M59" s="15">
        <v>1</v>
      </c>
      <c r="N59" s="15">
        <v>6</v>
      </c>
      <c r="O59" s="15">
        <v>4</v>
      </c>
      <c r="P59" s="15">
        <v>6</v>
      </c>
      <c r="Q59" s="15">
        <v>6</v>
      </c>
      <c r="R59" s="15">
        <v>6</v>
      </c>
      <c r="S59" s="15">
        <v>6</v>
      </c>
      <c r="T59" s="15">
        <v>6</v>
      </c>
      <c r="U59" s="15">
        <v>6</v>
      </c>
      <c r="V59" s="15">
        <v>4</v>
      </c>
      <c r="W59" s="15">
        <v>6</v>
      </c>
      <c r="X59" s="15">
        <v>5</v>
      </c>
      <c r="Y59" s="15">
        <v>6</v>
      </c>
      <c r="Z59" s="15">
        <v>6</v>
      </c>
      <c r="AA59" s="15">
        <v>4</v>
      </c>
      <c r="AB59" s="15">
        <v>3</v>
      </c>
      <c r="AC59" s="15">
        <v>4</v>
      </c>
      <c r="AD59" s="15">
        <v>4</v>
      </c>
      <c r="AE59" s="15">
        <v>6</v>
      </c>
      <c r="AF59" s="15">
        <v>6</v>
      </c>
      <c r="AG59" s="15">
        <v>6</v>
      </c>
      <c r="AH59" s="15">
        <v>6</v>
      </c>
      <c r="AI59" s="15">
        <v>3</v>
      </c>
      <c r="AJ59" s="15">
        <v>6</v>
      </c>
      <c r="AK59" s="15">
        <v>6</v>
      </c>
      <c r="AL59" s="15">
        <v>6</v>
      </c>
      <c r="AM59" s="15">
        <v>6</v>
      </c>
      <c r="AN59" s="15">
        <v>6</v>
      </c>
      <c r="AO59" s="15">
        <v>6</v>
      </c>
      <c r="AP59" s="15">
        <v>6</v>
      </c>
      <c r="AQ59" s="15">
        <v>4</v>
      </c>
      <c r="AR59" s="15">
        <v>6</v>
      </c>
      <c r="AS59" s="15">
        <v>6</v>
      </c>
      <c r="AT59" s="15">
        <v>6</v>
      </c>
      <c r="AU59" s="15">
        <v>5</v>
      </c>
      <c r="AV59" s="15">
        <v>6</v>
      </c>
      <c r="AW59" s="15">
        <v>6</v>
      </c>
      <c r="AX59" s="15">
        <v>3</v>
      </c>
      <c r="AY59" s="15">
        <v>5</v>
      </c>
      <c r="AZ59" s="15">
        <v>6</v>
      </c>
      <c r="BA59" s="15">
        <v>5</v>
      </c>
      <c r="BB59" s="15">
        <v>4</v>
      </c>
      <c r="BC59" s="15">
        <v>3</v>
      </c>
      <c r="BD59" s="15">
        <v>6</v>
      </c>
      <c r="BE59" s="15">
        <v>6</v>
      </c>
      <c r="BF59" s="15">
        <v>6</v>
      </c>
      <c r="BG59" s="15">
        <v>6</v>
      </c>
      <c r="BH59" s="15">
        <v>6</v>
      </c>
      <c r="BI59" s="15">
        <v>6</v>
      </c>
      <c r="BJ59" s="15">
        <v>4</v>
      </c>
      <c r="BK59" s="15">
        <v>6</v>
      </c>
      <c r="BL59" s="15">
        <v>6</v>
      </c>
    </row>
    <row r="60" spans="1:64">
      <c r="A60" s="16"/>
      <c r="B60" s="16" t="s">
        <v>27</v>
      </c>
      <c r="C60" s="15">
        <v>6</v>
      </c>
      <c r="D60" s="15">
        <v>6</v>
      </c>
      <c r="E60" s="15">
        <v>6</v>
      </c>
      <c r="F60" s="15">
        <v>5</v>
      </c>
      <c r="G60" s="15">
        <v>6</v>
      </c>
      <c r="H60" s="15">
        <v>6</v>
      </c>
      <c r="I60" s="15">
        <v>5</v>
      </c>
      <c r="J60" s="15">
        <v>6</v>
      </c>
      <c r="K60" s="15">
        <v>6</v>
      </c>
      <c r="L60" s="15">
        <v>6</v>
      </c>
      <c r="M60" s="15">
        <v>4</v>
      </c>
      <c r="N60" s="15">
        <v>6</v>
      </c>
      <c r="O60" s="15">
        <v>2</v>
      </c>
      <c r="P60" s="15">
        <v>6</v>
      </c>
      <c r="Q60" s="15">
        <v>6</v>
      </c>
      <c r="R60" s="15">
        <v>6</v>
      </c>
      <c r="S60" s="15">
        <v>6</v>
      </c>
      <c r="T60" s="15">
        <v>6</v>
      </c>
      <c r="U60" s="15">
        <v>6</v>
      </c>
      <c r="V60" s="15">
        <v>6</v>
      </c>
      <c r="W60" s="15">
        <v>6</v>
      </c>
      <c r="X60" s="15">
        <v>6</v>
      </c>
      <c r="Y60" s="15">
        <v>6</v>
      </c>
      <c r="Z60" s="15">
        <v>6</v>
      </c>
      <c r="AA60" s="15">
        <v>5</v>
      </c>
      <c r="AB60" s="15">
        <v>5</v>
      </c>
      <c r="AC60" s="15">
        <v>5</v>
      </c>
      <c r="AD60" s="15">
        <v>5</v>
      </c>
      <c r="AE60" s="15">
        <v>6</v>
      </c>
      <c r="AF60" s="15">
        <v>6</v>
      </c>
      <c r="AG60" s="15">
        <v>6</v>
      </c>
      <c r="AH60" s="15">
        <v>6</v>
      </c>
      <c r="AI60" s="15">
        <v>6</v>
      </c>
      <c r="AJ60" s="15">
        <v>6</v>
      </c>
      <c r="AK60" s="15">
        <v>6</v>
      </c>
      <c r="AL60" s="15">
        <v>6</v>
      </c>
      <c r="AM60" s="15">
        <v>6</v>
      </c>
      <c r="AN60" s="15">
        <v>6</v>
      </c>
      <c r="AO60" s="15">
        <v>6</v>
      </c>
      <c r="AP60" s="15">
        <v>6</v>
      </c>
      <c r="AQ60" s="15">
        <v>4</v>
      </c>
      <c r="AR60" s="15">
        <v>6</v>
      </c>
      <c r="AS60" s="15">
        <v>6</v>
      </c>
      <c r="AT60" s="15">
        <v>6</v>
      </c>
      <c r="AU60" s="15">
        <v>5</v>
      </c>
      <c r="AV60" s="15">
        <v>6</v>
      </c>
      <c r="AW60" s="15">
        <v>6</v>
      </c>
      <c r="AX60" s="15">
        <v>5</v>
      </c>
      <c r="AY60" s="15">
        <v>6</v>
      </c>
      <c r="AZ60" s="15">
        <v>6</v>
      </c>
      <c r="BA60" s="15">
        <v>6</v>
      </c>
      <c r="BB60" s="15">
        <v>6</v>
      </c>
      <c r="BC60" s="15">
        <v>6</v>
      </c>
      <c r="BD60" s="15">
        <v>6</v>
      </c>
      <c r="BE60" s="15">
        <v>6</v>
      </c>
      <c r="BF60" s="15"/>
      <c r="BG60" s="15">
        <v>6</v>
      </c>
      <c r="BH60" s="15">
        <v>6</v>
      </c>
      <c r="BI60" s="15">
        <v>6</v>
      </c>
      <c r="BJ60" s="15">
        <v>6</v>
      </c>
      <c r="BK60" s="15">
        <v>6</v>
      </c>
      <c r="BL60" s="15">
        <v>6</v>
      </c>
    </row>
    <row r="61" spans="1:64">
      <c r="A61" s="17" t="s">
        <v>43</v>
      </c>
      <c r="B61" s="18" t="s">
        <v>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</row>
    <row r="62" spans="1:64">
      <c r="A62" s="19"/>
      <c r="B62" s="19" t="s">
        <v>50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</row>
    <row r="63" spans="1:64">
      <c r="A63" s="20"/>
      <c r="B63" s="20" t="s">
        <v>26</v>
      </c>
      <c r="C63" s="19">
        <v>6</v>
      </c>
      <c r="D63" s="19">
        <v>6</v>
      </c>
      <c r="E63" s="19">
        <v>6</v>
      </c>
      <c r="F63" s="19">
        <v>6</v>
      </c>
      <c r="G63" s="19">
        <v>6</v>
      </c>
      <c r="H63" s="19">
        <v>6</v>
      </c>
      <c r="I63" s="19">
        <v>6</v>
      </c>
      <c r="J63" s="19">
        <v>6</v>
      </c>
      <c r="K63" s="19">
        <v>6</v>
      </c>
      <c r="L63" s="19">
        <v>6</v>
      </c>
      <c r="M63" s="19">
        <v>6</v>
      </c>
      <c r="N63" s="19">
        <v>6</v>
      </c>
      <c r="O63" s="19">
        <v>6</v>
      </c>
      <c r="P63" s="19">
        <v>6</v>
      </c>
      <c r="Q63" s="19">
        <v>6</v>
      </c>
      <c r="R63" s="19">
        <v>6</v>
      </c>
      <c r="S63" s="19">
        <v>6</v>
      </c>
      <c r="T63" s="19">
        <v>6</v>
      </c>
      <c r="U63" s="19">
        <v>6</v>
      </c>
      <c r="V63" s="19">
        <v>6</v>
      </c>
      <c r="W63" s="19">
        <v>6</v>
      </c>
      <c r="X63" s="19">
        <v>6</v>
      </c>
      <c r="Y63" s="19">
        <v>6</v>
      </c>
      <c r="Z63" s="19">
        <v>6</v>
      </c>
      <c r="AA63" s="19">
        <v>6</v>
      </c>
      <c r="AB63" s="19">
        <v>6</v>
      </c>
      <c r="AC63" s="19">
        <v>6</v>
      </c>
      <c r="AD63" s="19">
        <v>6</v>
      </c>
      <c r="AE63" s="19">
        <v>6</v>
      </c>
      <c r="AF63" s="19">
        <v>6</v>
      </c>
      <c r="AG63" s="19">
        <v>6</v>
      </c>
      <c r="AH63" s="19">
        <v>6</v>
      </c>
      <c r="AI63" s="19">
        <v>6</v>
      </c>
      <c r="AJ63" s="19">
        <v>6</v>
      </c>
      <c r="AK63" s="19">
        <v>6</v>
      </c>
      <c r="AL63" s="19">
        <v>6</v>
      </c>
      <c r="AM63" s="19">
        <v>6</v>
      </c>
      <c r="AN63" s="19">
        <v>6</v>
      </c>
      <c r="AO63" s="19">
        <v>5</v>
      </c>
      <c r="AP63" s="19">
        <v>6</v>
      </c>
      <c r="AQ63" s="19">
        <v>6</v>
      </c>
      <c r="AR63" s="19">
        <v>6</v>
      </c>
      <c r="AS63" s="19">
        <v>6</v>
      </c>
      <c r="AT63" s="19">
        <v>6</v>
      </c>
      <c r="AU63" s="19">
        <v>6</v>
      </c>
      <c r="AV63" s="19">
        <v>6</v>
      </c>
      <c r="AW63" s="19">
        <v>6</v>
      </c>
      <c r="AX63" s="19">
        <v>4</v>
      </c>
      <c r="AY63" s="19">
        <v>6</v>
      </c>
      <c r="AZ63" s="19">
        <v>6</v>
      </c>
      <c r="BA63" s="19">
        <v>6</v>
      </c>
      <c r="BB63" s="19">
        <v>6</v>
      </c>
      <c r="BC63" s="19">
        <v>5</v>
      </c>
      <c r="BD63" s="19">
        <v>6</v>
      </c>
      <c r="BE63" s="19">
        <v>6</v>
      </c>
      <c r="BF63" s="19">
        <v>6</v>
      </c>
      <c r="BG63" s="19">
        <v>6</v>
      </c>
      <c r="BH63" s="19">
        <v>6</v>
      </c>
      <c r="BI63" s="19">
        <v>6</v>
      </c>
      <c r="BJ63" s="19">
        <v>6</v>
      </c>
      <c r="BK63" s="19">
        <v>6</v>
      </c>
      <c r="BL63" s="19">
        <v>6</v>
      </c>
    </row>
    <row r="64" spans="1:64">
      <c r="A64" s="20"/>
      <c r="B64" s="20" t="s">
        <v>27</v>
      </c>
      <c r="C64" s="19">
        <v>6</v>
      </c>
      <c r="D64" s="19">
        <v>6</v>
      </c>
      <c r="E64" s="19">
        <v>5</v>
      </c>
      <c r="F64" s="19">
        <v>6</v>
      </c>
      <c r="G64" s="19">
        <v>6</v>
      </c>
      <c r="H64" s="19"/>
      <c r="I64" s="19">
        <v>2</v>
      </c>
      <c r="J64" s="19">
        <v>6</v>
      </c>
      <c r="K64" s="19">
        <v>6</v>
      </c>
      <c r="L64" s="19">
        <v>6</v>
      </c>
      <c r="M64" s="19">
        <v>2</v>
      </c>
      <c r="N64" s="19">
        <v>6</v>
      </c>
      <c r="O64" s="19">
        <v>2</v>
      </c>
      <c r="P64" s="19">
        <v>6</v>
      </c>
      <c r="Q64" s="19">
        <v>4</v>
      </c>
      <c r="R64" s="19">
        <v>5</v>
      </c>
      <c r="S64" s="19">
        <v>6</v>
      </c>
      <c r="T64" s="19">
        <v>6</v>
      </c>
      <c r="U64" s="19">
        <v>6</v>
      </c>
      <c r="V64" s="19">
        <v>6</v>
      </c>
      <c r="W64" s="19">
        <v>6</v>
      </c>
      <c r="X64" s="19">
        <v>6</v>
      </c>
      <c r="Y64" s="19">
        <v>6</v>
      </c>
      <c r="Z64" s="19">
        <v>1</v>
      </c>
      <c r="AA64" s="19">
        <v>6</v>
      </c>
      <c r="AB64" s="19">
        <v>5</v>
      </c>
      <c r="AC64" s="19">
        <v>4</v>
      </c>
      <c r="AD64" s="19">
        <v>6</v>
      </c>
      <c r="AE64" s="19"/>
      <c r="AF64" s="19">
        <v>4</v>
      </c>
      <c r="AG64" s="19"/>
      <c r="AH64" s="19"/>
      <c r="AI64" s="19">
        <v>6</v>
      </c>
      <c r="AJ64" s="19">
        <v>6</v>
      </c>
      <c r="AK64" s="19">
        <v>6</v>
      </c>
      <c r="AL64" s="19">
        <v>6</v>
      </c>
      <c r="AM64" s="19">
        <v>6</v>
      </c>
      <c r="AN64" s="19">
        <v>6</v>
      </c>
      <c r="AO64" s="19">
        <v>5</v>
      </c>
      <c r="AP64" s="19">
        <v>6</v>
      </c>
      <c r="AQ64" s="19"/>
      <c r="AR64" s="19"/>
      <c r="AS64" s="19"/>
      <c r="AT64" s="19"/>
      <c r="AU64" s="19">
        <v>3</v>
      </c>
      <c r="AV64" s="19">
        <v>6</v>
      </c>
      <c r="AW64" s="19">
        <v>4</v>
      </c>
      <c r="AX64" s="19">
        <v>4</v>
      </c>
      <c r="AY64" s="19"/>
      <c r="AZ64" s="19">
        <v>5</v>
      </c>
      <c r="BA64" s="19">
        <v>6</v>
      </c>
      <c r="BB64" s="19">
        <v>4</v>
      </c>
      <c r="BC64" s="19">
        <v>5</v>
      </c>
      <c r="BD64" s="19"/>
      <c r="BE64" s="19">
        <v>6</v>
      </c>
      <c r="BF64" s="19"/>
      <c r="BG64" s="19">
        <v>6</v>
      </c>
      <c r="BH64" s="19"/>
      <c r="BI64" s="19">
        <v>6</v>
      </c>
      <c r="BJ64" s="19"/>
      <c r="BK64" s="19">
        <v>6</v>
      </c>
      <c r="BL64" s="19">
        <v>6</v>
      </c>
    </row>
    <row r="65" spans="1:64">
      <c r="A65" s="19"/>
      <c r="B65" s="19" t="s">
        <v>51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</row>
    <row r="66" spans="1:64">
      <c r="A66" s="20"/>
      <c r="B66" s="20" t="s">
        <v>52</v>
      </c>
      <c r="C66" s="19">
        <v>6</v>
      </c>
      <c r="D66" s="19">
        <v>6</v>
      </c>
      <c r="E66" s="19">
        <v>4</v>
      </c>
      <c r="F66" s="19">
        <v>4</v>
      </c>
      <c r="G66" s="19">
        <v>6</v>
      </c>
      <c r="H66" s="19">
        <v>6</v>
      </c>
      <c r="I66" s="19">
        <v>6</v>
      </c>
      <c r="J66" s="19">
        <v>6</v>
      </c>
      <c r="K66" s="19">
        <v>6</v>
      </c>
      <c r="L66" s="19">
        <v>6</v>
      </c>
      <c r="M66" s="19">
        <v>6</v>
      </c>
      <c r="N66" s="19">
        <v>6</v>
      </c>
      <c r="O66" s="19">
        <v>6</v>
      </c>
      <c r="P66" s="19">
        <v>6</v>
      </c>
      <c r="Q66" s="19">
        <v>6</v>
      </c>
      <c r="R66" s="19">
        <v>6</v>
      </c>
      <c r="S66" s="19">
        <v>6</v>
      </c>
      <c r="T66" s="19">
        <v>6</v>
      </c>
      <c r="U66" s="19">
        <v>6</v>
      </c>
      <c r="V66" s="19">
        <v>6</v>
      </c>
      <c r="W66" s="19">
        <v>5</v>
      </c>
      <c r="X66" s="19">
        <v>6</v>
      </c>
      <c r="Y66" s="19">
        <v>6</v>
      </c>
      <c r="Z66" s="19">
        <v>6</v>
      </c>
      <c r="AA66" s="19">
        <v>6</v>
      </c>
      <c r="AB66" s="19">
        <v>6</v>
      </c>
      <c r="AC66" s="19">
        <v>6</v>
      </c>
      <c r="AD66" s="19">
        <v>6</v>
      </c>
      <c r="AE66" s="19">
        <v>6</v>
      </c>
      <c r="AF66" s="19">
        <v>6</v>
      </c>
      <c r="AG66" s="19">
        <v>6</v>
      </c>
      <c r="AH66" s="19">
        <v>6</v>
      </c>
      <c r="AI66" s="19">
        <v>6</v>
      </c>
      <c r="AJ66" s="19">
        <v>6</v>
      </c>
      <c r="AK66" s="19">
        <v>6</v>
      </c>
      <c r="AL66" s="19">
        <v>6</v>
      </c>
      <c r="AM66" s="19">
        <v>6</v>
      </c>
      <c r="AN66" s="19">
        <v>6</v>
      </c>
      <c r="AO66" s="19">
        <v>6</v>
      </c>
      <c r="AP66" s="19">
        <v>6</v>
      </c>
      <c r="AQ66" s="19">
        <v>6</v>
      </c>
      <c r="AR66" s="19">
        <v>6</v>
      </c>
      <c r="AS66" s="19">
        <v>6</v>
      </c>
      <c r="AT66" s="19">
        <v>6</v>
      </c>
      <c r="AU66" s="19">
        <v>6</v>
      </c>
      <c r="AV66" s="19">
        <v>6</v>
      </c>
      <c r="AW66" s="19">
        <v>6</v>
      </c>
      <c r="AX66" s="19">
        <v>6</v>
      </c>
      <c r="AY66" s="19">
        <v>6</v>
      </c>
      <c r="AZ66" s="19">
        <v>6</v>
      </c>
      <c r="BA66" s="19">
        <v>6</v>
      </c>
      <c r="BB66" s="19">
        <v>6</v>
      </c>
      <c r="BC66" s="19">
        <v>5</v>
      </c>
      <c r="BD66" s="19">
        <v>6</v>
      </c>
      <c r="BE66" s="19">
        <v>6</v>
      </c>
      <c r="BF66" s="19">
        <v>6</v>
      </c>
      <c r="BG66" s="19">
        <v>6</v>
      </c>
      <c r="BH66" s="19">
        <v>6</v>
      </c>
      <c r="BI66" s="19">
        <v>6</v>
      </c>
      <c r="BJ66" s="19">
        <v>6</v>
      </c>
      <c r="BK66" s="19">
        <v>6</v>
      </c>
      <c r="BL66" s="19">
        <v>6</v>
      </c>
    </row>
    <row r="67" spans="1:64">
      <c r="A67" s="20"/>
      <c r="B67" s="20" t="s">
        <v>53</v>
      </c>
      <c r="C67" s="19">
        <v>3</v>
      </c>
      <c r="D67" s="19">
        <v>3</v>
      </c>
      <c r="E67" s="19">
        <v>2</v>
      </c>
      <c r="F67" s="19">
        <v>3</v>
      </c>
      <c r="G67" s="19"/>
      <c r="H67" s="19"/>
      <c r="I67" s="19">
        <v>2</v>
      </c>
      <c r="J67" s="19">
        <v>2</v>
      </c>
      <c r="K67" s="19"/>
      <c r="L67" s="19"/>
      <c r="M67" s="19">
        <v>2</v>
      </c>
      <c r="N67" s="19"/>
      <c r="O67" s="19">
        <v>2</v>
      </c>
      <c r="P67" s="19">
        <v>6</v>
      </c>
      <c r="Q67" s="19">
        <v>1</v>
      </c>
      <c r="R67" s="19"/>
      <c r="S67" s="19">
        <v>1</v>
      </c>
      <c r="T67" s="19">
        <v>1</v>
      </c>
      <c r="U67" s="19"/>
      <c r="V67" s="19">
        <v>3</v>
      </c>
      <c r="W67" s="19">
        <v>5</v>
      </c>
      <c r="X67" s="19">
        <v>5</v>
      </c>
      <c r="Y67" s="19"/>
      <c r="Z67" s="19"/>
      <c r="AA67" s="19">
        <v>2</v>
      </c>
      <c r="AB67" s="19">
        <v>2</v>
      </c>
      <c r="AC67" s="19">
        <v>3</v>
      </c>
      <c r="AD67" s="19">
        <v>2</v>
      </c>
      <c r="AE67" s="19"/>
      <c r="AF67" s="19"/>
      <c r="AG67" s="19"/>
      <c r="AH67" s="19"/>
      <c r="AI67" s="19"/>
      <c r="AJ67" s="19"/>
      <c r="AK67" s="19"/>
      <c r="AL67" s="19">
        <v>6</v>
      </c>
      <c r="AM67" s="19">
        <v>6</v>
      </c>
      <c r="AN67" s="19"/>
      <c r="AO67" s="19"/>
      <c r="AP67" s="19"/>
      <c r="AQ67" s="19"/>
      <c r="AR67" s="19"/>
      <c r="AS67" s="19"/>
      <c r="AT67" s="19"/>
      <c r="AU67" s="19">
        <v>2</v>
      </c>
      <c r="AV67" s="19"/>
      <c r="AW67" s="19"/>
      <c r="AX67" s="19"/>
      <c r="AY67" s="19"/>
      <c r="AZ67" s="19"/>
      <c r="BA67" s="19"/>
      <c r="BB67" s="19"/>
      <c r="BC67" s="19">
        <v>4</v>
      </c>
      <c r="BD67" s="19"/>
      <c r="BE67" s="19">
        <v>6</v>
      </c>
      <c r="BF67" s="19"/>
      <c r="BG67" s="19"/>
      <c r="BH67" s="19"/>
      <c r="BI67" s="19"/>
      <c r="BJ67" s="19"/>
      <c r="BK67" s="19"/>
      <c r="BL67" s="19"/>
    </row>
    <row r="68" spans="1:64">
      <c r="A68" s="19"/>
      <c r="B68" s="19" t="s">
        <v>54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</row>
    <row r="69" spans="1:64">
      <c r="A69" s="20"/>
      <c r="B69" s="20" t="s">
        <v>55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19">
        <v>6</v>
      </c>
      <c r="O69" s="19">
        <v>6</v>
      </c>
      <c r="P69" s="19">
        <v>6</v>
      </c>
      <c r="Q69" s="19">
        <v>6</v>
      </c>
      <c r="R69" s="19">
        <v>6</v>
      </c>
      <c r="S69" s="19">
        <v>6</v>
      </c>
      <c r="T69" s="19">
        <v>6</v>
      </c>
      <c r="U69" s="19">
        <v>6</v>
      </c>
      <c r="V69" s="19">
        <v>6</v>
      </c>
      <c r="W69" s="19">
        <v>6</v>
      </c>
      <c r="X69" s="19">
        <v>6</v>
      </c>
      <c r="Y69" s="19">
        <v>6</v>
      </c>
      <c r="Z69" s="19">
        <v>6</v>
      </c>
      <c r="AA69" s="19">
        <v>6</v>
      </c>
      <c r="AB69" s="19">
        <v>6</v>
      </c>
      <c r="AC69" s="19">
        <v>5</v>
      </c>
      <c r="AD69" s="19">
        <v>6</v>
      </c>
      <c r="AE69" s="19">
        <v>6</v>
      </c>
      <c r="AF69" s="19">
        <v>6</v>
      </c>
      <c r="AG69" s="19">
        <v>6</v>
      </c>
      <c r="AH69" s="19">
        <v>6</v>
      </c>
      <c r="AI69" s="19">
        <v>6</v>
      </c>
      <c r="AJ69" s="19">
        <v>6</v>
      </c>
      <c r="AK69" s="19">
        <v>6</v>
      </c>
      <c r="AL69" s="19">
        <v>6</v>
      </c>
      <c r="AM69" s="19">
        <v>6</v>
      </c>
      <c r="AN69" s="19">
        <v>6</v>
      </c>
      <c r="AO69" s="19">
        <v>6</v>
      </c>
      <c r="AP69" s="19">
        <v>6</v>
      </c>
      <c r="AQ69" s="19">
        <v>6</v>
      </c>
      <c r="AR69" s="19">
        <v>6</v>
      </c>
      <c r="AS69" s="19">
        <v>6</v>
      </c>
      <c r="AT69" s="19">
        <v>6</v>
      </c>
      <c r="AU69" s="19">
        <v>6</v>
      </c>
      <c r="AV69" s="19">
        <v>6</v>
      </c>
      <c r="AW69" s="19">
        <v>6</v>
      </c>
      <c r="AX69" s="19">
        <v>6</v>
      </c>
      <c r="AY69" s="19">
        <v>6</v>
      </c>
      <c r="AZ69" s="19">
        <v>6</v>
      </c>
      <c r="BA69" s="19">
        <v>6</v>
      </c>
      <c r="BB69" s="19">
        <v>6</v>
      </c>
      <c r="BC69" s="19">
        <v>6</v>
      </c>
      <c r="BD69" s="19">
        <v>6</v>
      </c>
      <c r="BE69" s="19">
        <v>6</v>
      </c>
      <c r="BF69" s="19">
        <v>6</v>
      </c>
      <c r="BG69" s="19">
        <v>6</v>
      </c>
      <c r="BH69" s="19">
        <v>6</v>
      </c>
      <c r="BI69" s="19">
        <v>6</v>
      </c>
      <c r="BJ69" s="19">
        <v>6</v>
      </c>
      <c r="BK69" s="19">
        <v>6</v>
      </c>
      <c r="BL69" s="19">
        <v>6</v>
      </c>
    </row>
    <row r="70" spans="1:64">
      <c r="A70" s="20"/>
      <c r="B70" s="20" t="s">
        <v>56</v>
      </c>
      <c r="C70" s="19">
        <v>5</v>
      </c>
      <c r="D70" s="19"/>
      <c r="E70" s="19">
        <v>3</v>
      </c>
      <c r="F70" s="19">
        <v>4</v>
      </c>
      <c r="G70" s="19"/>
      <c r="H70" s="19"/>
      <c r="I70" s="19">
        <v>2</v>
      </c>
      <c r="J70" s="19"/>
      <c r="K70" s="19"/>
      <c r="L70" s="19">
        <v>0</v>
      </c>
      <c r="M70" s="19">
        <v>3</v>
      </c>
      <c r="N70" s="19">
        <v>0</v>
      </c>
      <c r="O70" s="19">
        <v>2</v>
      </c>
      <c r="P70" s="19">
        <v>6</v>
      </c>
      <c r="Q70" s="19">
        <v>3</v>
      </c>
      <c r="R70" s="19"/>
      <c r="S70" s="19">
        <v>1</v>
      </c>
      <c r="T70" s="19">
        <v>1</v>
      </c>
      <c r="U70" s="19"/>
      <c r="V70" s="19">
        <v>2</v>
      </c>
      <c r="W70" s="19">
        <v>5</v>
      </c>
      <c r="X70" s="19">
        <v>5</v>
      </c>
      <c r="Y70" s="19"/>
      <c r="Z70" s="19"/>
      <c r="AA70" s="19">
        <v>3</v>
      </c>
      <c r="AB70" s="19">
        <v>4</v>
      </c>
      <c r="AC70" s="19">
        <v>4</v>
      </c>
      <c r="AD70" s="19">
        <v>4</v>
      </c>
      <c r="AE70" s="19"/>
      <c r="AF70" s="19"/>
      <c r="AG70" s="19"/>
      <c r="AH70" s="19"/>
      <c r="AI70" s="19"/>
      <c r="AJ70" s="19"/>
      <c r="AK70" s="19"/>
      <c r="AL70" s="19"/>
      <c r="AM70" s="19">
        <v>6</v>
      </c>
      <c r="AN70" s="19"/>
      <c r="AO70" s="19"/>
      <c r="AP70" s="19"/>
      <c r="AQ70" s="19"/>
      <c r="AR70" s="19"/>
      <c r="AS70" s="19"/>
      <c r="AT70" s="19"/>
      <c r="AU70" s="19"/>
      <c r="AV70" s="19">
        <v>4</v>
      </c>
      <c r="AW70" s="19"/>
      <c r="AX70" s="19"/>
      <c r="AY70" s="19"/>
      <c r="AZ70" s="19"/>
      <c r="BA70" s="19"/>
      <c r="BB70" s="19"/>
      <c r="BC70" s="19">
        <v>4</v>
      </c>
      <c r="BD70" s="19"/>
      <c r="BE70" s="19"/>
      <c r="BF70" s="19"/>
      <c r="BG70" s="19"/>
      <c r="BH70" s="19"/>
      <c r="BI70" s="19"/>
      <c r="BJ70" s="19"/>
      <c r="BK70" s="19"/>
      <c r="BL70" s="19"/>
    </row>
    <row r="71" spans="1:64">
      <c r="A71" s="19"/>
      <c r="B71" s="19" t="s">
        <v>57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1:64">
      <c r="A72" s="20"/>
      <c r="B72" s="20" t="s">
        <v>55</v>
      </c>
      <c r="C72" s="19">
        <v>6</v>
      </c>
      <c r="D72" s="19">
        <v>6</v>
      </c>
      <c r="E72" s="19">
        <v>5</v>
      </c>
      <c r="F72" s="19">
        <v>6</v>
      </c>
      <c r="G72" s="19">
        <v>6</v>
      </c>
      <c r="H72" s="19">
        <v>6</v>
      </c>
      <c r="I72" s="19">
        <v>6</v>
      </c>
      <c r="J72" s="19">
        <v>6</v>
      </c>
      <c r="K72" s="19">
        <v>6</v>
      </c>
      <c r="L72" s="19">
        <v>6</v>
      </c>
      <c r="M72" s="19">
        <v>6</v>
      </c>
      <c r="N72" s="19">
        <v>6</v>
      </c>
      <c r="O72" s="19">
        <v>6</v>
      </c>
      <c r="P72" s="19">
        <v>6</v>
      </c>
      <c r="Q72" s="19">
        <v>6</v>
      </c>
      <c r="R72" s="19">
        <v>6</v>
      </c>
      <c r="S72" s="19">
        <v>6</v>
      </c>
      <c r="T72" s="19">
        <v>6</v>
      </c>
      <c r="U72" s="19">
        <v>6</v>
      </c>
      <c r="V72" s="19">
        <v>6</v>
      </c>
      <c r="W72" s="19">
        <v>6</v>
      </c>
      <c r="X72" s="19">
        <v>5</v>
      </c>
      <c r="Y72" s="19">
        <v>6</v>
      </c>
      <c r="Z72" s="19">
        <v>6</v>
      </c>
      <c r="AA72" s="19">
        <v>3</v>
      </c>
      <c r="AB72" s="19">
        <v>3</v>
      </c>
      <c r="AC72" s="19">
        <v>3</v>
      </c>
      <c r="AD72" s="19">
        <v>3</v>
      </c>
      <c r="AE72" s="19">
        <v>6</v>
      </c>
      <c r="AF72" s="19">
        <v>6</v>
      </c>
      <c r="AG72" s="19">
        <v>6</v>
      </c>
      <c r="AH72" s="19">
        <v>6</v>
      </c>
      <c r="AI72" s="19">
        <v>6</v>
      </c>
      <c r="AJ72" s="19">
        <v>6</v>
      </c>
      <c r="AK72" s="19">
        <v>6</v>
      </c>
      <c r="AL72" s="19">
        <v>6</v>
      </c>
      <c r="AM72" s="19">
        <v>6</v>
      </c>
      <c r="AN72" s="19">
        <v>6</v>
      </c>
      <c r="AO72" s="19">
        <v>6</v>
      </c>
      <c r="AP72" s="19">
        <v>6</v>
      </c>
      <c r="AQ72" s="19">
        <v>6</v>
      </c>
      <c r="AR72" s="19">
        <v>6</v>
      </c>
      <c r="AS72" s="19">
        <v>6</v>
      </c>
      <c r="AT72" s="19">
        <v>6</v>
      </c>
      <c r="AU72" s="19">
        <v>6</v>
      </c>
      <c r="AV72" s="19">
        <v>6</v>
      </c>
      <c r="AW72" s="19">
        <v>6</v>
      </c>
      <c r="AX72" s="19">
        <v>6</v>
      </c>
      <c r="AY72" s="19">
        <v>6</v>
      </c>
      <c r="AZ72" s="19">
        <v>6</v>
      </c>
      <c r="BA72" s="19">
        <v>6</v>
      </c>
      <c r="BB72" s="19">
        <v>6</v>
      </c>
      <c r="BC72" s="19">
        <v>6</v>
      </c>
      <c r="BD72" s="19">
        <v>6</v>
      </c>
      <c r="BE72" s="19">
        <v>6</v>
      </c>
      <c r="BF72" s="19">
        <v>6</v>
      </c>
      <c r="BG72" s="19">
        <v>6</v>
      </c>
      <c r="BH72" s="19">
        <v>6</v>
      </c>
      <c r="BI72" s="19">
        <v>6</v>
      </c>
      <c r="BJ72" s="19">
        <v>6</v>
      </c>
      <c r="BK72" s="19">
        <v>6</v>
      </c>
      <c r="BL72" s="19">
        <v>6</v>
      </c>
    </row>
    <row r="73" spans="1:64">
      <c r="A73" s="20"/>
      <c r="B73" s="20" t="s">
        <v>56</v>
      </c>
      <c r="C73" s="19"/>
      <c r="D73" s="19">
        <v>3</v>
      </c>
      <c r="E73" s="19">
        <v>3</v>
      </c>
      <c r="F73" s="19">
        <v>5</v>
      </c>
      <c r="G73" s="19"/>
      <c r="H73" s="19"/>
      <c r="I73" s="19">
        <v>2</v>
      </c>
      <c r="J73" s="19"/>
      <c r="K73" s="19"/>
      <c r="L73" s="19"/>
      <c r="M73" s="19">
        <v>2</v>
      </c>
      <c r="N73" s="19"/>
      <c r="O73" s="19">
        <v>2</v>
      </c>
      <c r="P73" s="19">
        <v>6</v>
      </c>
      <c r="Q73" s="19">
        <v>0</v>
      </c>
      <c r="R73" s="19"/>
      <c r="S73" s="19">
        <v>6</v>
      </c>
      <c r="T73" s="19"/>
      <c r="U73" s="19"/>
      <c r="V73" s="19">
        <v>2</v>
      </c>
      <c r="W73" s="19"/>
      <c r="X73" s="19">
        <v>5</v>
      </c>
      <c r="Y73" s="19"/>
      <c r="Z73" s="19"/>
      <c r="AA73" s="19">
        <v>4</v>
      </c>
      <c r="AB73" s="19">
        <v>4</v>
      </c>
      <c r="AC73" s="19">
        <v>4</v>
      </c>
      <c r="AD73" s="19">
        <v>3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>
        <v>3</v>
      </c>
      <c r="BD73" s="19"/>
      <c r="BE73" s="19"/>
      <c r="BF73" s="19"/>
      <c r="BG73" s="19"/>
      <c r="BH73" s="19"/>
      <c r="BI73" s="19"/>
      <c r="BJ73" s="19"/>
      <c r="BK73" s="19"/>
      <c r="BL73" s="19"/>
    </row>
    <row r="74" spans="1:6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 spans="1:64">
      <c r="A75" s="2"/>
    </row>
    <row r="76" spans="1:64">
      <c r="A76" s="2"/>
      <c r="B76" s="21" t="s">
        <v>58</v>
      </c>
      <c r="C76" s="21">
        <f t="shared" ref="C76:BL76" si="0">0.454*(IF(C10&gt;20, 20, 20-ROUND(C10,0)) + IF(C13&gt;20, 20, 20-ROUND(C13,0)) + C16 + IF(C19&gt;20, 20, C19) + IF(C22&gt;20, 20, C22) + IF(C25&gt;20, 20, C25)) + (C29+C33+C37+C41+C45)*0.109 + (C50+C53+C56+C59)*2.27 + (C63+C66+C69+C72)*2.27</f>
        <v>168.62400000000002</v>
      </c>
      <c r="D76" s="21">
        <f t="shared" si="0"/>
        <v>173.07300000000001</v>
      </c>
      <c r="E76" s="21">
        <f t="shared" si="0"/>
        <v>153.82400000000001</v>
      </c>
      <c r="F76" s="21">
        <f t="shared" si="0"/>
        <v>160.542</v>
      </c>
      <c r="G76" s="21">
        <f t="shared" si="0"/>
        <v>180.25</v>
      </c>
      <c r="H76" s="21">
        <f t="shared" si="0"/>
        <v>185.69600000000003</v>
      </c>
      <c r="I76" s="21">
        <f t="shared" si="0"/>
        <v>194.78500000000003</v>
      </c>
      <c r="J76" s="21">
        <f t="shared" si="0"/>
        <v>180.25</v>
      </c>
      <c r="K76" s="21">
        <f t="shared" si="0"/>
        <v>189.33000000000004</v>
      </c>
      <c r="L76" s="21">
        <f t="shared" si="0"/>
        <v>180.24800000000002</v>
      </c>
      <c r="M76" s="21">
        <f t="shared" si="0"/>
        <v>172.99100000000001</v>
      </c>
      <c r="N76" s="21">
        <f t="shared" si="0"/>
        <v>195.32600000000002</v>
      </c>
      <c r="O76" s="21">
        <f t="shared" si="0"/>
        <v>182.94200000000001</v>
      </c>
      <c r="P76" s="21">
        <f t="shared" si="0"/>
        <v>192.69300000000004</v>
      </c>
      <c r="Q76" s="21">
        <f t="shared" si="0"/>
        <v>177.88800000000001</v>
      </c>
      <c r="R76" s="21">
        <f t="shared" si="0"/>
        <v>184.88200000000001</v>
      </c>
      <c r="S76" s="21">
        <f t="shared" si="0"/>
        <v>173.52800000000002</v>
      </c>
      <c r="T76" s="21">
        <f t="shared" si="0"/>
        <v>189.15000000000003</v>
      </c>
      <c r="U76" s="21">
        <f t="shared" si="0"/>
        <v>180.24600000000001</v>
      </c>
      <c r="V76" s="21">
        <f t="shared" si="0"/>
        <v>137.47399999999999</v>
      </c>
      <c r="W76" s="21">
        <f t="shared" si="0"/>
        <v>149.28200000000001</v>
      </c>
      <c r="X76" s="21">
        <f t="shared" si="0"/>
        <v>154.91400000000002</v>
      </c>
      <c r="Y76" s="21">
        <f t="shared" si="0"/>
        <v>173.98099999999999</v>
      </c>
      <c r="Z76" s="21">
        <f t="shared" si="0"/>
        <v>166.17400000000001</v>
      </c>
      <c r="AA76" s="21">
        <f t="shared" si="0"/>
        <v>152.61000000000001</v>
      </c>
      <c r="AB76" s="21">
        <f t="shared" si="0"/>
        <v>150.05099999999999</v>
      </c>
      <c r="AC76" s="21">
        <f t="shared" si="0"/>
        <v>157.589</v>
      </c>
      <c r="AD76" s="21">
        <f t="shared" si="0"/>
        <v>177.65899999999999</v>
      </c>
      <c r="AE76" s="21">
        <f t="shared" si="0"/>
        <v>194.78300000000002</v>
      </c>
      <c r="AF76" s="21">
        <f t="shared" si="0"/>
        <v>173.53000000000003</v>
      </c>
      <c r="AG76" s="21">
        <f t="shared" si="0"/>
        <v>207.952</v>
      </c>
      <c r="AH76" s="21">
        <f t="shared" si="0"/>
        <v>181.16000000000003</v>
      </c>
      <c r="AI76" s="21">
        <f t="shared" si="0"/>
        <v>153.55000000000001</v>
      </c>
      <c r="AJ76" s="21">
        <f t="shared" si="0"/>
        <v>181.24600000000001</v>
      </c>
      <c r="AK76" s="21">
        <f t="shared" si="0"/>
        <v>182.97400000000005</v>
      </c>
      <c r="AL76" s="21">
        <f t="shared" si="0"/>
        <v>208.76600000000002</v>
      </c>
      <c r="AM76" s="21">
        <f t="shared" si="0"/>
        <v>181.52100000000002</v>
      </c>
      <c r="AN76" s="21">
        <f t="shared" si="0"/>
        <v>189.87800000000004</v>
      </c>
      <c r="AO76" s="21">
        <f t="shared" si="0"/>
        <v>192.03800000000001</v>
      </c>
      <c r="AP76" s="21">
        <f t="shared" si="0"/>
        <v>190.875</v>
      </c>
      <c r="AQ76" s="21">
        <f t="shared" si="0"/>
        <v>174.80400000000003</v>
      </c>
      <c r="AR76" s="21">
        <f t="shared" si="0"/>
        <v>196.14400000000001</v>
      </c>
      <c r="AS76" s="21">
        <f t="shared" si="0"/>
        <v>207.49800000000005</v>
      </c>
      <c r="AT76" s="21">
        <f t="shared" si="0"/>
        <v>200.41200000000003</v>
      </c>
      <c r="AU76" s="21">
        <f t="shared" si="0"/>
        <v>179.43</v>
      </c>
      <c r="AV76" s="21">
        <f t="shared" si="0"/>
        <v>175.52700000000002</v>
      </c>
      <c r="AW76" s="21">
        <f t="shared" si="0"/>
        <v>181.25200000000001</v>
      </c>
      <c r="AX76" s="21">
        <f t="shared" si="0"/>
        <v>167.89999999999998</v>
      </c>
      <c r="AY76" s="21">
        <f t="shared" si="0"/>
        <v>166.17400000000001</v>
      </c>
      <c r="AZ76" s="21">
        <f t="shared" si="0"/>
        <v>159.99600000000001</v>
      </c>
      <c r="BA76" s="21">
        <f t="shared" si="0"/>
        <v>188.61</v>
      </c>
      <c r="BB76" s="21">
        <f t="shared" si="0"/>
        <v>184.33800000000002</v>
      </c>
      <c r="BC76" s="21">
        <f t="shared" si="0"/>
        <v>150.01</v>
      </c>
      <c r="BD76" s="21">
        <f t="shared" si="0"/>
        <v>200.41200000000003</v>
      </c>
      <c r="BE76" s="21">
        <f t="shared" si="0"/>
        <v>188.78800000000001</v>
      </c>
      <c r="BF76" s="21">
        <f t="shared" si="0"/>
        <v>207.49800000000005</v>
      </c>
      <c r="BG76" s="21">
        <f t="shared" si="0"/>
        <v>200.68400000000003</v>
      </c>
      <c r="BH76" s="21">
        <f t="shared" si="0"/>
        <v>199.77600000000001</v>
      </c>
      <c r="BI76" s="21">
        <f t="shared" si="0"/>
        <v>198.86799999999999</v>
      </c>
      <c r="BJ76" s="21">
        <f t="shared" si="0"/>
        <v>179.97800000000001</v>
      </c>
      <c r="BK76" s="21">
        <f t="shared" si="0"/>
        <v>200.68400000000003</v>
      </c>
      <c r="BL76" s="21">
        <f t="shared" si="0"/>
        <v>200.23000000000002</v>
      </c>
    </row>
    <row r="77" spans="1:64">
      <c r="A77" s="2"/>
      <c r="B77" s="21" t="s">
        <v>59</v>
      </c>
      <c r="C77" s="22">
        <f t="shared" ref="C77:BL77" si="1">0.454*(IF(C11&gt;20, 20, 20-ROUND(C11,0)) + IF(C14&gt;20, 20, 20-ROUND(C14,0)) + C17 + IF(C20&gt;20, 20, C20) + IF(C23&gt;20, 20, C23) + IF(C26&gt;20, 20, C26)) + (C30+C34+C38+C42+C46)*0.109 + (C51+C54+C57+C60)*2.27 + (C64+C67+C70+C73)*2.27</f>
        <v>126.03400000000001</v>
      </c>
      <c r="D77" s="22">
        <f t="shared" si="1"/>
        <v>158.911</v>
      </c>
      <c r="E77" s="22">
        <f t="shared" si="1"/>
        <v>158.27500000000001</v>
      </c>
      <c r="F77" s="22">
        <f t="shared" si="1"/>
        <v>174.71100000000001</v>
      </c>
      <c r="G77" s="22">
        <f t="shared" si="1"/>
        <v>102.608</v>
      </c>
      <c r="H77" s="22">
        <f t="shared" si="1"/>
        <v>105.792</v>
      </c>
      <c r="I77" s="22">
        <f t="shared" si="1"/>
        <v>77.635000000000005</v>
      </c>
      <c r="J77" s="22">
        <f t="shared" si="1"/>
        <v>110.78</v>
      </c>
      <c r="K77" s="22">
        <f t="shared" si="1"/>
        <v>100.792</v>
      </c>
      <c r="L77" s="22">
        <f t="shared" si="1"/>
        <v>106.24200000000002</v>
      </c>
      <c r="M77" s="22">
        <f t="shared" si="1"/>
        <v>96.251000000000005</v>
      </c>
      <c r="N77" s="22">
        <f t="shared" si="1"/>
        <v>102.97200000000001</v>
      </c>
      <c r="O77" s="22">
        <f t="shared" si="1"/>
        <v>77.673999999999992</v>
      </c>
      <c r="P77" s="22">
        <f t="shared" si="1"/>
        <v>155.99900000000002</v>
      </c>
      <c r="Q77" s="22">
        <f t="shared" si="1"/>
        <v>142.65600000000001</v>
      </c>
      <c r="R77" s="22">
        <f t="shared" si="1"/>
        <v>127.762</v>
      </c>
      <c r="S77" s="22">
        <f t="shared" si="1"/>
        <v>162.45200000000003</v>
      </c>
      <c r="T77" s="22">
        <f t="shared" si="1"/>
        <v>141.38200000000001</v>
      </c>
      <c r="U77" s="22">
        <f t="shared" si="1"/>
        <v>154.37200000000001</v>
      </c>
      <c r="V77" s="22">
        <f t="shared" si="1"/>
        <v>176.714</v>
      </c>
      <c r="W77" s="22">
        <f t="shared" si="1"/>
        <v>141.29400000000001</v>
      </c>
      <c r="X77" s="22">
        <f t="shared" si="1"/>
        <v>156.55000000000001</v>
      </c>
      <c r="Y77" s="22">
        <f t="shared" si="1"/>
        <v>122.86300000000001</v>
      </c>
      <c r="Z77" s="22">
        <f t="shared" si="1"/>
        <v>74.911999999999992</v>
      </c>
      <c r="AA77" s="22">
        <f t="shared" si="1"/>
        <v>131.13799999999998</v>
      </c>
      <c r="AB77" s="22">
        <f t="shared" si="1"/>
        <v>120.54899999999999</v>
      </c>
      <c r="AC77" s="22">
        <f t="shared" si="1"/>
        <v>132.53300000000002</v>
      </c>
      <c r="AD77" s="22">
        <f t="shared" si="1"/>
        <v>96.486000000000004</v>
      </c>
      <c r="AE77" s="22">
        <f t="shared" si="1"/>
        <v>83.993000000000009</v>
      </c>
      <c r="AF77" s="22">
        <f t="shared" si="1"/>
        <v>94.346000000000004</v>
      </c>
      <c r="AG77" s="22">
        <f t="shared" si="1"/>
        <v>72.64</v>
      </c>
      <c r="AH77" s="22">
        <f t="shared" si="1"/>
        <v>77.635999999999996</v>
      </c>
      <c r="AI77" s="22">
        <f t="shared" si="1"/>
        <v>150.65000000000003</v>
      </c>
      <c r="AJ77" s="22">
        <f t="shared" si="1"/>
        <v>136.57400000000001</v>
      </c>
      <c r="AK77" s="22">
        <f t="shared" si="1"/>
        <v>105.786</v>
      </c>
      <c r="AL77" s="22">
        <f t="shared" si="1"/>
        <v>122.22</v>
      </c>
      <c r="AM77" s="22">
        <f t="shared" si="1"/>
        <v>136.29900000000001</v>
      </c>
      <c r="AN77" s="22">
        <f t="shared" si="1"/>
        <v>108.42000000000002</v>
      </c>
      <c r="AO77" s="22">
        <f t="shared" si="1"/>
        <v>119.426</v>
      </c>
      <c r="AP77" s="22">
        <f t="shared" si="1"/>
        <v>117.86500000000001</v>
      </c>
      <c r="AQ77" s="22">
        <f t="shared" si="1"/>
        <v>82.63000000000001</v>
      </c>
      <c r="AR77" s="22">
        <f t="shared" si="1"/>
        <v>97.156000000000006</v>
      </c>
      <c r="AS77" s="22">
        <f t="shared" si="1"/>
        <v>65.83</v>
      </c>
      <c r="AT77" s="22">
        <f t="shared" si="1"/>
        <v>90.168000000000006</v>
      </c>
      <c r="AU77" s="22">
        <f t="shared" si="1"/>
        <v>126.12799999999999</v>
      </c>
      <c r="AV77" s="22">
        <f t="shared" si="1"/>
        <v>113.13800000000002</v>
      </c>
      <c r="AW77" s="22">
        <f t="shared" si="1"/>
        <v>92.983999999999995</v>
      </c>
      <c r="AX77" s="22">
        <f t="shared" si="1"/>
        <v>108.783</v>
      </c>
      <c r="AY77" s="22">
        <f t="shared" si="1"/>
        <v>103.97200000000001</v>
      </c>
      <c r="AZ77" s="22">
        <f t="shared" si="1"/>
        <v>137.39400000000001</v>
      </c>
      <c r="BA77" s="22">
        <f t="shared" si="1"/>
        <v>111.05000000000001</v>
      </c>
      <c r="BB77" s="22">
        <f t="shared" si="1"/>
        <v>100.794</v>
      </c>
      <c r="BC77" s="22">
        <f t="shared" si="1"/>
        <v>148.28399999999999</v>
      </c>
      <c r="BD77" s="22">
        <f t="shared" si="1"/>
        <v>80.180000000000007</v>
      </c>
      <c r="BE77" s="22">
        <f t="shared" si="1"/>
        <v>119.49800000000002</v>
      </c>
      <c r="BF77" s="22">
        <f t="shared" si="1"/>
        <v>9.9879999999999995</v>
      </c>
      <c r="BG77" s="22">
        <f t="shared" si="1"/>
        <v>105.33200000000001</v>
      </c>
      <c r="BH77" s="22">
        <f t="shared" si="1"/>
        <v>81.724000000000004</v>
      </c>
      <c r="BI77" s="22">
        <f t="shared" si="1"/>
        <v>95.798000000000002</v>
      </c>
      <c r="BJ77" s="22">
        <f t="shared" si="1"/>
        <v>90.171999999999997</v>
      </c>
      <c r="BK77" s="22">
        <f t="shared" si="1"/>
        <v>98.52200000000002</v>
      </c>
      <c r="BL77" s="22">
        <f t="shared" si="1"/>
        <v>96.25200000000001</v>
      </c>
    </row>
    <row r="78" spans="1:64">
      <c r="A78" s="23"/>
      <c r="B78" s="24" t="s">
        <v>60</v>
      </c>
      <c r="C78" s="24">
        <f t="shared" ref="C78:BL78" si="2">C76-C77</f>
        <v>42.590000000000018</v>
      </c>
      <c r="D78" s="24">
        <f t="shared" si="2"/>
        <v>14.162000000000006</v>
      </c>
      <c r="E78" s="24">
        <f t="shared" si="2"/>
        <v>-4.4509999999999934</v>
      </c>
      <c r="F78" s="24">
        <f t="shared" si="2"/>
        <v>-14.169000000000011</v>
      </c>
      <c r="G78" s="24">
        <f t="shared" si="2"/>
        <v>77.641999999999996</v>
      </c>
      <c r="H78" s="24">
        <f t="shared" si="2"/>
        <v>79.904000000000025</v>
      </c>
      <c r="I78" s="24">
        <f t="shared" si="2"/>
        <v>117.15000000000002</v>
      </c>
      <c r="J78" s="24">
        <f t="shared" si="2"/>
        <v>69.47</v>
      </c>
      <c r="K78" s="24">
        <f t="shared" si="2"/>
        <v>88.538000000000039</v>
      </c>
      <c r="L78" s="24">
        <f t="shared" si="2"/>
        <v>74.006</v>
      </c>
      <c r="M78" s="24">
        <f t="shared" si="2"/>
        <v>76.740000000000009</v>
      </c>
      <c r="N78" s="24">
        <f t="shared" si="2"/>
        <v>92.354000000000013</v>
      </c>
      <c r="O78" s="24">
        <f t="shared" si="2"/>
        <v>105.26800000000001</v>
      </c>
      <c r="P78" s="24">
        <f t="shared" si="2"/>
        <v>36.694000000000017</v>
      </c>
      <c r="Q78" s="24">
        <f t="shared" si="2"/>
        <v>35.231999999999999</v>
      </c>
      <c r="R78" s="24">
        <f t="shared" si="2"/>
        <v>57.120000000000005</v>
      </c>
      <c r="S78" s="24">
        <f t="shared" si="2"/>
        <v>11.075999999999993</v>
      </c>
      <c r="T78" s="24">
        <f t="shared" si="2"/>
        <v>47.768000000000029</v>
      </c>
      <c r="U78" s="24">
        <f t="shared" si="2"/>
        <v>25.873999999999995</v>
      </c>
      <c r="V78" s="24">
        <f t="shared" si="2"/>
        <v>-39.240000000000009</v>
      </c>
      <c r="W78" s="24">
        <f t="shared" si="2"/>
        <v>7.9879999999999995</v>
      </c>
      <c r="X78" s="24">
        <f t="shared" si="2"/>
        <v>-1.6359999999999957</v>
      </c>
      <c r="Y78" s="24">
        <f t="shared" si="2"/>
        <v>51.117999999999981</v>
      </c>
      <c r="Z78" s="24">
        <f t="shared" si="2"/>
        <v>91.262000000000015</v>
      </c>
      <c r="AA78" s="24">
        <f t="shared" si="2"/>
        <v>21.472000000000037</v>
      </c>
      <c r="AB78" s="24">
        <f t="shared" si="2"/>
        <v>29.501999999999995</v>
      </c>
      <c r="AC78" s="24">
        <f t="shared" si="2"/>
        <v>25.055999999999983</v>
      </c>
      <c r="AD78" s="24">
        <f t="shared" si="2"/>
        <v>81.172999999999988</v>
      </c>
      <c r="AE78" s="24">
        <f t="shared" si="2"/>
        <v>110.79</v>
      </c>
      <c r="AF78" s="24">
        <f t="shared" si="2"/>
        <v>79.184000000000026</v>
      </c>
      <c r="AG78" s="24">
        <f t="shared" si="2"/>
        <v>135.31200000000001</v>
      </c>
      <c r="AH78" s="24">
        <f t="shared" si="2"/>
        <v>103.52400000000003</v>
      </c>
      <c r="AI78" s="24">
        <f t="shared" si="2"/>
        <v>2.8999999999999773</v>
      </c>
      <c r="AJ78" s="24">
        <f t="shared" si="2"/>
        <v>44.671999999999997</v>
      </c>
      <c r="AK78" s="24">
        <f t="shared" si="2"/>
        <v>77.188000000000045</v>
      </c>
      <c r="AL78" s="24">
        <f t="shared" si="2"/>
        <v>86.546000000000021</v>
      </c>
      <c r="AM78" s="24">
        <f t="shared" si="2"/>
        <v>45.222000000000008</v>
      </c>
      <c r="AN78" s="24">
        <f t="shared" si="2"/>
        <v>81.458000000000027</v>
      </c>
      <c r="AO78" s="24">
        <f t="shared" si="2"/>
        <v>72.612000000000009</v>
      </c>
      <c r="AP78" s="24">
        <f t="shared" si="2"/>
        <v>73.009999999999991</v>
      </c>
      <c r="AQ78" s="24">
        <f t="shared" si="2"/>
        <v>92.174000000000021</v>
      </c>
      <c r="AR78" s="24">
        <f t="shared" si="2"/>
        <v>98.988</v>
      </c>
      <c r="AS78" s="24">
        <f t="shared" si="2"/>
        <v>141.66800000000006</v>
      </c>
      <c r="AT78" s="24">
        <f t="shared" si="2"/>
        <v>110.24400000000003</v>
      </c>
      <c r="AU78" s="24">
        <f t="shared" si="2"/>
        <v>53.302000000000021</v>
      </c>
      <c r="AV78" s="24">
        <f t="shared" si="2"/>
        <v>62.388999999999996</v>
      </c>
      <c r="AW78" s="24">
        <f t="shared" si="2"/>
        <v>88.268000000000015</v>
      </c>
      <c r="AX78" s="24">
        <f t="shared" si="2"/>
        <v>59.116999999999976</v>
      </c>
      <c r="AY78" s="24">
        <f t="shared" si="2"/>
        <v>62.201999999999998</v>
      </c>
      <c r="AZ78" s="24">
        <f t="shared" si="2"/>
        <v>22.602000000000004</v>
      </c>
      <c r="BA78" s="24">
        <f t="shared" si="2"/>
        <v>77.56</v>
      </c>
      <c r="BB78" s="24">
        <f t="shared" si="2"/>
        <v>83.544000000000025</v>
      </c>
      <c r="BC78" s="24">
        <f t="shared" si="2"/>
        <v>1.7259999999999991</v>
      </c>
      <c r="BD78" s="24">
        <f t="shared" si="2"/>
        <v>120.23200000000003</v>
      </c>
      <c r="BE78" s="24">
        <f t="shared" si="2"/>
        <v>69.289999999999992</v>
      </c>
      <c r="BF78" s="24">
        <f t="shared" si="2"/>
        <v>197.51000000000005</v>
      </c>
      <c r="BG78" s="24">
        <f t="shared" si="2"/>
        <v>95.352000000000018</v>
      </c>
      <c r="BH78" s="24">
        <f t="shared" si="2"/>
        <v>118.05200000000001</v>
      </c>
      <c r="BI78" s="24">
        <f t="shared" si="2"/>
        <v>103.07</v>
      </c>
      <c r="BJ78" s="24">
        <f t="shared" si="2"/>
        <v>89.806000000000012</v>
      </c>
      <c r="BK78" s="24">
        <f t="shared" si="2"/>
        <v>102.16200000000001</v>
      </c>
      <c r="BL78" s="24">
        <f t="shared" si="2"/>
        <v>103.97800000000001</v>
      </c>
    </row>
    <row r="79" spans="1:64">
      <c r="A79" s="2"/>
    </row>
    <row r="80" spans="1:64">
      <c r="A80" s="2"/>
      <c r="B80" s="21" t="s">
        <v>16</v>
      </c>
      <c r="C80" s="21">
        <f>AVERAGE(C78:BL78)</f>
        <v>67.182532258064526</v>
      </c>
    </row>
    <row r="81" spans="1:3">
      <c r="A81" s="2"/>
      <c r="B81" s="21" t="s">
        <v>61</v>
      </c>
      <c r="C81" s="36">
        <f>MEDIAN(C78:BL78)</f>
        <v>75.373000000000005</v>
      </c>
    </row>
    <row r="82" spans="1:3">
      <c r="A82" s="2"/>
      <c r="B82" s="21" t="s">
        <v>62</v>
      </c>
      <c r="C82" s="21">
        <f t="shared" ref="C82:C83" si="3">AVERAGE(C76:BL76)</f>
        <v>180.37561290322577</v>
      </c>
    </row>
    <row r="83" spans="1:3">
      <c r="A83" s="2"/>
      <c r="B83" s="21" t="s">
        <v>63</v>
      </c>
      <c r="C83" s="21">
        <f t="shared" si="3"/>
        <v>113.19308064516129</v>
      </c>
    </row>
    <row r="84" spans="1:3">
      <c r="A84" s="2"/>
    </row>
    <row r="85" spans="1:3">
      <c r="A85" s="2"/>
    </row>
    <row r="86" spans="1:3">
      <c r="A86" s="2"/>
    </row>
    <row r="87" spans="1:3">
      <c r="A87" s="2"/>
      <c r="B87" s="36"/>
      <c r="C87" s="36"/>
    </row>
    <row r="88" spans="1:3">
      <c r="A88" s="2"/>
      <c r="B88" s="37"/>
      <c r="C88" s="36"/>
    </row>
    <row r="89" spans="1:3">
      <c r="A89" s="2"/>
      <c r="B89" s="36"/>
      <c r="C89" s="36"/>
    </row>
    <row r="90" spans="1:3">
      <c r="A90" s="2"/>
      <c r="B90" s="37"/>
      <c r="C90" s="36"/>
    </row>
    <row r="91" spans="1:3">
      <c r="A91" s="2"/>
      <c r="B91" s="36"/>
      <c r="C91" s="36"/>
    </row>
    <row r="92" spans="1:3">
      <c r="A92" s="2"/>
      <c r="B92" s="37"/>
      <c r="C92" s="36"/>
    </row>
    <row r="93" spans="1:3">
      <c r="A93" s="2"/>
      <c r="B93" s="36"/>
      <c r="C93" s="36"/>
    </row>
    <row r="94" spans="1:3">
      <c r="A94" s="2"/>
      <c r="B94" s="37"/>
      <c r="C94" s="36"/>
    </row>
    <row r="95" spans="1:3">
      <c r="A95" s="2"/>
    </row>
    <row r="96" spans="1: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Y997"/>
  <sheetViews>
    <sheetView zoomScale="66" zoomScaleNormal="25" workbookViewId="0">
      <pane xSplit="2" topLeftCell="C1" activePane="topRight" state="frozen"/>
      <selection pane="topRight" activeCell="C4" sqref="C4"/>
    </sheetView>
  </sheetViews>
  <sheetFormatPr defaultColWidth="12.5546875" defaultRowHeight="15.75" customHeight="1"/>
  <cols>
    <col min="1" max="1" width="30.33203125" customWidth="1"/>
    <col min="2" max="2" width="75.5546875" customWidth="1"/>
  </cols>
  <sheetData>
    <row r="1" spans="1:64" ht="15.75" customHeight="1">
      <c r="A1" s="1" t="s">
        <v>0</v>
      </c>
      <c r="B1" s="25" t="s">
        <v>64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13.2">
      <c r="A2" s="3" t="s">
        <v>2</v>
      </c>
      <c r="B2" s="4" t="s">
        <v>3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  <c r="AI2" s="3">
        <v>33</v>
      </c>
      <c r="AJ2" s="3">
        <v>34</v>
      </c>
      <c r="AK2" s="3">
        <v>35</v>
      </c>
      <c r="AL2" s="3">
        <v>36</v>
      </c>
      <c r="AM2" s="3">
        <v>37</v>
      </c>
      <c r="AN2" s="3">
        <v>38</v>
      </c>
      <c r="AO2" s="3">
        <v>39</v>
      </c>
      <c r="AP2" s="3">
        <v>40</v>
      </c>
      <c r="AQ2" s="3">
        <v>41</v>
      </c>
      <c r="AR2" s="3">
        <v>42</v>
      </c>
      <c r="AS2" s="3">
        <v>43</v>
      </c>
      <c r="AT2" s="3">
        <v>44</v>
      </c>
      <c r="AU2" s="3">
        <v>45</v>
      </c>
      <c r="AV2" s="3">
        <v>46</v>
      </c>
      <c r="AW2" s="3">
        <v>47</v>
      </c>
      <c r="AX2" s="3">
        <v>48</v>
      </c>
      <c r="AY2" s="3">
        <v>49</v>
      </c>
      <c r="AZ2" s="3">
        <v>50</v>
      </c>
      <c r="BA2" s="3">
        <v>51</v>
      </c>
      <c r="BB2" s="3">
        <v>52</v>
      </c>
      <c r="BC2" s="3">
        <v>53</v>
      </c>
      <c r="BD2" s="3">
        <v>54</v>
      </c>
      <c r="BE2" s="3">
        <v>55</v>
      </c>
      <c r="BF2" s="3">
        <v>56</v>
      </c>
      <c r="BG2" s="3">
        <v>57</v>
      </c>
      <c r="BH2" s="3">
        <v>58</v>
      </c>
      <c r="BI2" s="3">
        <v>59</v>
      </c>
      <c r="BJ2" s="3">
        <v>60</v>
      </c>
      <c r="BK2" s="3">
        <v>61</v>
      </c>
      <c r="BL2" s="3">
        <v>62</v>
      </c>
    </row>
    <row r="3" spans="1:64" ht="13.2">
      <c r="A3" s="3"/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spans="1:64" ht="13.2">
      <c r="A4" s="3"/>
      <c r="B4" s="3" t="s">
        <v>5</v>
      </c>
      <c r="C4" s="3">
        <v>18</v>
      </c>
      <c r="D4" s="3">
        <v>21</v>
      </c>
      <c r="E4" s="3">
        <v>23</v>
      </c>
      <c r="F4" s="3">
        <v>24</v>
      </c>
      <c r="G4" s="3">
        <v>31</v>
      </c>
      <c r="H4" s="3">
        <v>35</v>
      </c>
      <c r="I4" s="3">
        <v>50</v>
      </c>
      <c r="J4" s="3">
        <v>51</v>
      </c>
      <c r="K4" s="3">
        <v>54</v>
      </c>
      <c r="L4" s="3">
        <v>57</v>
      </c>
      <c r="M4" s="3">
        <v>58</v>
      </c>
      <c r="N4" s="3">
        <v>60</v>
      </c>
      <c r="O4" s="3">
        <v>85</v>
      </c>
      <c r="P4" s="3">
        <v>53</v>
      </c>
      <c r="Q4" s="3">
        <v>41</v>
      </c>
      <c r="R4" s="3">
        <v>47</v>
      </c>
      <c r="S4" s="3">
        <v>44</v>
      </c>
      <c r="T4" s="3">
        <v>64</v>
      </c>
      <c r="U4" s="3">
        <v>41</v>
      </c>
      <c r="V4" s="3">
        <v>36</v>
      </c>
      <c r="W4" s="3">
        <v>58</v>
      </c>
      <c r="X4" s="3">
        <v>35</v>
      </c>
      <c r="Y4" s="3">
        <v>39</v>
      </c>
      <c r="Z4" s="3">
        <v>16</v>
      </c>
      <c r="AA4" s="3">
        <v>16</v>
      </c>
      <c r="AB4" s="3">
        <v>18</v>
      </c>
      <c r="AC4" s="3">
        <v>39</v>
      </c>
      <c r="AD4" s="3">
        <v>46</v>
      </c>
      <c r="AE4" s="3">
        <v>39</v>
      </c>
      <c r="AF4" s="3">
        <v>16</v>
      </c>
      <c r="AG4" s="3">
        <v>19</v>
      </c>
      <c r="AH4" s="3">
        <v>16</v>
      </c>
      <c r="AI4" s="3">
        <v>35</v>
      </c>
      <c r="AJ4" s="3">
        <v>37</v>
      </c>
      <c r="AK4" s="3">
        <v>28</v>
      </c>
      <c r="AL4" s="3">
        <v>60</v>
      </c>
      <c r="AM4" s="3">
        <v>31</v>
      </c>
      <c r="AN4" s="3">
        <v>31</v>
      </c>
      <c r="AO4" s="3">
        <v>31</v>
      </c>
      <c r="AP4" s="3">
        <v>40</v>
      </c>
      <c r="AQ4" s="3">
        <v>36</v>
      </c>
      <c r="AR4" s="3">
        <v>68</v>
      </c>
      <c r="AS4" s="3">
        <v>69</v>
      </c>
      <c r="AT4" s="3">
        <v>41</v>
      </c>
      <c r="AU4" s="3">
        <v>41</v>
      </c>
      <c r="AV4" s="3">
        <v>39</v>
      </c>
      <c r="AW4" s="3">
        <v>40</v>
      </c>
      <c r="AX4" s="3">
        <v>46</v>
      </c>
      <c r="AY4" s="3">
        <v>18</v>
      </c>
      <c r="AZ4" s="3">
        <v>20</v>
      </c>
      <c r="BA4" s="3">
        <v>39</v>
      </c>
      <c r="BB4" s="3">
        <v>31</v>
      </c>
      <c r="BC4" s="3">
        <v>81</v>
      </c>
      <c r="BD4" s="3">
        <v>61</v>
      </c>
      <c r="BE4" s="3">
        <v>25</v>
      </c>
      <c r="BF4" s="3">
        <v>73</v>
      </c>
      <c r="BG4" s="3">
        <v>28</v>
      </c>
      <c r="BH4" s="3">
        <v>55</v>
      </c>
      <c r="BI4" s="3">
        <v>64</v>
      </c>
      <c r="BJ4" s="3">
        <v>67</v>
      </c>
      <c r="BK4" s="3">
        <v>28</v>
      </c>
      <c r="BL4" s="3">
        <v>24</v>
      </c>
    </row>
    <row r="5" spans="1:64" ht="13.2">
      <c r="A5" s="3"/>
      <c r="B5" s="3" t="s">
        <v>6</v>
      </c>
      <c r="C5" s="3" t="s">
        <v>7</v>
      </c>
      <c r="D5" s="3" t="s">
        <v>8</v>
      </c>
      <c r="E5" s="3" t="s">
        <v>8</v>
      </c>
      <c r="F5" s="3" t="s">
        <v>7</v>
      </c>
      <c r="G5" s="3" t="s">
        <v>7</v>
      </c>
      <c r="H5" s="3" t="s">
        <v>8</v>
      </c>
      <c r="I5" s="3" t="s">
        <v>7</v>
      </c>
      <c r="J5" s="3" t="s">
        <v>7</v>
      </c>
      <c r="K5" s="3" t="s">
        <v>8</v>
      </c>
      <c r="L5" s="3" t="s">
        <v>7</v>
      </c>
      <c r="M5" s="3" t="s">
        <v>8</v>
      </c>
      <c r="N5" s="3" t="s">
        <v>8</v>
      </c>
      <c r="O5" s="3" t="s">
        <v>8</v>
      </c>
      <c r="P5" s="3" t="s">
        <v>7</v>
      </c>
      <c r="Q5" s="3" t="s">
        <v>8</v>
      </c>
      <c r="R5" s="3" t="s">
        <v>8</v>
      </c>
      <c r="S5" s="3" t="s">
        <v>7</v>
      </c>
      <c r="T5" s="3" t="s">
        <v>7</v>
      </c>
      <c r="U5" s="3" t="s">
        <v>8</v>
      </c>
      <c r="V5" s="3" t="s">
        <v>7</v>
      </c>
      <c r="W5" s="3" t="s">
        <v>7</v>
      </c>
      <c r="X5" s="3" t="s">
        <v>7</v>
      </c>
      <c r="Y5" s="3" t="s">
        <v>7</v>
      </c>
      <c r="Z5" s="3" t="s">
        <v>8</v>
      </c>
      <c r="AA5" s="3" t="s">
        <v>7</v>
      </c>
      <c r="AB5" s="3" t="s">
        <v>7</v>
      </c>
      <c r="AC5" s="3" t="s">
        <v>7</v>
      </c>
      <c r="AD5" s="3" t="s">
        <v>8</v>
      </c>
      <c r="AE5" s="3" t="s">
        <v>7</v>
      </c>
      <c r="AF5" s="3" t="s">
        <v>8</v>
      </c>
      <c r="AG5" s="3" t="s">
        <v>8</v>
      </c>
      <c r="AH5" s="3" t="s">
        <v>8</v>
      </c>
      <c r="AI5" s="3" t="s">
        <v>7</v>
      </c>
      <c r="AJ5" s="3" t="s">
        <v>7</v>
      </c>
      <c r="AK5" s="3" t="s">
        <v>7</v>
      </c>
      <c r="AL5" s="3" t="s">
        <v>7</v>
      </c>
      <c r="AM5" s="3" t="s">
        <v>8</v>
      </c>
      <c r="AN5" s="3" t="s">
        <v>8</v>
      </c>
      <c r="AO5" s="3" t="s">
        <v>8</v>
      </c>
      <c r="AP5" s="3" t="s">
        <v>8</v>
      </c>
      <c r="AQ5" s="3" t="s">
        <v>7</v>
      </c>
      <c r="AR5" s="3" t="s">
        <v>7</v>
      </c>
      <c r="AS5" s="3" t="s">
        <v>8</v>
      </c>
      <c r="AT5" s="3" t="s">
        <v>8</v>
      </c>
      <c r="AU5" s="3" t="s">
        <v>7</v>
      </c>
      <c r="AV5" s="3" t="s">
        <v>7</v>
      </c>
      <c r="AW5" s="3" t="s">
        <v>7</v>
      </c>
      <c r="AX5" s="3" t="s">
        <v>8</v>
      </c>
      <c r="AY5" s="3" t="s">
        <v>7</v>
      </c>
      <c r="AZ5" s="3" t="s">
        <v>7</v>
      </c>
      <c r="BA5" s="3" t="s">
        <v>8</v>
      </c>
      <c r="BB5" s="3" t="s">
        <v>7</v>
      </c>
      <c r="BC5" s="3" t="s">
        <v>7</v>
      </c>
      <c r="BD5" s="3" t="s">
        <v>7</v>
      </c>
      <c r="BE5" s="3" t="s">
        <v>8</v>
      </c>
      <c r="BF5" s="3" t="s">
        <v>7</v>
      </c>
      <c r="BG5" s="3" t="s">
        <v>7</v>
      </c>
      <c r="BH5" s="3" t="s">
        <v>7</v>
      </c>
      <c r="BI5" s="3" t="s">
        <v>7</v>
      </c>
      <c r="BJ5" s="3" t="s">
        <v>8</v>
      </c>
      <c r="BK5" s="3" t="s">
        <v>8</v>
      </c>
      <c r="BL5" s="3" t="s">
        <v>7</v>
      </c>
    </row>
    <row r="6" spans="1:64" ht="13.2">
      <c r="A6" s="3"/>
      <c r="B6" s="3" t="s">
        <v>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11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12</v>
      </c>
      <c r="Y6" s="3" t="s">
        <v>10</v>
      </c>
      <c r="Z6" s="3" t="s">
        <v>10</v>
      </c>
      <c r="AA6" s="3" t="s">
        <v>13</v>
      </c>
      <c r="AB6" s="3" t="s">
        <v>13</v>
      </c>
      <c r="AC6" s="3" t="s">
        <v>13</v>
      </c>
      <c r="AD6" s="3" t="s">
        <v>13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14</v>
      </c>
      <c r="AL6" s="3" t="s">
        <v>14</v>
      </c>
      <c r="AM6" s="3" t="s">
        <v>14</v>
      </c>
      <c r="AN6" s="3" t="s">
        <v>14</v>
      </c>
      <c r="AO6" s="3" t="s">
        <v>14</v>
      </c>
      <c r="AP6" s="3" t="s">
        <v>14</v>
      </c>
      <c r="AQ6" s="3" t="s">
        <v>10</v>
      </c>
      <c r="AR6" s="3" t="s">
        <v>10</v>
      </c>
      <c r="AS6" s="3" t="s">
        <v>10</v>
      </c>
      <c r="AT6" s="3" t="s">
        <v>10</v>
      </c>
      <c r="AU6" s="3" t="s">
        <v>10</v>
      </c>
      <c r="AV6" s="3" t="s">
        <v>10</v>
      </c>
      <c r="AW6" s="3" t="s">
        <v>10</v>
      </c>
      <c r="AX6" s="3" t="s">
        <v>10</v>
      </c>
      <c r="AY6" s="3" t="s">
        <v>10</v>
      </c>
      <c r="AZ6" s="3" t="s">
        <v>10</v>
      </c>
      <c r="BA6" s="3" t="s">
        <v>10</v>
      </c>
      <c r="BB6" s="3" t="s">
        <v>10</v>
      </c>
      <c r="BC6" s="3" t="s">
        <v>10</v>
      </c>
      <c r="BD6" s="3" t="s">
        <v>10</v>
      </c>
      <c r="BE6" s="3" t="s">
        <v>10</v>
      </c>
      <c r="BF6" s="3" t="s">
        <v>10</v>
      </c>
      <c r="BG6" s="3" t="s">
        <v>10</v>
      </c>
      <c r="BH6" s="3" t="s">
        <v>10</v>
      </c>
      <c r="BI6" s="3" t="s">
        <v>10</v>
      </c>
      <c r="BJ6" s="3" t="s">
        <v>10</v>
      </c>
      <c r="BK6" s="3" t="s">
        <v>10</v>
      </c>
      <c r="BL6" s="3" t="s">
        <v>10</v>
      </c>
    </row>
    <row r="7" spans="1:64" ht="13.2">
      <c r="A7" s="3"/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16</v>
      </c>
      <c r="H7" s="3" t="s">
        <v>16</v>
      </c>
      <c r="I7" s="3"/>
      <c r="J7" s="3" t="s">
        <v>16</v>
      </c>
      <c r="K7" s="3" t="s">
        <v>16</v>
      </c>
      <c r="L7" s="3"/>
      <c r="M7" s="3"/>
      <c r="N7" s="3" t="s">
        <v>16</v>
      </c>
      <c r="O7" s="3" t="s">
        <v>16</v>
      </c>
      <c r="P7" s="3"/>
      <c r="Q7" s="3" t="s">
        <v>18</v>
      </c>
      <c r="R7" s="3" t="s">
        <v>18</v>
      </c>
      <c r="S7" s="3" t="s">
        <v>18</v>
      </c>
      <c r="T7" s="3"/>
      <c r="U7" s="3"/>
      <c r="V7" s="3" t="s">
        <v>19</v>
      </c>
      <c r="W7" s="3" t="s">
        <v>16</v>
      </c>
      <c r="X7" s="3" t="s">
        <v>18</v>
      </c>
      <c r="Y7" s="3"/>
      <c r="Z7" s="3"/>
      <c r="AA7" s="3"/>
      <c r="AB7" s="3"/>
      <c r="AC7" s="3" t="s">
        <v>18</v>
      </c>
      <c r="AD7" s="3"/>
      <c r="AE7" s="3" t="s">
        <v>16</v>
      </c>
      <c r="AF7" s="3"/>
      <c r="AG7" s="3"/>
      <c r="AH7" s="3"/>
      <c r="AI7" s="3"/>
      <c r="AJ7" s="3"/>
      <c r="AK7" s="3"/>
      <c r="AL7" s="3" t="s">
        <v>16</v>
      </c>
      <c r="AM7" s="3" t="s">
        <v>16</v>
      </c>
      <c r="AN7" s="3" t="s">
        <v>16</v>
      </c>
      <c r="AO7" s="3" t="s">
        <v>16</v>
      </c>
      <c r="AP7" s="3" t="s">
        <v>16</v>
      </c>
      <c r="AQ7" s="3" t="s">
        <v>16</v>
      </c>
      <c r="AR7" s="3" t="s">
        <v>16</v>
      </c>
      <c r="AS7" s="3" t="s">
        <v>16</v>
      </c>
      <c r="AT7" s="3"/>
      <c r="AU7" s="3" t="s">
        <v>16</v>
      </c>
      <c r="AV7" s="3" t="s">
        <v>16</v>
      </c>
      <c r="AW7" s="3" t="s">
        <v>18</v>
      </c>
      <c r="AX7" s="3" t="s">
        <v>16</v>
      </c>
      <c r="AY7" s="3" t="s">
        <v>16</v>
      </c>
      <c r="AZ7" s="3" t="s">
        <v>16</v>
      </c>
      <c r="BA7" s="3"/>
      <c r="BB7" s="3" t="s">
        <v>16</v>
      </c>
      <c r="BC7" s="3"/>
      <c r="BD7" s="3" t="s">
        <v>20</v>
      </c>
      <c r="BE7" s="3" t="s">
        <v>16</v>
      </c>
      <c r="BF7" s="3" t="s">
        <v>20</v>
      </c>
      <c r="BG7" s="3"/>
      <c r="BH7" s="3"/>
      <c r="BI7" s="3"/>
      <c r="BJ7" s="3"/>
      <c r="BK7" s="3"/>
      <c r="BL7" s="3"/>
    </row>
    <row r="8" spans="1:64" ht="13.2">
      <c r="A8" s="5" t="s">
        <v>21</v>
      </c>
      <c r="B8" s="6" t="s">
        <v>22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</row>
    <row r="9" spans="1:64" ht="13.2">
      <c r="A9" s="5" t="s">
        <v>23</v>
      </c>
      <c r="B9" s="7" t="s">
        <v>24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</row>
    <row r="10" spans="1:64" ht="13.2">
      <c r="A10" s="5" t="s">
        <v>25</v>
      </c>
      <c r="B10" s="8" t="s">
        <v>26</v>
      </c>
      <c r="C10" s="7">
        <v>2</v>
      </c>
      <c r="D10" s="7">
        <v>2</v>
      </c>
      <c r="E10" s="7">
        <v>3</v>
      </c>
      <c r="F10" s="7">
        <v>1</v>
      </c>
      <c r="G10" s="7">
        <v>1.5</v>
      </c>
      <c r="H10" s="7">
        <v>1</v>
      </c>
      <c r="I10" s="7">
        <v>2</v>
      </c>
      <c r="J10" s="7">
        <v>2</v>
      </c>
      <c r="K10" s="7">
        <v>2</v>
      </c>
      <c r="L10" s="7">
        <v>1</v>
      </c>
      <c r="M10" s="7">
        <v>7</v>
      </c>
      <c r="N10" s="7">
        <v>1</v>
      </c>
      <c r="O10" s="7">
        <v>2</v>
      </c>
      <c r="P10" s="7">
        <v>1.5</v>
      </c>
      <c r="Q10" s="7">
        <v>1.5</v>
      </c>
      <c r="R10" s="7">
        <v>1</v>
      </c>
      <c r="S10" s="7">
        <v>2</v>
      </c>
      <c r="T10" s="7">
        <v>2</v>
      </c>
      <c r="U10" s="7">
        <v>2</v>
      </c>
      <c r="V10" s="7">
        <v>12</v>
      </c>
      <c r="W10" s="7">
        <v>2</v>
      </c>
      <c r="X10" s="7">
        <v>1.5</v>
      </c>
      <c r="Y10" s="7">
        <v>2.5</v>
      </c>
      <c r="Z10" s="7">
        <v>2</v>
      </c>
      <c r="AA10" s="7">
        <v>2.5</v>
      </c>
      <c r="AB10" s="7">
        <v>2.1</v>
      </c>
      <c r="AC10" s="7">
        <v>3</v>
      </c>
      <c r="AD10" s="7">
        <v>2.5</v>
      </c>
      <c r="AE10" s="7">
        <v>2</v>
      </c>
      <c r="AF10" s="7">
        <v>2.5</v>
      </c>
      <c r="AG10" s="7">
        <v>3</v>
      </c>
      <c r="AH10" s="7">
        <v>2</v>
      </c>
      <c r="AI10" s="7">
        <v>1</v>
      </c>
      <c r="AJ10" s="7">
        <v>1</v>
      </c>
      <c r="AK10" s="7">
        <v>2.5</v>
      </c>
      <c r="AL10" s="7">
        <v>2</v>
      </c>
      <c r="AM10" s="7">
        <v>2.5</v>
      </c>
      <c r="AN10" s="7">
        <v>3</v>
      </c>
      <c r="AO10" s="7">
        <v>2</v>
      </c>
      <c r="AP10" s="7">
        <v>3</v>
      </c>
      <c r="AQ10" s="7">
        <v>1</v>
      </c>
      <c r="AR10" s="7">
        <v>2</v>
      </c>
      <c r="AS10" s="7">
        <v>1</v>
      </c>
      <c r="AT10" s="7">
        <v>3</v>
      </c>
      <c r="AU10" s="7">
        <v>2</v>
      </c>
      <c r="AV10" s="7">
        <v>3</v>
      </c>
      <c r="AW10" s="7">
        <v>1</v>
      </c>
      <c r="AX10" s="7">
        <v>2</v>
      </c>
      <c r="AY10" s="7">
        <v>2</v>
      </c>
      <c r="AZ10" s="7">
        <v>2</v>
      </c>
      <c r="BA10" s="7">
        <v>2</v>
      </c>
      <c r="BB10" s="7">
        <v>2</v>
      </c>
      <c r="BC10" s="7"/>
      <c r="BD10" s="7">
        <v>1</v>
      </c>
      <c r="BE10" s="7">
        <v>1</v>
      </c>
      <c r="BF10" s="7">
        <v>1</v>
      </c>
      <c r="BG10" s="7">
        <v>1</v>
      </c>
      <c r="BH10" s="7">
        <v>2</v>
      </c>
      <c r="BI10" s="7">
        <v>2</v>
      </c>
      <c r="BJ10" s="7">
        <v>1</v>
      </c>
      <c r="BK10" s="7">
        <v>2</v>
      </c>
      <c r="BL10" s="7">
        <v>1</v>
      </c>
    </row>
    <row r="11" spans="1:64" ht="13.2">
      <c r="A11" s="5"/>
      <c r="B11" s="8" t="s">
        <v>27</v>
      </c>
      <c r="C11" s="7">
        <v>8</v>
      </c>
      <c r="D11" s="7">
        <v>2</v>
      </c>
      <c r="E11" s="7">
        <v>5</v>
      </c>
      <c r="F11" s="7">
        <v>1</v>
      </c>
      <c r="G11" s="7">
        <v>1.5</v>
      </c>
      <c r="H11" s="7"/>
      <c r="I11" s="7">
        <v>6</v>
      </c>
      <c r="J11" s="7">
        <v>10</v>
      </c>
      <c r="K11" s="7">
        <v>10</v>
      </c>
      <c r="L11" s="7"/>
      <c r="M11" s="7">
        <v>2</v>
      </c>
      <c r="N11" s="7"/>
      <c r="O11" s="7">
        <v>6</v>
      </c>
      <c r="P11" s="7">
        <v>7</v>
      </c>
      <c r="Q11" s="7">
        <v>5.5</v>
      </c>
      <c r="R11" s="7">
        <v>10</v>
      </c>
      <c r="S11" s="7">
        <v>6</v>
      </c>
      <c r="T11" s="7">
        <v>2</v>
      </c>
      <c r="U11" s="7">
        <v>2</v>
      </c>
      <c r="V11" s="7">
        <v>2</v>
      </c>
      <c r="W11" s="7">
        <v>7</v>
      </c>
      <c r="X11" s="7">
        <v>3</v>
      </c>
      <c r="Y11" s="7">
        <v>3</v>
      </c>
      <c r="Z11" s="7">
        <v>6</v>
      </c>
      <c r="AA11" s="7">
        <v>4</v>
      </c>
      <c r="AB11" s="7">
        <v>2.4</v>
      </c>
      <c r="AC11" s="7">
        <v>2.5</v>
      </c>
      <c r="AD11" s="7">
        <v>4</v>
      </c>
      <c r="AE11" s="7">
        <v>6</v>
      </c>
      <c r="AF11" s="7">
        <v>5</v>
      </c>
      <c r="AG11" s="7">
        <v>5</v>
      </c>
      <c r="AH11" s="7">
        <v>4</v>
      </c>
      <c r="AI11" s="7">
        <v>1</v>
      </c>
      <c r="AJ11" s="7">
        <v>3</v>
      </c>
      <c r="AK11" s="7">
        <v>8</v>
      </c>
      <c r="AL11" s="7">
        <v>6</v>
      </c>
      <c r="AM11" s="7">
        <v>6</v>
      </c>
      <c r="AN11" s="7">
        <v>7</v>
      </c>
      <c r="AO11" s="7">
        <v>7</v>
      </c>
      <c r="AP11" s="7">
        <v>4</v>
      </c>
      <c r="AQ11" s="7">
        <v>7</v>
      </c>
      <c r="AR11" s="7">
        <v>8</v>
      </c>
      <c r="AS11" s="7">
        <v>7</v>
      </c>
      <c r="AT11" s="7">
        <v>9</v>
      </c>
      <c r="AU11" s="7">
        <v>4</v>
      </c>
      <c r="AV11" s="7">
        <v>9</v>
      </c>
      <c r="AW11" s="7"/>
      <c r="AX11" s="7">
        <v>4</v>
      </c>
      <c r="AY11" s="7">
        <v>4</v>
      </c>
      <c r="AZ11" s="7">
        <v>3</v>
      </c>
      <c r="BA11" s="7">
        <v>2</v>
      </c>
      <c r="BB11" s="7">
        <v>7</v>
      </c>
      <c r="BC11" s="7"/>
      <c r="BD11" s="7">
        <v>6</v>
      </c>
      <c r="BE11" s="7">
        <v>2</v>
      </c>
      <c r="BF11" s="7">
        <v>8</v>
      </c>
      <c r="BG11" s="7">
        <v>6</v>
      </c>
      <c r="BH11" s="7">
        <v>7</v>
      </c>
      <c r="BI11" s="7">
        <v>6</v>
      </c>
      <c r="BJ11" s="7">
        <v>8</v>
      </c>
      <c r="BK11" s="7">
        <v>5</v>
      </c>
      <c r="BL11" s="7">
        <v>6</v>
      </c>
    </row>
    <row r="12" spans="1:64" ht="13.2">
      <c r="A12" s="5" t="s">
        <v>23</v>
      </c>
      <c r="B12" s="7" t="s">
        <v>28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64" ht="13.2">
      <c r="A13" s="5" t="s">
        <v>25</v>
      </c>
      <c r="B13" s="8" t="s">
        <v>26</v>
      </c>
      <c r="C13" s="7">
        <v>2</v>
      </c>
      <c r="D13" s="7">
        <v>3</v>
      </c>
      <c r="E13" s="7">
        <v>3</v>
      </c>
      <c r="F13" s="7">
        <v>3</v>
      </c>
      <c r="G13" s="7">
        <v>2</v>
      </c>
      <c r="H13" s="7">
        <v>1</v>
      </c>
      <c r="I13" s="7">
        <v>3</v>
      </c>
      <c r="J13" s="7">
        <v>3</v>
      </c>
      <c r="K13" s="7">
        <v>3</v>
      </c>
      <c r="L13" s="7">
        <v>2</v>
      </c>
      <c r="M13" s="7">
        <v>8</v>
      </c>
      <c r="N13" s="7"/>
      <c r="O13" s="7">
        <v>3</v>
      </c>
      <c r="P13" s="7">
        <v>6</v>
      </c>
      <c r="Q13" s="7">
        <v>2</v>
      </c>
      <c r="R13" s="7">
        <v>5</v>
      </c>
      <c r="S13" s="7">
        <v>2</v>
      </c>
      <c r="T13" s="7">
        <v>3</v>
      </c>
      <c r="U13" s="7">
        <v>3</v>
      </c>
      <c r="V13" s="7">
        <v>16</v>
      </c>
      <c r="W13" s="7">
        <v>5</v>
      </c>
      <c r="X13" s="7">
        <v>2</v>
      </c>
      <c r="Y13" s="7">
        <v>3</v>
      </c>
      <c r="Z13" s="7">
        <v>4</v>
      </c>
      <c r="AA13" s="7">
        <v>4</v>
      </c>
      <c r="AB13" s="7">
        <v>2.2999999999999998</v>
      </c>
      <c r="AC13" s="7">
        <v>3.3</v>
      </c>
      <c r="AD13" s="7">
        <v>4</v>
      </c>
      <c r="AE13" s="7">
        <v>3</v>
      </c>
      <c r="AF13" s="7">
        <v>3</v>
      </c>
      <c r="AG13" s="7">
        <v>5</v>
      </c>
      <c r="AH13" s="7">
        <v>4</v>
      </c>
      <c r="AI13" s="7">
        <v>2</v>
      </c>
      <c r="AJ13" s="7">
        <v>1</v>
      </c>
      <c r="AK13" s="7">
        <v>3</v>
      </c>
      <c r="AL13" s="7">
        <v>2</v>
      </c>
      <c r="AM13" s="7">
        <v>3</v>
      </c>
      <c r="AN13" s="7">
        <v>5</v>
      </c>
      <c r="AO13" s="7">
        <v>4</v>
      </c>
      <c r="AP13" s="7">
        <v>5</v>
      </c>
      <c r="AQ13" s="7">
        <v>2</v>
      </c>
      <c r="AR13" s="7">
        <v>2</v>
      </c>
      <c r="AS13" s="7">
        <v>2</v>
      </c>
      <c r="AT13" s="7">
        <v>5</v>
      </c>
      <c r="AU13" s="7">
        <v>4</v>
      </c>
      <c r="AV13" s="7">
        <v>5</v>
      </c>
      <c r="AW13" s="7">
        <v>2</v>
      </c>
      <c r="AX13" s="7">
        <v>4</v>
      </c>
      <c r="AY13" s="7">
        <v>4</v>
      </c>
      <c r="AZ13" s="7">
        <v>3</v>
      </c>
      <c r="BA13" s="7">
        <v>4</v>
      </c>
      <c r="BB13" s="7">
        <v>3</v>
      </c>
      <c r="BC13" s="7">
        <v>5</v>
      </c>
      <c r="BD13" s="7">
        <v>2</v>
      </c>
      <c r="BE13" s="7">
        <v>2</v>
      </c>
      <c r="BF13" s="7">
        <v>2</v>
      </c>
      <c r="BG13" s="7">
        <v>2</v>
      </c>
      <c r="BH13" s="7">
        <v>2</v>
      </c>
      <c r="BI13" s="7">
        <v>3</v>
      </c>
      <c r="BJ13" s="7">
        <v>2</v>
      </c>
      <c r="BK13" s="7">
        <v>2</v>
      </c>
      <c r="BL13" s="7">
        <v>2</v>
      </c>
    </row>
    <row r="14" spans="1:64" ht="13.2">
      <c r="A14" s="5"/>
      <c r="B14" s="8" t="s">
        <v>27</v>
      </c>
      <c r="C14" s="7">
        <v>11</v>
      </c>
      <c r="D14" s="7">
        <v>6</v>
      </c>
      <c r="E14" s="7">
        <v>6</v>
      </c>
      <c r="F14" s="7">
        <v>3</v>
      </c>
      <c r="G14" s="7">
        <v>2</v>
      </c>
      <c r="H14" s="7"/>
      <c r="I14" s="7">
        <v>7</v>
      </c>
      <c r="J14" s="7"/>
      <c r="K14" s="7">
        <v>12</v>
      </c>
      <c r="L14" s="7"/>
      <c r="M14" s="7">
        <v>2</v>
      </c>
      <c r="N14" s="7"/>
      <c r="O14" s="7">
        <v>7</v>
      </c>
      <c r="P14" s="7">
        <v>7</v>
      </c>
      <c r="Q14" s="7">
        <v>6</v>
      </c>
      <c r="R14" s="7">
        <v>10</v>
      </c>
      <c r="S14" s="7">
        <v>7</v>
      </c>
      <c r="T14" s="7">
        <v>3</v>
      </c>
      <c r="U14" s="7">
        <v>3</v>
      </c>
      <c r="V14" s="7">
        <v>3</v>
      </c>
      <c r="W14" s="7">
        <v>10</v>
      </c>
      <c r="X14" s="7">
        <v>8</v>
      </c>
      <c r="Y14" s="7">
        <v>5</v>
      </c>
      <c r="Z14" s="7">
        <v>6</v>
      </c>
      <c r="AA14" s="7">
        <v>4</v>
      </c>
      <c r="AB14" s="7">
        <v>2.5</v>
      </c>
      <c r="AC14" s="7">
        <v>2.7</v>
      </c>
      <c r="AD14" s="7">
        <v>5</v>
      </c>
      <c r="AE14" s="7">
        <v>7</v>
      </c>
      <c r="AF14" s="7">
        <v>5</v>
      </c>
      <c r="AG14" s="7">
        <v>6</v>
      </c>
      <c r="AH14" s="7">
        <v>6</v>
      </c>
      <c r="AI14" s="7">
        <v>2</v>
      </c>
      <c r="AJ14" s="7">
        <v>5</v>
      </c>
      <c r="AK14" s="7">
        <v>8</v>
      </c>
      <c r="AL14" s="7">
        <v>7</v>
      </c>
      <c r="AM14" s="7">
        <v>8</v>
      </c>
      <c r="AN14" s="7">
        <v>7</v>
      </c>
      <c r="AO14" s="7">
        <v>10</v>
      </c>
      <c r="AP14" s="7">
        <v>5</v>
      </c>
      <c r="AQ14" s="7">
        <v>7</v>
      </c>
      <c r="AR14" s="7">
        <v>8</v>
      </c>
      <c r="AS14" s="7">
        <v>8</v>
      </c>
      <c r="AT14" s="7">
        <v>9</v>
      </c>
      <c r="AU14" s="7">
        <v>5</v>
      </c>
      <c r="AV14" s="7">
        <v>13</v>
      </c>
      <c r="AW14" s="7"/>
      <c r="AX14" s="7">
        <v>5</v>
      </c>
      <c r="AY14" s="7">
        <v>5</v>
      </c>
      <c r="AZ14" s="7">
        <v>4</v>
      </c>
      <c r="BA14" s="7">
        <v>4</v>
      </c>
      <c r="BB14" s="7">
        <v>7</v>
      </c>
      <c r="BC14" s="7">
        <v>5</v>
      </c>
      <c r="BD14" s="7">
        <v>8</v>
      </c>
      <c r="BE14" s="7">
        <v>3</v>
      </c>
      <c r="BF14" s="7">
        <v>10</v>
      </c>
      <c r="BG14" s="7">
        <v>7</v>
      </c>
      <c r="BH14" s="7">
        <v>7</v>
      </c>
      <c r="BI14" s="7">
        <v>6</v>
      </c>
      <c r="BJ14" s="7">
        <v>9</v>
      </c>
      <c r="BK14" s="7">
        <v>6</v>
      </c>
      <c r="BL14" s="7">
        <v>6</v>
      </c>
    </row>
    <row r="15" spans="1:64" ht="13.2">
      <c r="A15" s="5" t="s">
        <v>29</v>
      </c>
      <c r="B15" s="7" t="s">
        <v>30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</row>
    <row r="16" spans="1:64" ht="13.2">
      <c r="A16" s="5"/>
      <c r="B16" s="8" t="s">
        <v>26</v>
      </c>
      <c r="C16" s="7">
        <v>9</v>
      </c>
      <c r="D16" s="7">
        <v>5</v>
      </c>
      <c r="E16" s="7">
        <v>5</v>
      </c>
      <c r="F16" s="7">
        <v>5</v>
      </c>
      <c r="G16" s="7">
        <v>9</v>
      </c>
      <c r="H16" s="7">
        <v>11</v>
      </c>
      <c r="I16" s="7"/>
      <c r="J16" s="7">
        <v>10</v>
      </c>
      <c r="K16" s="7">
        <v>10</v>
      </c>
      <c r="L16" s="7"/>
      <c r="M16" s="7"/>
      <c r="N16" s="7"/>
      <c r="O16" s="7"/>
      <c r="P16" s="7"/>
      <c r="Q16" s="7">
        <v>11</v>
      </c>
      <c r="R16" s="7">
        <v>9</v>
      </c>
      <c r="S16" s="7">
        <v>11</v>
      </c>
      <c r="T16" s="7"/>
      <c r="U16" s="7">
        <v>18</v>
      </c>
      <c r="V16" s="7"/>
      <c r="W16" s="7"/>
      <c r="X16" s="7"/>
      <c r="Y16" s="7">
        <v>11</v>
      </c>
      <c r="Z16" s="7"/>
      <c r="AA16" s="7">
        <v>2</v>
      </c>
      <c r="AB16" s="7">
        <v>4</v>
      </c>
      <c r="AC16" s="7"/>
      <c r="AD16" s="7">
        <v>11</v>
      </c>
      <c r="AE16" s="7"/>
      <c r="AF16" s="7">
        <v>9</v>
      </c>
      <c r="AG16" s="7">
        <v>9</v>
      </c>
      <c r="AH16" s="7">
        <v>9</v>
      </c>
      <c r="AI16" s="7"/>
      <c r="AJ16" s="7">
        <v>6</v>
      </c>
      <c r="AK16" s="7">
        <v>12</v>
      </c>
      <c r="AL16" s="7">
        <v>43</v>
      </c>
      <c r="AM16" s="7">
        <v>15</v>
      </c>
      <c r="AN16" s="7">
        <v>15</v>
      </c>
      <c r="AO16" s="7">
        <v>9</v>
      </c>
      <c r="AP16" s="7">
        <v>18</v>
      </c>
      <c r="AQ16" s="7">
        <v>9</v>
      </c>
      <c r="AR16" s="7"/>
      <c r="AS16" s="7"/>
      <c r="AT16" s="7">
        <v>11</v>
      </c>
      <c r="AU16" s="7">
        <v>11</v>
      </c>
      <c r="AV16" s="7">
        <v>11</v>
      </c>
      <c r="AW16" s="7">
        <v>11</v>
      </c>
      <c r="AX16" s="7">
        <v>11</v>
      </c>
      <c r="AY16" s="7">
        <v>11</v>
      </c>
      <c r="AZ16" s="7">
        <v>9</v>
      </c>
      <c r="BA16" s="7">
        <v>4</v>
      </c>
      <c r="BB16" s="7">
        <v>2</v>
      </c>
      <c r="BC16" s="7"/>
      <c r="BD16" s="7">
        <v>6</v>
      </c>
      <c r="BE16" s="7">
        <v>10</v>
      </c>
      <c r="BF16" s="7">
        <v>20</v>
      </c>
      <c r="BG16" s="7">
        <v>9</v>
      </c>
      <c r="BH16" s="7">
        <v>8</v>
      </c>
      <c r="BI16" s="7">
        <v>7</v>
      </c>
      <c r="BJ16" s="7"/>
      <c r="BK16" s="7">
        <v>10</v>
      </c>
      <c r="BL16" s="7">
        <v>8</v>
      </c>
    </row>
    <row r="17" spans="1:64" ht="13.2">
      <c r="A17" s="5"/>
      <c r="B17" s="8" t="s">
        <v>27</v>
      </c>
      <c r="C17" s="7">
        <v>9</v>
      </c>
      <c r="D17" s="7">
        <v>16</v>
      </c>
      <c r="E17" s="7">
        <v>18</v>
      </c>
      <c r="F17" s="7">
        <v>19</v>
      </c>
      <c r="G17" s="7">
        <v>9</v>
      </c>
      <c r="H17" s="7">
        <v>11</v>
      </c>
      <c r="I17" s="7">
        <v>8</v>
      </c>
      <c r="J17" s="7">
        <v>10</v>
      </c>
      <c r="K17" s="7">
        <v>10</v>
      </c>
      <c r="L17" s="7">
        <v>8</v>
      </c>
      <c r="M17" s="7">
        <v>8</v>
      </c>
      <c r="N17" s="7">
        <v>8</v>
      </c>
      <c r="O17" s="7">
        <v>7</v>
      </c>
      <c r="P17" s="7">
        <v>10</v>
      </c>
      <c r="Q17" s="7">
        <v>11</v>
      </c>
      <c r="R17" s="7">
        <v>18</v>
      </c>
      <c r="S17" s="7">
        <v>16</v>
      </c>
      <c r="T17" s="7">
        <v>22</v>
      </c>
      <c r="U17" s="7">
        <v>23</v>
      </c>
      <c r="V17" s="7">
        <v>6</v>
      </c>
      <c r="W17" s="7">
        <v>13</v>
      </c>
      <c r="X17" s="7">
        <v>16</v>
      </c>
      <c r="Y17" s="7">
        <v>15</v>
      </c>
      <c r="Z17" s="7"/>
      <c r="AA17" s="7">
        <v>9</v>
      </c>
      <c r="AB17" s="7">
        <v>5</v>
      </c>
      <c r="AC17" s="7">
        <v>15</v>
      </c>
      <c r="AD17" s="7"/>
      <c r="AE17" s="7"/>
      <c r="AF17" s="7">
        <v>9</v>
      </c>
      <c r="AG17" s="7">
        <v>11</v>
      </c>
      <c r="AH17" s="7">
        <v>9</v>
      </c>
      <c r="AI17" s="7">
        <v>11</v>
      </c>
      <c r="AJ17" s="7">
        <v>34</v>
      </c>
      <c r="AK17" s="7">
        <v>12</v>
      </c>
      <c r="AL17" s="7">
        <v>43</v>
      </c>
      <c r="AM17" s="7">
        <v>15</v>
      </c>
      <c r="AN17" s="7">
        <v>15</v>
      </c>
      <c r="AO17" s="7">
        <v>9</v>
      </c>
      <c r="AP17" s="7">
        <v>23</v>
      </c>
      <c r="AQ17" s="7">
        <v>9</v>
      </c>
      <c r="AR17" s="7">
        <v>10</v>
      </c>
      <c r="AS17" s="7"/>
      <c r="AT17" s="7">
        <v>15</v>
      </c>
      <c r="AU17" s="7">
        <v>11</v>
      </c>
      <c r="AV17" s="7">
        <v>14</v>
      </c>
      <c r="AW17" s="7">
        <v>6</v>
      </c>
      <c r="AX17" s="7">
        <v>11</v>
      </c>
      <c r="AY17" s="7">
        <v>11</v>
      </c>
      <c r="AZ17" s="7">
        <v>13</v>
      </c>
      <c r="BA17" s="7">
        <v>11</v>
      </c>
      <c r="BB17" s="7">
        <v>9</v>
      </c>
      <c r="BC17" s="7">
        <v>8</v>
      </c>
      <c r="BD17" s="7">
        <v>9</v>
      </c>
      <c r="BE17" s="7">
        <v>12</v>
      </c>
      <c r="BF17" s="7"/>
      <c r="BG17" s="7">
        <v>11</v>
      </c>
      <c r="BH17" s="7">
        <v>10</v>
      </c>
      <c r="BI17" s="7">
        <v>9</v>
      </c>
      <c r="BJ17" s="7">
        <v>10</v>
      </c>
      <c r="BK17" s="7">
        <v>14</v>
      </c>
      <c r="BL17" s="7">
        <v>10</v>
      </c>
    </row>
    <row r="18" spans="1:64" ht="13.2">
      <c r="A18" s="5" t="s">
        <v>29</v>
      </c>
      <c r="B18" s="7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</row>
    <row r="19" spans="1:64" ht="13.2">
      <c r="A19" s="5" t="s">
        <v>32</v>
      </c>
      <c r="B19" s="8" t="s">
        <v>26</v>
      </c>
      <c r="C19" s="7">
        <v>18</v>
      </c>
      <c r="D19" s="7">
        <v>21</v>
      </c>
      <c r="E19" s="7">
        <v>23</v>
      </c>
      <c r="F19" s="7">
        <v>24</v>
      </c>
      <c r="G19" s="7">
        <v>31</v>
      </c>
      <c r="H19" s="7">
        <v>35</v>
      </c>
      <c r="I19" s="7">
        <v>50</v>
      </c>
      <c r="J19" s="7">
        <v>51</v>
      </c>
      <c r="K19" s="7">
        <v>54</v>
      </c>
      <c r="L19" s="7">
        <v>57</v>
      </c>
      <c r="M19" s="7">
        <v>51</v>
      </c>
      <c r="N19" s="7">
        <v>60</v>
      </c>
      <c r="O19" s="7">
        <v>74</v>
      </c>
      <c r="P19" s="7">
        <v>53</v>
      </c>
      <c r="Q19" s="7">
        <v>20</v>
      </c>
      <c r="R19" s="7">
        <v>15</v>
      </c>
      <c r="S19" s="7">
        <v>44</v>
      </c>
      <c r="T19" s="7">
        <v>64</v>
      </c>
      <c r="U19" s="7">
        <v>18</v>
      </c>
      <c r="V19" s="7">
        <v>18</v>
      </c>
      <c r="W19" s="7"/>
      <c r="X19" s="7"/>
      <c r="Y19" s="7">
        <v>39</v>
      </c>
      <c r="Z19" s="7">
        <v>16</v>
      </c>
      <c r="AA19" s="7">
        <v>16</v>
      </c>
      <c r="AB19" s="7">
        <v>9</v>
      </c>
      <c r="AC19" s="7">
        <v>39</v>
      </c>
      <c r="AD19" s="7">
        <v>46</v>
      </c>
      <c r="AE19" s="7">
        <v>39</v>
      </c>
      <c r="AF19" s="7">
        <v>16</v>
      </c>
      <c r="AG19" s="7">
        <v>19</v>
      </c>
      <c r="AH19" s="7">
        <v>16</v>
      </c>
      <c r="AI19" s="7">
        <v>16</v>
      </c>
      <c r="AJ19" s="7">
        <v>37</v>
      </c>
      <c r="AK19" s="7">
        <v>28</v>
      </c>
      <c r="AL19" s="7">
        <v>60</v>
      </c>
      <c r="AM19" s="7">
        <v>31</v>
      </c>
      <c r="AN19" s="7">
        <v>31</v>
      </c>
      <c r="AO19" s="7">
        <v>31</v>
      </c>
      <c r="AP19" s="7">
        <v>40</v>
      </c>
      <c r="AQ19" s="7">
        <v>36</v>
      </c>
      <c r="AR19" s="7">
        <v>68</v>
      </c>
      <c r="AS19" s="7">
        <v>69</v>
      </c>
      <c r="AT19" s="7">
        <v>41</v>
      </c>
      <c r="AU19" s="7">
        <v>41</v>
      </c>
      <c r="AV19" s="7">
        <v>30</v>
      </c>
      <c r="AW19" s="7">
        <v>40</v>
      </c>
      <c r="AX19" s="7">
        <v>39</v>
      </c>
      <c r="AY19" s="7">
        <v>18</v>
      </c>
      <c r="AZ19" s="7">
        <v>20</v>
      </c>
      <c r="BA19" s="7">
        <v>19</v>
      </c>
      <c r="BB19" s="7">
        <v>31</v>
      </c>
      <c r="BC19" s="7">
        <v>60</v>
      </c>
      <c r="BD19" s="7">
        <v>61</v>
      </c>
      <c r="BE19" s="7">
        <v>25</v>
      </c>
      <c r="BF19" s="7">
        <v>73</v>
      </c>
      <c r="BG19" s="7">
        <v>28</v>
      </c>
      <c r="BH19" s="7">
        <v>55</v>
      </c>
      <c r="BI19" s="7">
        <v>64</v>
      </c>
      <c r="BJ19" s="7">
        <v>67</v>
      </c>
      <c r="BK19" s="7">
        <v>28</v>
      </c>
      <c r="BL19" s="7">
        <v>24</v>
      </c>
    </row>
    <row r="20" spans="1:64" ht="13.2">
      <c r="A20" s="5"/>
      <c r="B20" s="8" t="s">
        <v>27</v>
      </c>
      <c r="C20" s="7">
        <v>18</v>
      </c>
      <c r="D20" s="7">
        <v>21</v>
      </c>
      <c r="E20" s="7">
        <v>23</v>
      </c>
      <c r="F20" s="7">
        <v>24</v>
      </c>
      <c r="G20" s="7"/>
      <c r="H20" s="7"/>
      <c r="I20" s="7"/>
      <c r="J20" s="7">
        <v>51</v>
      </c>
      <c r="K20" s="7"/>
      <c r="L20" s="7"/>
      <c r="M20" s="7">
        <v>4</v>
      </c>
      <c r="N20" s="7"/>
      <c r="O20" s="7">
        <v>10</v>
      </c>
      <c r="P20" s="7"/>
      <c r="Q20" s="7">
        <v>20</v>
      </c>
      <c r="R20" s="7">
        <v>25</v>
      </c>
      <c r="S20" s="7">
        <v>44</v>
      </c>
      <c r="T20" s="7">
        <v>18</v>
      </c>
      <c r="U20" s="7">
        <v>40</v>
      </c>
      <c r="V20" s="7">
        <v>36</v>
      </c>
      <c r="W20" s="7"/>
      <c r="X20" s="7"/>
      <c r="Y20" s="7">
        <v>6</v>
      </c>
      <c r="Z20" s="7"/>
      <c r="AA20" s="7">
        <v>16</v>
      </c>
      <c r="AB20" s="7">
        <v>9</v>
      </c>
      <c r="AC20" s="7">
        <v>39</v>
      </c>
      <c r="AD20" s="7"/>
      <c r="AE20" s="7">
        <v>39</v>
      </c>
      <c r="AF20" s="7"/>
      <c r="AG20" s="7"/>
      <c r="AH20" s="7"/>
      <c r="AI20" s="7">
        <v>19</v>
      </c>
      <c r="AJ20" s="7"/>
      <c r="AK20" s="7">
        <v>28</v>
      </c>
      <c r="AL20" s="7"/>
      <c r="AM20" s="7"/>
      <c r="AN20" s="7"/>
      <c r="AO20" s="7">
        <v>31</v>
      </c>
      <c r="AP20" s="7">
        <v>4</v>
      </c>
      <c r="AQ20" s="7">
        <v>36</v>
      </c>
      <c r="AR20" s="7">
        <v>68</v>
      </c>
      <c r="AS20" s="7"/>
      <c r="AT20" s="7">
        <v>41</v>
      </c>
      <c r="AU20" s="7">
        <v>41</v>
      </c>
      <c r="AV20" s="7">
        <v>39</v>
      </c>
      <c r="AW20" s="7"/>
      <c r="AX20" s="7">
        <v>46</v>
      </c>
      <c r="AY20" s="7">
        <v>18</v>
      </c>
      <c r="AZ20" s="7">
        <v>20</v>
      </c>
      <c r="BA20" s="7">
        <v>20</v>
      </c>
      <c r="BB20" s="7"/>
      <c r="BC20" s="7">
        <v>21</v>
      </c>
      <c r="BD20" s="7"/>
      <c r="BE20" s="7"/>
      <c r="BF20" s="7"/>
      <c r="BG20" s="7"/>
      <c r="BH20" s="7"/>
      <c r="BI20" s="7"/>
      <c r="BJ20" s="7"/>
      <c r="BK20" s="7"/>
      <c r="BL20" s="7"/>
    </row>
    <row r="21" spans="1:64" ht="13.2">
      <c r="A21" s="5" t="s">
        <v>29</v>
      </c>
      <c r="B21" s="7" t="s">
        <v>33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64" ht="13.2">
      <c r="A22" s="5" t="s">
        <v>32</v>
      </c>
      <c r="B22" s="8" t="s">
        <v>26</v>
      </c>
      <c r="C22" s="7">
        <v>18</v>
      </c>
      <c r="D22" s="7">
        <v>21</v>
      </c>
      <c r="E22" s="7">
        <v>23</v>
      </c>
      <c r="F22" s="7">
        <v>24</v>
      </c>
      <c r="G22" s="7">
        <v>31</v>
      </c>
      <c r="H22" s="7">
        <v>35</v>
      </c>
      <c r="I22" s="7">
        <v>50</v>
      </c>
      <c r="J22" s="7">
        <v>51</v>
      </c>
      <c r="K22" s="7">
        <v>54</v>
      </c>
      <c r="L22" s="7">
        <v>57</v>
      </c>
      <c r="M22" s="7">
        <v>58</v>
      </c>
      <c r="N22" s="7">
        <v>60</v>
      </c>
      <c r="O22" s="7">
        <v>84</v>
      </c>
      <c r="P22" s="7">
        <v>53</v>
      </c>
      <c r="Q22" s="7">
        <v>40</v>
      </c>
      <c r="R22" s="7">
        <v>40</v>
      </c>
      <c r="S22" s="7">
        <v>44</v>
      </c>
      <c r="T22" s="7">
        <v>64</v>
      </c>
      <c r="U22" s="7">
        <v>40</v>
      </c>
      <c r="V22" s="7">
        <v>18</v>
      </c>
      <c r="W22" s="7">
        <v>58</v>
      </c>
      <c r="X22" s="7">
        <v>35</v>
      </c>
      <c r="Y22" s="7">
        <v>39</v>
      </c>
      <c r="Z22" s="7">
        <v>16</v>
      </c>
      <c r="AA22" s="7">
        <v>16</v>
      </c>
      <c r="AB22" s="7">
        <v>18</v>
      </c>
      <c r="AC22" s="7">
        <v>39</v>
      </c>
      <c r="AD22" s="7">
        <v>46</v>
      </c>
      <c r="AE22" s="7">
        <v>39</v>
      </c>
      <c r="AF22" s="7">
        <v>16</v>
      </c>
      <c r="AG22" s="7">
        <v>19</v>
      </c>
      <c r="AH22" s="7">
        <v>16</v>
      </c>
      <c r="AI22" s="7">
        <v>16</v>
      </c>
      <c r="AJ22" s="7">
        <v>37</v>
      </c>
      <c r="AK22" s="7">
        <v>28</v>
      </c>
      <c r="AL22" s="7">
        <v>60</v>
      </c>
      <c r="AM22" s="7">
        <v>31</v>
      </c>
      <c r="AN22" s="7">
        <v>31</v>
      </c>
      <c r="AO22" s="7">
        <v>31</v>
      </c>
      <c r="AP22" s="7">
        <v>40</v>
      </c>
      <c r="AQ22" s="7">
        <v>36</v>
      </c>
      <c r="AR22" s="7">
        <v>68</v>
      </c>
      <c r="AS22" s="7">
        <v>69</v>
      </c>
      <c r="AT22" s="7">
        <v>41</v>
      </c>
      <c r="AU22" s="7">
        <v>41</v>
      </c>
      <c r="AV22" s="7">
        <v>39</v>
      </c>
      <c r="AW22" s="7"/>
      <c r="AX22" s="7">
        <v>46</v>
      </c>
      <c r="AY22" s="7">
        <v>18</v>
      </c>
      <c r="AZ22" s="7">
        <v>20</v>
      </c>
      <c r="BA22" s="7">
        <v>39</v>
      </c>
      <c r="BB22" s="7">
        <v>31</v>
      </c>
      <c r="BC22" s="7">
        <v>81</v>
      </c>
      <c r="BD22" s="7">
        <v>61</v>
      </c>
      <c r="BE22" s="7">
        <v>25</v>
      </c>
      <c r="BF22" s="7"/>
      <c r="BG22" s="7">
        <v>28</v>
      </c>
      <c r="BH22" s="7">
        <v>55</v>
      </c>
      <c r="BI22" s="7">
        <v>64</v>
      </c>
      <c r="BJ22" s="7">
        <v>67</v>
      </c>
      <c r="BK22" s="7">
        <v>28</v>
      </c>
      <c r="BL22" s="7">
        <v>24</v>
      </c>
    </row>
    <row r="23" spans="1:64" ht="13.2">
      <c r="A23" s="5"/>
      <c r="B23" s="8" t="s">
        <v>27</v>
      </c>
      <c r="C23" s="7">
        <v>18</v>
      </c>
      <c r="D23" s="7">
        <v>21</v>
      </c>
      <c r="E23" s="7">
        <v>23</v>
      </c>
      <c r="F23" s="7">
        <v>24</v>
      </c>
      <c r="G23" s="7"/>
      <c r="H23" s="7"/>
      <c r="I23" s="7"/>
      <c r="J23" s="7"/>
      <c r="K23" s="7"/>
      <c r="L23" s="7"/>
      <c r="M23" s="7"/>
      <c r="N23" s="7"/>
      <c r="O23" s="7"/>
      <c r="P23" s="7">
        <v>53</v>
      </c>
      <c r="Q23" s="7">
        <v>20</v>
      </c>
      <c r="R23" s="7">
        <v>40</v>
      </c>
      <c r="S23" s="7">
        <v>44</v>
      </c>
      <c r="T23" s="7">
        <v>18</v>
      </c>
      <c r="U23" s="7">
        <v>40</v>
      </c>
      <c r="V23" s="7">
        <v>36</v>
      </c>
      <c r="W23" s="7"/>
      <c r="X23" s="7"/>
      <c r="Y23" s="7"/>
      <c r="Z23" s="7"/>
      <c r="AA23" s="7">
        <v>16</v>
      </c>
      <c r="AB23" s="7">
        <v>18</v>
      </c>
      <c r="AC23" s="7">
        <v>39</v>
      </c>
      <c r="AD23" s="7"/>
      <c r="AE23" s="7"/>
      <c r="AF23" s="7"/>
      <c r="AG23" s="7"/>
      <c r="AH23" s="7"/>
      <c r="AI23" s="7">
        <v>19</v>
      </c>
      <c r="AJ23" s="7"/>
      <c r="AK23" s="7"/>
      <c r="AL23" s="7"/>
      <c r="AM23" s="7"/>
      <c r="AN23" s="7"/>
      <c r="AO23" s="7">
        <v>31</v>
      </c>
      <c r="AP23" s="7"/>
      <c r="AQ23" s="7">
        <v>36</v>
      </c>
      <c r="AR23" s="7">
        <v>68</v>
      </c>
      <c r="AS23" s="7"/>
      <c r="AT23" s="7"/>
      <c r="AU23" s="7">
        <v>41</v>
      </c>
      <c r="AV23" s="7">
        <v>26</v>
      </c>
      <c r="AW23" s="7"/>
      <c r="AX23" s="7">
        <v>46</v>
      </c>
      <c r="AY23" s="7">
        <v>18</v>
      </c>
      <c r="AZ23" s="7">
        <v>20</v>
      </c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</row>
    <row r="24" spans="1:64" ht="13.2">
      <c r="A24" s="5" t="s">
        <v>29</v>
      </c>
      <c r="B24" s="7" t="s">
        <v>34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</row>
    <row r="25" spans="1:64" ht="13.2">
      <c r="A25" s="5" t="s">
        <v>32</v>
      </c>
      <c r="B25" s="8" t="s">
        <v>26</v>
      </c>
      <c r="C25" s="7"/>
      <c r="D25" s="7">
        <v>12</v>
      </c>
      <c r="E25" s="7">
        <v>12</v>
      </c>
      <c r="F25" s="7">
        <v>12</v>
      </c>
      <c r="G25" s="7"/>
      <c r="H25" s="7">
        <v>33</v>
      </c>
      <c r="I25" s="7">
        <v>25</v>
      </c>
      <c r="J25" s="7"/>
      <c r="K25" s="7">
        <v>20</v>
      </c>
      <c r="L25" s="7">
        <v>57</v>
      </c>
      <c r="M25" s="7">
        <v>19</v>
      </c>
      <c r="N25" s="7">
        <v>60</v>
      </c>
      <c r="O25" s="7"/>
      <c r="P25" s="7">
        <v>30</v>
      </c>
      <c r="Q25" s="7"/>
      <c r="R25" s="7">
        <v>10</v>
      </c>
      <c r="S25" s="7"/>
      <c r="T25" s="7">
        <v>35</v>
      </c>
      <c r="U25" s="7">
        <v>18</v>
      </c>
      <c r="V25" s="7">
        <v>18</v>
      </c>
      <c r="W25" s="7"/>
      <c r="X25" s="7"/>
      <c r="Y25" s="7">
        <v>9</v>
      </c>
      <c r="Z25" s="7"/>
      <c r="AA25" s="7">
        <v>10</v>
      </c>
      <c r="AB25" s="7">
        <v>5</v>
      </c>
      <c r="AC25" s="7"/>
      <c r="AD25" s="7"/>
      <c r="AE25" s="7">
        <v>12</v>
      </c>
      <c r="AF25" s="7"/>
      <c r="AG25" s="7">
        <v>19</v>
      </c>
      <c r="AH25" s="7"/>
      <c r="AI25" s="7">
        <v>16</v>
      </c>
      <c r="AJ25" s="7">
        <v>37</v>
      </c>
      <c r="AK25" s="7">
        <v>5</v>
      </c>
      <c r="AL25" s="7"/>
      <c r="AM25" s="7"/>
      <c r="AN25" s="7"/>
      <c r="AO25" s="7">
        <v>20</v>
      </c>
      <c r="AP25" s="7">
        <v>10</v>
      </c>
      <c r="AQ25" s="7"/>
      <c r="AR25" s="7">
        <v>68</v>
      </c>
      <c r="AS25" s="7">
        <v>69</v>
      </c>
      <c r="AT25" s="7">
        <v>20</v>
      </c>
      <c r="AU25" s="7">
        <v>20</v>
      </c>
      <c r="AV25" s="7"/>
      <c r="AW25" s="7"/>
      <c r="AX25" s="7">
        <v>30</v>
      </c>
      <c r="AY25" s="7"/>
      <c r="AZ25" s="7"/>
      <c r="BA25" s="7">
        <v>3</v>
      </c>
      <c r="BB25" s="7">
        <v>20</v>
      </c>
      <c r="BC25" s="7"/>
      <c r="BD25" s="7">
        <v>61</v>
      </c>
      <c r="BE25" s="7"/>
      <c r="BF25" s="7">
        <v>73</v>
      </c>
      <c r="BG25" s="7">
        <v>28</v>
      </c>
      <c r="BH25" s="7">
        <v>55</v>
      </c>
      <c r="BI25" s="7">
        <v>64</v>
      </c>
      <c r="BJ25" s="7">
        <v>67</v>
      </c>
      <c r="BK25" s="7">
        <v>28</v>
      </c>
      <c r="BL25" s="7">
        <v>24</v>
      </c>
    </row>
    <row r="26" spans="1:64" ht="13.2">
      <c r="A26" s="8"/>
      <c r="B26" s="8" t="s">
        <v>27</v>
      </c>
      <c r="C26" s="7"/>
      <c r="D26" s="7">
        <v>16</v>
      </c>
      <c r="E26" s="7">
        <v>18</v>
      </c>
      <c r="F26" s="7">
        <v>19</v>
      </c>
      <c r="G26" s="7">
        <v>7</v>
      </c>
      <c r="H26" s="7">
        <v>2</v>
      </c>
      <c r="I26" s="7"/>
      <c r="J26" s="7"/>
      <c r="K26" s="7">
        <v>30</v>
      </c>
      <c r="L26" s="7"/>
      <c r="M26" s="7">
        <v>11</v>
      </c>
      <c r="N26" s="7"/>
      <c r="O26" s="7">
        <v>15</v>
      </c>
      <c r="P26" s="7">
        <v>30</v>
      </c>
      <c r="Q26" s="7">
        <v>20</v>
      </c>
      <c r="R26" s="7">
        <v>20</v>
      </c>
      <c r="S26" s="7">
        <v>23</v>
      </c>
      <c r="T26" s="7">
        <v>35</v>
      </c>
      <c r="U26" s="7">
        <v>40</v>
      </c>
      <c r="V26" s="7">
        <v>36</v>
      </c>
      <c r="W26" s="7">
        <v>39</v>
      </c>
      <c r="X26" s="7">
        <v>10</v>
      </c>
      <c r="Y26" s="7">
        <v>4</v>
      </c>
      <c r="Z26" s="7"/>
      <c r="AA26" s="7">
        <v>13</v>
      </c>
      <c r="AB26" s="7">
        <v>11</v>
      </c>
      <c r="AC26" s="7">
        <v>39</v>
      </c>
      <c r="AD26" s="7"/>
      <c r="AE26" s="7"/>
      <c r="AF26" s="7"/>
      <c r="AG26" s="7"/>
      <c r="AH26" s="7"/>
      <c r="AI26" s="7">
        <v>19</v>
      </c>
      <c r="AJ26" s="7">
        <v>37</v>
      </c>
      <c r="AK26" s="7">
        <v>3</v>
      </c>
      <c r="AL26" s="7"/>
      <c r="AM26" s="7"/>
      <c r="AN26" s="7">
        <v>19</v>
      </c>
      <c r="AO26" s="7">
        <v>11</v>
      </c>
      <c r="AP26" s="7">
        <v>12</v>
      </c>
      <c r="AQ26" s="7"/>
      <c r="AR26" s="7">
        <v>68</v>
      </c>
      <c r="AS26" s="7"/>
      <c r="AT26" s="7"/>
      <c r="AU26" s="7">
        <v>20</v>
      </c>
      <c r="AV26" s="7"/>
      <c r="AW26" s="7"/>
      <c r="AX26" s="7">
        <v>25</v>
      </c>
      <c r="AY26" s="7"/>
      <c r="AZ26" s="7"/>
      <c r="BA26" s="7">
        <v>20</v>
      </c>
      <c r="BB26" s="7">
        <v>11</v>
      </c>
      <c r="BC26" s="7">
        <v>18</v>
      </c>
      <c r="BD26" s="7"/>
      <c r="BE26" s="7">
        <v>5</v>
      </c>
      <c r="BF26" s="7"/>
      <c r="BG26" s="7">
        <v>28</v>
      </c>
      <c r="BH26" s="7"/>
      <c r="BI26" s="7"/>
      <c r="BJ26" s="7"/>
      <c r="BK26" s="7"/>
      <c r="BL26" s="7"/>
    </row>
    <row r="27" spans="1:64" ht="13.2">
      <c r="A27" s="9" t="s">
        <v>35</v>
      </c>
      <c r="B27" s="10" t="s">
        <v>36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64" ht="13.2">
      <c r="A28" s="11"/>
      <c r="B28" s="11" t="s">
        <v>37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1:64" ht="13.2">
      <c r="A29" s="12"/>
      <c r="B29" s="12" t="s">
        <v>26</v>
      </c>
      <c r="C29" s="11">
        <v>70</v>
      </c>
      <c r="D29" s="11">
        <v>50</v>
      </c>
      <c r="E29" s="11">
        <v>50</v>
      </c>
      <c r="F29" s="11">
        <v>70</v>
      </c>
      <c r="G29" s="11">
        <v>100</v>
      </c>
      <c r="H29" s="11">
        <v>50</v>
      </c>
      <c r="I29" s="11">
        <v>90</v>
      </c>
      <c r="J29" s="11">
        <v>90</v>
      </c>
      <c r="K29" s="11">
        <v>90</v>
      </c>
      <c r="L29" s="11">
        <v>50</v>
      </c>
      <c r="M29" s="11">
        <v>90</v>
      </c>
      <c r="N29" s="11">
        <v>50</v>
      </c>
      <c r="O29" s="11">
        <v>100</v>
      </c>
      <c r="P29" s="11">
        <v>80</v>
      </c>
      <c r="Q29" s="11">
        <v>50</v>
      </c>
      <c r="R29" s="11">
        <v>40</v>
      </c>
      <c r="S29" s="11">
        <v>60</v>
      </c>
      <c r="T29" s="11">
        <v>80</v>
      </c>
      <c r="U29" s="11">
        <v>50</v>
      </c>
      <c r="V29" s="11">
        <v>30</v>
      </c>
      <c r="W29" s="11">
        <v>70</v>
      </c>
      <c r="X29" s="11">
        <v>80</v>
      </c>
      <c r="Y29" s="11">
        <v>45</v>
      </c>
      <c r="Z29" s="11">
        <v>100</v>
      </c>
      <c r="AA29" s="11">
        <v>70</v>
      </c>
      <c r="AB29" s="11">
        <v>90</v>
      </c>
      <c r="AC29" s="11">
        <v>90</v>
      </c>
      <c r="AD29" s="11">
        <v>70</v>
      </c>
      <c r="AE29" s="11">
        <v>100</v>
      </c>
      <c r="AF29" s="11">
        <v>100</v>
      </c>
      <c r="AG29" s="11">
        <v>100</v>
      </c>
      <c r="AH29" s="11">
        <v>100</v>
      </c>
      <c r="AI29" s="11">
        <v>30</v>
      </c>
      <c r="AJ29" s="11">
        <v>60</v>
      </c>
      <c r="AK29" s="11">
        <v>100</v>
      </c>
      <c r="AL29" s="11">
        <v>75</v>
      </c>
      <c r="AM29" s="11">
        <v>75</v>
      </c>
      <c r="AN29" s="11">
        <v>100</v>
      </c>
      <c r="AO29" s="11">
        <v>80</v>
      </c>
      <c r="AP29" s="11">
        <v>75</v>
      </c>
      <c r="AQ29" s="11">
        <v>100</v>
      </c>
      <c r="AR29" s="11">
        <v>100</v>
      </c>
      <c r="AS29" s="11">
        <v>100</v>
      </c>
      <c r="AT29" s="11">
        <v>80</v>
      </c>
      <c r="AU29" s="11">
        <v>60</v>
      </c>
      <c r="AV29" s="11">
        <v>85</v>
      </c>
      <c r="AW29" s="11">
        <v>80</v>
      </c>
      <c r="AX29" s="11">
        <v>80</v>
      </c>
      <c r="AY29" s="11">
        <v>70</v>
      </c>
      <c r="AZ29" s="11">
        <v>60</v>
      </c>
      <c r="BA29" s="11">
        <v>100</v>
      </c>
      <c r="BB29" s="11">
        <v>60</v>
      </c>
      <c r="BC29" s="11">
        <v>60</v>
      </c>
      <c r="BD29" s="11">
        <v>80</v>
      </c>
      <c r="BE29" s="11">
        <v>50</v>
      </c>
      <c r="BF29" s="11">
        <v>100</v>
      </c>
      <c r="BG29" s="11">
        <v>70</v>
      </c>
      <c r="BH29" s="11">
        <v>100</v>
      </c>
      <c r="BI29" s="11">
        <v>100</v>
      </c>
      <c r="BJ29" s="11">
        <v>100</v>
      </c>
      <c r="BK29" s="11">
        <v>100</v>
      </c>
      <c r="BL29" s="11">
        <v>100</v>
      </c>
    </row>
    <row r="30" spans="1:64" ht="13.2">
      <c r="A30" s="12"/>
      <c r="B30" s="12" t="s">
        <v>27</v>
      </c>
      <c r="C30" s="11">
        <v>30</v>
      </c>
      <c r="D30" s="11">
        <v>45</v>
      </c>
      <c r="E30" s="11">
        <v>45</v>
      </c>
      <c r="F30" s="11">
        <v>30</v>
      </c>
      <c r="G30" s="11"/>
      <c r="H30" s="11">
        <v>50</v>
      </c>
      <c r="I30" s="11">
        <v>10</v>
      </c>
      <c r="J30" s="11">
        <v>10</v>
      </c>
      <c r="K30" s="11">
        <v>10</v>
      </c>
      <c r="L30" s="11">
        <v>50</v>
      </c>
      <c r="M30" s="11">
        <v>10</v>
      </c>
      <c r="N30" s="11">
        <v>50</v>
      </c>
      <c r="O30" s="11"/>
      <c r="P30" s="11">
        <v>20</v>
      </c>
      <c r="Q30" s="11">
        <v>50</v>
      </c>
      <c r="R30" s="11">
        <v>50</v>
      </c>
      <c r="S30" s="11">
        <v>40</v>
      </c>
      <c r="T30" s="11">
        <v>20</v>
      </c>
      <c r="U30" s="11">
        <v>50</v>
      </c>
      <c r="V30" s="11">
        <v>70</v>
      </c>
      <c r="W30" s="11">
        <v>30</v>
      </c>
      <c r="X30" s="11">
        <v>20</v>
      </c>
      <c r="Y30" s="11">
        <v>45</v>
      </c>
      <c r="Z30" s="11"/>
      <c r="AA30" s="11">
        <v>25</v>
      </c>
      <c r="AB30" s="11">
        <v>10</v>
      </c>
      <c r="AC30" s="11">
        <v>10</v>
      </c>
      <c r="AD30" s="11">
        <v>30</v>
      </c>
      <c r="AE30" s="11"/>
      <c r="AF30" s="11"/>
      <c r="AG30" s="11"/>
      <c r="AH30" s="11"/>
      <c r="AI30" s="11">
        <v>70</v>
      </c>
      <c r="AJ30" s="11">
        <v>40</v>
      </c>
      <c r="AK30" s="11"/>
      <c r="AL30" s="11">
        <v>25</v>
      </c>
      <c r="AM30" s="11">
        <v>25</v>
      </c>
      <c r="AN30" s="11"/>
      <c r="AO30" s="11">
        <v>20</v>
      </c>
      <c r="AP30" s="11">
        <v>25</v>
      </c>
      <c r="AQ30" s="11"/>
      <c r="AR30" s="11"/>
      <c r="AS30" s="11"/>
      <c r="AT30" s="11">
        <v>20</v>
      </c>
      <c r="AU30" s="11">
        <v>40</v>
      </c>
      <c r="AV30" s="11">
        <v>10</v>
      </c>
      <c r="AW30" s="11">
        <v>20</v>
      </c>
      <c r="AX30" s="11">
        <v>10</v>
      </c>
      <c r="AY30" s="11">
        <v>30</v>
      </c>
      <c r="AZ30" s="11">
        <v>40</v>
      </c>
      <c r="BA30" s="11"/>
      <c r="BB30" s="11">
        <v>40</v>
      </c>
      <c r="BC30" s="11">
        <v>40</v>
      </c>
      <c r="BD30" s="11">
        <v>20</v>
      </c>
      <c r="BE30" s="11">
        <v>50</v>
      </c>
      <c r="BF30" s="11"/>
      <c r="BG30" s="11">
        <v>30</v>
      </c>
      <c r="BH30" s="11"/>
      <c r="BI30" s="11"/>
      <c r="BJ30" s="11"/>
      <c r="BK30" s="11"/>
      <c r="BL30" s="11"/>
    </row>
    <row r="31" spans="1:64" ht="13.2">
      <c r="A31" s="12"/>
      <c r="B31" s="12" t="s">
        <v>38</v>
      </c>
      <c r="C31" s="11"/>
      <c r="D31" s="11">
        <v>5</v>
      </c>
      <c r="E31" s="11">
        <v>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>
        <v>10</v>
      </c>
      <c r="S31" s="11"/>
      <c r="T31" s="11"/>
      <c r="U31" s="11"/>
      <c r="V31" s="11"/>
      <c r="W31" s="11"/>
      <c r="X31" s="11"/>
      <c r="Y31" s="11">
        <v>10</v>
      </c>
      <c r="Z31" s="11"/>
      <c r="AA31" s="11">
        <v>5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>
        <v>5</v>
      </c>
      <c r="AW31" s="11"/>
      <c r="AX31" s="11">
        <v>10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1:64" ht="13.2">
      <c r="A32" s="11"/>
      <c r="B32" s="11" t="s">
        <v>39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 ht="13.2">
      <c r="A33" s="12"/>
      <c r="B33" s="12" t="s">
        <v>26</v>
      </c>
      <c r="C33" s="11">
        <v>90</v>
      </c>
      <c r="D33" s="11">
        <v>65</v>
      </c>
      <c r="E33" s="11">
        <v>65</v>
      </c>
      <c r="F33" s="11">
        <v>65</v>
      </c>
      <c r="G33" s="11">
        <v>100</v>
      </c>
      <c r="H33" s="11">
        <v>100</v>
      </c>
      <c r="I33" s="11">
        <v>95</v>
      </c>
      <c r="J33" s="11">
        <v>100</v>
      </c>
      <c r="K33" s="11">
        <v>100</v>
      </c>
      <c r="L33" s="11">
        <v>50</v>
      </c>
      <c r="M33" s="11">
        <v>95</v>
      </c>
      <c r="N33" s="11">
        <v>80</v>
      </c>
      <c r="O33" s="11">
        <v>98</v>
      </c>
      <c r="P33" s="11">
        <v>70</v>
      </c>
      <c r="Q33" s="11">
        <v>40</v>
      </c>
      <c r="R33" s="11">
        <v>100</v>
      </c>
      <c r="S33" s="11">
        <v>90</v>
      </c>
      <c r="T33" s="11">
        <v>80</v>
      </c>
      <c r="U33" s="11">
        <v>50</v>
      </c>
      <c r="V33" s="11">
        <v>20</v>
      </c>
      <c r="W33" s="11"/>
      <c r="X33" s="11">
        <v>50</v>
      </c>
      <c r="Y33" s="11">
        <v>50</v>
      </c>
      <c r="Z33" s="11">
        <v>100</v>
      </c>
      <c r="AA33" s="11">
        <v>8</v>
      </c>
      <c r="AB33" s="11">
        <v>97</v>
      </c>
      <c r="AC33" s="11">
        <v>97</v>
      </c>
      <c r="AD33" s="11">
        <v>90</v>
      </c>
      <c r="AE33" s="11">
        <v>75</v>
      </c>
      <c r="AF33" s="11">
        <v>50</v>
      </c>
      <c r="AG33" s="11">
        <v>100</v>
      </c>
      <c r="AH33" s="11">
        <v>100</v>
      </c>
      <c r="AI33" s="11">
        <v>50</v>
      </c>
      <c r="AJ33" s="11">
        <v>90</v>
      </c>
      <c r="AK33" s="11"/>
      <c r="AL33" s="11">
        <v>90</v>
      </c>
      <c r="AM33" s="11">
        <v>60</v>
      </c>
      <c r="AN33" s="11">
        <v>100</v>
      </c>
      <c r="AO33" s="11">
        <v>95</v>
      </c>
      <c r="AP33" s="11">
        <v>90</v>
      </c>
      <c r="AQ33" s="11">
        <v>100</v>
      </c>
      <c r="AR33" s="11">
        <v>100</v>
      </c>
      <c r="AS33" s="11">
        <v>100</v>
      </c>
      <c r="AT33" s="11">
        <v>90</v>
      </c>
      <c r="AU33" s="11">
        <v>70</v>
      </c>
      <c r="AV33" s="11">
        <v>80</v>
      </c>
      <c r="AW33" s="11">
        <v>80</v>
      </c>
      <c r="AX33" s="11">
        <v>90</v>
      </c>
      <c r="AY33" s="11">
        <v>80</v>
      </c>
      <c r="AZ33" s="11">
        <v>50</v>
      </c>
      <c r="BA33" s="11">
        <v>70</v>
      </c>
      <c r="BB33" s="11">
        <v>80</v>
      </c>
      <c r="BC33" s="11">
        <v>60</v>
      </c>
      <c r="BD33" s="11">
        <v>100</v>
      </c>
      <c r="BE33" s="11">
        <v>100</v>
      </c>
      <c r="BF33" s="11">
        <v>100</v>
      </c>
      <c r="BG33" s="11">
        <v>80</v>
      </c>
      <c r="BH33" s="11">
        <v>100</v>
      </c>
      <c r="BI33" s="11">
        <v>100</v>
      </c>
      <c r="BJ33" s="11">
        <v>100</v>
      </c>
      <c r="BK33" s="11">
        <v>100</v>
      </c>
      <c r="BL33" s="11">
        <v>100</v>
      </c>
    </row>
    <row r="34" spans="1:64" ht="13.2">
      <c r="A34" s="12"/>
      <c r="B34" s="12" t="s">
        <v>27</v>
      </c>
      <c r="C34" s="11">
        <v>10</v>
      </c>
      <c r="D34" s="11">
        <v>30</v>
      </c>
      <c r="E34" s="11">
        <v>30</v>
      </c>
      <c r="F34" s="11">
        <v>30</v>
      </c>
      <c r="G34" s="11"/>
      <c r="H34" s="11"/>
      <c r="I34" s="11">
        <v>5</v>
      </c>
      <c r="J34" s="11"/>
      <c r="K34" s="11"/>
      <c r="L34" s="11">
        <v>50</v>
      </c>
      <c r="M34" s="11">
        <v>5</v>
      </c>
      <c r="N34" s="11">
        <v>20</v>
      </c>
      <c r="O34" s="11">
        <v>2</v>
      </c>
      <c r="P34" s="11">
        <v>30</v>
      </c>
      <c r="Q34" s="11">
        <v>60</v>
      </c>
      <c r="R34" s="11"/>
      <c r="S34" s="11">
        <v>10</v>
      </c>
      <c r="T34" s="11">
        <v>20</v>
      </c>
      <c r="U34" s="11">
        <v>50</v>
      </c>
      <c r="V34" s="11">
        <v>80</v>
      </c>
      <c r="W34" s="11"/>
      <c r="X34" s="11">
        <v>50</v>
      </c>
      <c r="Y34" s="11">
        <v>50</v>
      </c>
      <c r="Z34" s="11"/>
      <c r="AA34" s="11">
        <v>10</v>
      </c>
      <c r="AB34" s="11">
        <v>3</v>
      </c>
      <c r="AC34" s="11">
        <v>3</v>
      </c>
      <c r="AD34" s="11">
        <v>10</v>
      </c>
      <c r="AE34" s="11">
        <v>25</v>
      </c>
      <c r="AF34" s="11">
        <v>50</v>
      </c>
      <c r="AG34" s="11"/>
      <c r="AH34" s="11"/>
      <c r="AI34" s="11">
        <v>50</v>
      </c>
      <c r="AJ34" s="11">
        <v>10</v>
      </c>
      <c r="AK34" s="11"/>
      <c r="AL34" s="11">
        <v>10</v>
      </c>
      <c r="AM34" s="11">
        <v>40</v>
      </c>
      <c r="AN34" s="11"/>
      <c r="AO34" s="11">
        <v>5</v>
      </c>
      <c r="AP34" s="11">
        <v>10</v>
      </c>
      <c r="AQ34" s="11"/>
      <c r="AR34" s="11"/>
      <c r="AS34" s="11"/>
      <c r="AT34" s="11">
        <v>10</v>
      </c>
      <c r="AU34" s="11">
        <v>30</v>
      </c>
      <c r="AV34" s="11">
        <v>20</v>
      </c>
      <c r="AW34" s="11">
        <v>20</v>
      </c>
      <c r="AX34" s="11">
        <v>5</v>
      </c>
      <c r="AY34" s="11">
        <v>20</v>
      </c>
      <c r="AZ34" s="11">
        <v>50</v>
      </c>
      <c r="BA34" s="11">
        <v>30</v>
      </c>
      <c r="BB34" s="11">
        <v>20</v>
      </c>
      <c r="BC34" s="11">
        <v>40</v>
      </c>
      <c r="BD34" s="11"/>
      <c r="BE34" s="11"/>
      <c r="BF34" s="11"/>
      <c r="BG34" s="11">
        <v>20</v>
      </c>
      <c r="BH34" s="11"/>
      <c r="BI34" s="11"/>
      <c r="BJ34" s="11"/>
      <c r="BK34" s="11"/>
      <c r="BL34" s="11"/>
    </row>
    <row r="35" spans="1:64" ht="13.2">
      <c r="A35" s="12"/>
      <c r="B35" s="12" t="s">
        <v>38</v>
      </c>
      <c r="C35" s="11"/>
      <c r="D35" s="11">
        <v>5</v>
      </c>
      <c r="E35" s="11">
        <v>5</v>
      </c>
      <c r="F35" s="11">
        <v>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>
        <v>1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>
        <v>5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 ht="13.2">
      <c r="A36" s="11"/>
      <c r="B36" s="11" t="s">
        <v>40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 ht="13.2">
      <c r="A37" s="12"/>
      <c r="B37" s="12" t="s">
        <v>26</v>
      </c>
      <c r="C37" s="11"/>
      <c r="D37" s="11">
        <v>50</v>
      </c>
      <c r="E37" s="11">
        <v>10</v>
      </c>
      <c r="F37" s="11"/>
      <c r="G37" s="11"/>
      <c r="H37" s="11"/>
      <c r="I37" s="11">
        <v>90</v>
      </c>
      <c r="J37" s="11">
        <v>60</v>
      </c>
      <c r="K37" s="11">
        <v>20</v>
      </c>
      <c r="L37" s="11">
        <v>50</v>
      </c>
      <c r="M37" s="11">
        <v>50</v>
      </c>
      <c r="N37" s="11">
        <v>50</v>
      </c>
      <c r="O37" s="11">
        <v>10</v>
      </c>
      <c r="P37" s="11">
        <v>60</v>
      </c>
      <c r="Q37" s="11"/>
      <c r="R37" s="11">
        <v>30</v>
      </c>
      <c r="S37" s="11"/>
      <c r="T37" s="11">
        <v>30</v>
      </c>
      <c r="U37" s="11"/>
      <c r="V37" s="11"/>
      <c r="W37" s="11">
        <v>20</v>
      </c>
      <c r="X37" s="11">
        <v>20</v>
      </c>
      <c r="Y37" s="11">
        <v>10</v>
      </c>
      <c r="Z37" s="11"/>
      <c r="AA37" s="11">
        <v>60</v>
      </c>
      <c r="AB37" s="11"/>
      <c r="AC37" s="11"/>
      <c r="AD37" s="11">
        <v>95</v>
      </c>
      <c r="AE37" s="11">
        <v>100</v>
      </c>
      <c r="AF37" s="11"/>
      <c r="AG37" s="11">
        <v>100</v>
      </c>
      <c r="AH37" s="11"/>
      <c r="AI37" s="11">
        <v>50</v>
      </c>
      <c r="AJ37" s="11">
        <v>10</v>
      </c>
      <c r="AK37" s="11">
        <v>50</v>
      </c>
      <c r="AL37" s="11">
        <v>80</v>
      </c>
      <c r="AM37" s="11">
        <v>10</v>
      </c>
      <c r="AN37" s="11">
        <v>30</v>
      </c>
      <c r="AO37" s="11">
        <v>30</v>
      </c>
      <c r="AP37" s="11">
        <v>20</v>
      </c>
      <c r="AQ37" s="11"/>
      <c r="AR37" s="11"/>
      <c r="AS37" s="11">
        <v>100</v>
      </c>
      <c r="AT37" s="11">
        <v>90</v>
      </c>
      <c r="AU37" s="11"/>
      <c r="AV37" s="11"/>
      <c r="AW37" s="11">
        <v>70</v>
      </c>
      <c r="AX37" s="11"/>
      <c r="AY37" s="11"/>
      <c r="AZ37" s="11"/>
      <c r="BA37" s="11">
        <v>90</v>
      </c>
      <c r="BB37" s="11">
        <v>70</v>
      </c>
      <c r="BC37" s="11"/>
      <c r="BD37" s="11">
        <v>80</v>
      </c>
      <c r="BE37" s="11">
        <v>100</v>
      </c>
      <c r="BF37" s="11">
        <v>100</v>
      </c>
      <c r="BG37" s="11">
        <v>100</v>
      </c>
      <c r="BH37" s="11"/>
      <c r="BI37" s="11"/>
      <c r="BJ37" s="11"/>
      <c r="BK37" s="11"/>
      <c r="BL37" s="11"/>
    </row>
    <row r="38" spans="1:64" ht="13.2">
      <c r="A38" s="12"/>
      <c r="B38" s="12" t="s">
        <v>27</v>
      </c>
      <c r="C38" s="11"/>
      <c r="D38" s="11">
        <v>50</v>
      </c>
      <c r="E38" s="11">
        <v>90</v>
      </c>
      <c r="F38" s="11">
        <v>95</v>
      </c>
      <c r="G38" s="11"/>
      <c r="H38" s="11">
        <v>100</v>
      </c>
      <c r="I38" s="11">
        <v>10</v>
      </c>
      <c r="J38" s="11">
        <v>40</v>
      </c>
      <c r="K38" s="11">
        <v>80</v>
      </c>
      <c r="L38" s="11">
        <v>50</v>
      </c>
      <c r="M38" s="11">
        <v>50</v>
      </c>
      <c r="N38" s="11">
        <v>50</v>
      </c>
      <c r="O38" s="11">
        <v>90</v>
      </c>
      <c r="P38" s="11">
        <v>40</v>
      </c>
      <c r="Q38" s="11">
        <v>100</v>
      </c>
      <c r="R38" s="11">
        <v>70</v>
      </c>
      <c r="S38" s="11">
        <v>100</v>
      </c>
      <c r="T38" s="11">
        <v>70</v>
      </c>
      <c r="U38" s="11">
        <v>100</v>
      </c>
      <c r="V38" s="11">
        <v>100</v>
      </c>
      <c r="W38" s="11">
        <v>80</v>
      </c>
      <c r="X38" s="11">
        <v>80</v>
      </c>
      <c r="Y38" s="11">
        <v>70</v>
      </c>
      <c r="Z38" s="11"/>
      <c r="AA38" s="11">
        <v>39</v>
      </c>
      <c r="AB38" s="11"/>
      <c r="AC38" s="11"/>
      <c r="AD38" s="11">
        <v>5</v>
      </c>
      <c r="AE38" s="11"/>
      <c r="AF38" s="11"/>
      <c r="AG38" s="11"/>
      <c r="AH38" s="11"/>
      <c r="AI38" s="11">
        <v>50</v>
      </c>
      <c r="AJ38" s="11">
        <v>90</v>
      </c>
      <c r="AK38" s="11">
        <v>50</v>
      </c>
      <c r="AL38" s="11">
        <v>20</v>
      </c>
      <c r="AM38" s="11">
        <v>90</v>
      </c>
      <c r="AN38" s="11">
        <v>70</v>
      </c>
      <c r="AO38" s="11">
        <v>70</v>
      </c>
      <c r="AP38" s="11">
        <v>80</v>
      </c>
      <c r="AQ38" s="11"/>
      <c r="AR38" s="11"/>
      <c r="AS38" s="11"/>
      <c r="AT38" s="11">
        <v>10</v>
      </c>
      <c r="AU38" s="11"/>
      <c r="AV38" s="11"/>
      <c r="AW38" s="11">
        <v>30</v>
      </c>
      <c r="AX38" s="11"/>
      <c r="AY38" s="11"/>
      <c r="AZ38" s="11">
        <v>100</v>
      </c>
      <c r="BA38" s="11">
        <v>10</v>
      </c>
      <c r="BB38" s="11">
        <v>30</v>
      </c>
      <c r="BC38" s="11"/>
      <c r="BD38" s="11">
        <v>20</v>
      </c>
      <c r="BE38" s="11"/>
      <c r="BF38" s="11"/>
      <c r="BG38" s="11"/>
      <c r="BH38" s="11">
        <v>100</v>
      </c>
      <c r="BI38" s="11">
        <v>100</v>
      </c>
      <c r="BJ38" s="11">
        <v>100</v>
      </c>
      <c r="BK38" s="11">
        <v>100</v>
      </c>
      <c r="BL38" s="11">
        <v>100</v>
      </c>
    </row>
    <row r="39" spans="1:64" ht="13.2">
      <c r="A39" s="12"/>
      <c r="B39" s="12" t="s">
        <v>38</v>
      </c>
      <c r="C39" s="11"/>
      <c r="D39" s="11"/>
      <c r="E39" s="11"/>
      <c r="F39" s="11">
        <v>5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20</v>
      </c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1:64" ht="13.2">
      <c r="A40" s="11"/>
      <c r="B40" s="11" t="s">
        <v>41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1:64" ht="13.2">
      <c r="A41" s="12"/>
      <c r="B41" s="12" t="s">
        <v>26</v>
      </c>
      <c r="C41" s="11">
        <v>50</v>
      </c>
      <c r="D41" s="11">
        <v>30</v>
      </c>
      <c r="E41" s="11">
        <v>60</v>
      </c>
      <c r="F41" s="11">
        <v>50</v>
      </c>
      <c r="G41" s="11">
        <v>100</v>
      </c>
      <c r="H41" s="11">
        <v>50</v>
      </c>
      <c r="I41" s="11">
        <v>100</v>
      </c>
      <c r="J41" s="11">
        <v>50</v>
      </c>
      <c r="K41" s="11">
        <v>90</v>
      </c>
      <c r="L41" s="11">
        <v>100</v>
      </c>
      <c r="M41" s="11">
        <v>100</v>
      </c>
      <c r="N41" s="11">
        <v>100</v>
      </c>
      <c r="O41" s="11">
        <v>100</v>
      </c>
      <c r="P41" s="11">
        <v>100</v>
      </c>
      <c r="Q41" s="11">
        <v>90</v>
      </c>
      <c r="R41" s="11">
        <v>70</v>
      </c>
      <c r="S41" s="11">
        <v>80</v>
      </c>
      <c r="T41" s="11">
        <v>80</v>
      </c>
      <c r="U41" s="11">
        <v>50</v>
      </c>
      <c r="V41" s="11">
        <v>10</v>
      </c>
      <c r="W41" s="11">
        <v>80</v>
      </c>
      <c r="X41" s="11">
        <v>80</v>
      </c>
      <c r="Y41" s="11">
        <v>100</v>
      </c>
      <c r="Z41" s="11"/>
      <c r="AA41" s="11">
        <v>90</v>
      </c>
      <c r="AB41" s="11">
        <v>90</v>
      </c>
      <c r="AC41" s="11">
        <v>90</v>
      </c>
      <c r="AD41" s="11">
        <v>95</v>
      </c>
      <c r="AE41" s="11">
        <v>100</v>
      </c>
      <c r="AF41" s="11">
        <v>100</v>
      </c>
      <c r="AG41" s="11">
        <v>100</v>
      </c>
      <c r="AH41" s="11">
        <v>100</v>
      </c>
      <c r="AI41" s="11">
        <v>50</v>
      </c>
      <c r="AJ41" s="11">
        <v>20</v>
      </c>
      <c r="AK41" s="11">
        <v>100</v>
      </c>
      <c r="AL41" s="11">
        <v>100</v>
      </c>
      <c r="AM41" s="11">
        <v>100</v>
      </c>
      <c r="AN41" s="11">
        <v>100</v>
      </c>
      <c r="AO41" s="11">
        <v>99</v>
      </c>
      <c r="AP41" s="11">
        <v>100</v>
      </c>
      <c r="AQ41" s="11">
        <v>100</v>
      </c>
      <c r="AR41" s="11">
        <v>100</v>
      </c>
      <c r="AS41" s="11">
        <v>100</v>
      </c>
      <c r="AT41" s="11">
        <v>50</v>
      </c>
      <c r="AU41" s="11">
        <v>100</v>
      </c>
      <c r="AV41" s="11">
        <v>100</v>
      </c>
      <c r="AW41" s="11">
        <v>100</v>
      </c>
      <c r="AX41" s="11">
        <v>100</v>
      </c>
      <c r="AY41" s="11">
        <v>100</v>
      </c>
      <c r="AZ41" s="11">
        <v>50</v>
      </c>
      <c r="BA41" s="11">
        <v>100</v>
      </c>
      <c r="BB41" s="11">
        <v>80</v>
      </c>
      <c r="BC41" s="11">
        <v>50</v>
      </c>
      <c r="BD41" s="11">
        <v>100</v>
      </c>
      <c r="BE41" s="11">
        <v>70</v>
      </c>
      <c r="BF41" s="11">
        <v>100</v>
      </c>
      <c r="BG41" s="11">
        <v>100</v>
      </c>
      <c r="BH41" s="11">
        <v>100</v>
      </c>
      <c r="BI41" s="11">
        <v>100</v>
      </c>
      <c r="BJ41" s="11">
        <v>100</v>
      </c>
      <c r="BK41" s="11">
        <v>100</v>
      </c>
      <c r="BL41" s="11">
        <v>100</v>
      </c>
    </row>
    <row r="42" spans="1:64" ht="13.2">
      <c r="A42" s="12"/>
      <c r="B42" s="12" t="s">
        <v>27</v>
      </c>
      <c r="C42" s="11">
        <v>50</v>
      </c>
      <c r="D42" s="11">
        <v>60</v>
      </c>
      <c r="E42" s="11">
        <v>40</v>
      </c>
      <c r="F42" s="11">
        <v>50</v>
      </c>
      <c r="G42" s="11"/>
      <c r="H42" s="11">
        <v>50</v>
      </c>
      <c r="I42" s="11"/>
      <c r="J42" s="11">
        <v>50</v>
      </c>
      <c r="K42" s="11">
        <v>10</v>
      </c>
      <c r="L42" s="11"/>
      <c r="M42" s="11"/>
      <c r="N42" s="11"/>
      <c r="O42" s="11"/>
      <c r="P42" s="11"/>
      <c r="Q42" s="11">
        <v>10</v>
      </c>
      <c r="R42" s="11">
        <v>30</v>
      </c>
      <c r="S42" s="11">
        <v>20</v>
      </c>
      <c r="T42" s="11">
        <v>20</v>
      </c>
      <c r="U42" s="11">
        <v>50</v>
      </c>
      <c r="V42" s="11">
        <v>90</v>
      </c>
      <c r="W42" s="11">
        <v>20</v>
      </c>
      <c r="X42" s="11">
        <v>20</v>
      </c>
      <c r="Y42" s="11"/>
      <c r="Z42" s="11"/>
      <c r="AA42" s="11">
        <v>7</v>
      </c>
      <c r="AB42" s="11">
        <v>10</v>
      </c>
      <c r="AC42" s="11">
        <v>10</v>
      </c>
      <c r="AD42" s="11"/>
      <c r="AE42" s="11"/>
      <c r="AF42" s="11"/>
      <c r="AG42" s="11"/>
      <c r="AH42" s="11"/>
      <c r="AI42" s="11">
        <v>50</v>
      </c>
      <c r="AJ42" s="11">
        <v>80</v>
      </c>
      <c r="AK42" s="11"/>
      <c r="AL42" s="11"/>
      <c r="AM42" s="11"/>
      <c r="AN42" s="11"/>
      <c r="AO42" s="11">
        <v>1</v>
      </c>
      <c r="AP42" s="11"/>
      <c r="AQ42" s="11"/>
      <c r="AR42" s="11"/>
      <c r="AS42" s="11"/>
      <c r="AT42" s="11">
        <v>50</v>
      </c>
      <c r="AU42" s="11"/>
      <c r="AV42" s="11"/>
      <c r="AW42" s="11"/>
      <c r="AX42" s="11"/>
      <c r="AY42" s="11"/>
      <c r="AZ42" s="11">
        <v>50</v>
      </c>
      <c r="BA42" s="11"/>
      <c r="BB42" s="11">
        <v>20</v>
      </c>
      <c r="BC42" s="11">
        <v>50</v>
      </c>
      <c r="BD42" s="11"/>
      <c r="BE42" s="11">
        <v>30</v>
      </c>
      <c r="BF42" s="11"/>
      <c r="BG42" s="11"/>
      <c r="BH42" s="11"/>
      <c r="BI42" s="11"/>
      <c r="BJ42" s="11"/>
      <c r="BK42" s="11"/>
      <c r="BL42" s="11"/>
    </row>
    <row r="43" spans="1:64" ht="13.2">
      <c r="A43" s="12"/>
      <c r="B43" s="12" t="s">
        <v>38</v>
      </c>
      <c r="C43" s="11"/>
      <c r="D43" s="11">
        <v>10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1:64" ht="13.2">
      <c r="A44" s="11"/>
      <c r="B44" s="11" t="s">
        <v>42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1:64" ht="13.2">
      <c r="A45" s="12"/>
      <c r="B45" s="12" t="s">
        <v>26</v>
      </c>
      <c r="C45" s="11"/>
      <c r="D45" s="11">
        <v>10</v>
      </c>
      <c r="E45" s="11">
        <v>35</v>
      </c>
      <c r="F45" s="11">
        <v>5</v>
      </c>
      <c r="G45" s="11"/>
      <c r="H45" s="11">
        <v>50</v>
      </c>
      <c r="I45" s="11">
        <v>100</v>
      </c>
      <c r="J45" s="11"/>
      <c r="K45" s="11"/>
      <c r="L45" s="11"/>
      <c r="M45" s="11">
        <v>90</v>
      </c>
      <c r="N45" s="11">
        <v>100</v>
      </c>
      <c r="O45" s="11">
        <v>100</v>
      </c>
      <c r="P45" s="11">
        <v>75</v>
      </c>
      <c r="Q45" s="11">
        <v>90</v>
      </c>
      <c r="R45" s="11">
        <v>90</v>
      </c>
      <c r="S45" s="11"/>
      <c r="T45" s="11">
        <v>70</v>
      </c>
      <c r="U45" s="11">
        <v>50</v>
      </c>
      <c r="V45" s="11">
        <v>10</v>
      </c>
      <c r="W45" s="11"/>
      <c r="X45" s="11"/>
      <c r="Y45" s="11"/>
      <c r="Z45" s="11">
        <v>50</v>
      </c>
      <c r="AA45" s="11">
        <v>60</v>
      </c>
      <c r="AB45" s="11">
        <v>50</v>
      </c>
      <c r="AC45" s="11">
        <v>90</v>
      </c>
      <c r="AD45" s="11">
        <v>97</v>
      </c>
      <c r="AE45" s="11">
        <v>50</v>
      </c>
      <c r="AF45" s="11">
        <v>30</v>
      </c>
      <c r="AG45" s="11">
        <v>100</v>
      </c>
      <c r="AH45" s="11">
        <v>50</v>
      </c>
      <c r="AI45" s="11"/>
      <c r="AJ45" s="11">
        <v>50</v>
      </c>
      <c r="AK45" s="11">
        <v>50</v>
      </c>
      <c r="AL45" s="11">
        <v>75</v>
      </c>
      <c r="AM45" s="11">
        <v>50</v>
      </c>
      <c r="AN45" s="11">
        <v>50</v>
      </c>
      <c r="AO45" s="11">
        <v>50</v>
      </c>
      <c r="AP45" s="11">
        <v>50</v>
      </c>
      <c r="AQ45" s="11">
        <v>50</v>
      </c>
      <c r="AR45" s="11">
        <v>100</v>
      </c>
      <c r="AS45" s="11">
        <v>100</v>
      </c>
      <c r="AT45" s="11">
        <v>100</v>
      </c>
      <c r="AU45" s="11"/>
      <c r="AV45" s="11"/>
      <c r="AW45" s="11">
        <v>50</v>
      </c>
      <c r="AX45" s="11"/>
      <c r="AY45" s="11"/>
      <c r="AZ45" s="11"/>
      <c r="BA45" s="11">
        <v>100</v>
      </c>
      <c r="BB45" s="11">
        <v>60</v>
      </c>
      <c r="BC45" s="11">
        <v>40</v>
      </c>
      <c r="BD45" s="11">
        <v>50</v>
      </c>
      <c r="BE45" s="11">
        <v>50</v>
      </c>
      <c r="BF45" s="11">
        <v>100</v>
      </c>
      <c r="BG45" s="11">
        <v>50</v>
      </c>
      <c r="BH45" s="11">
        <v>100</v>
      </c>
      <c r="BI45" s="11">
        <v>100</v>
      </c>
      <c r="BJ45" s="11">
        <v>10</v>
      </c>
      <c r="BK45" s="11">
        <v>100</v>
      </c>
      <c r="BL45" s="11">
        <v>100</v>
      </c>
    </row>
    <row r="46" spans="1:64" ht="13.2">
      <c r="A46" s="12"/>
      <c r="B46" s="12" t="s">
        <v>27</v>
      </c>
      <c r="C46" s="11"/>
      <c r="D46" s="11">
        <v>90</v>
      </c>
      <c r="E46" s="11">
        <v>60</v>
      </c>
      <c r="F46" s="11">
        <v>90</v>
      </c>
      <c r="G46" s="11">
        <v>100</v>
      </c>
      <c r="H46" s="11">
        <v>50</v>
      </c>
      <c r="I46" s="11"/>
      <c r="J46" s="11"/>
      <c r="K46" s="11"/>
      <c r="L46" s="11"/>
      <c r="M46" s="11">
        <v>10</v>
      </c>
      <c r="N46" s="11"/>
      <c r="O46" s="11"/>
      <c r="P46" s="11">
        <v>25</v>
      </c>
      <c r="Q46" s="11">
        <v>10</v>
      </c>
      <c r="R46" s="11">
        <v>10</v>
      </c>
      <c r="S46" s="11">
        <v>100</v>
      </c>
      <c r="T46" s="11">
        <v>30</v>
      </c>
      <c r="U46" s="11">
        <v>50</v>
      </c>
      <c r="V46" s="11">
        <v>90</v>
      </c>
      <c r="W46" s="11">
        <v>100</v>
      </c>
      <c r="X46" s="11">
        <v>100</v>
      </c>
      <c r="Y46" s="11">
        <v>100</v>
      </c>
      <c r="Z46" s="11">
        <v>50</v>
      </c>
      <c r="AA46" s="11">
        <v>35</v>
      </c>
      <c r="AB46" s="11">
        <v>50</v>
      </c>
      <c r="AC46" s="11">
        <v>10</v>
      </c>
      <c r="AD46" s="11">
        <v>3</v>
      </c>
      <c r="AE46" s="11">
        <v>50</v>
      </c>
      <c r="AF46" s="11">
        <v>70</v>
      </c>
      <c r="AG46" s="11"/>
      <c r="AH46" s="11">
        <v>50</v>
      </c>
      <c r="AI46" s="11">
        <v>100</v>
      </c>
      <c r="AJ46" s="11">
        <v>50</v>
      </c>
      <c r="AK46" s="11">
        <v>50</v>
      </c>
      <c r="AL46" s="11">
        <v>25</v>
      </c>
      <c r="AM46" s="11">
        <v>50</v>
      </c>
      <c r="AN46" s="11">
        <v>50</v>
      </c>
      <c r="AO46" s="11">
        <v>50</v>
      </c>
      <c r="AP46" s="11">
        <v>50</v>
      </c>
      <c r="AQ46" s="11">
        <v>50</v>
      </c>
      <c r="AR46" s="11"/>
      <c r="AS46" s="11"/>
      <c r="AT46" s="11"/>
      <c r="AU46" s="11">
        <v>100</v>
      </c>
      <c r="AV46" s="11"/>
      <c r="AW46" s="11">
        <v>50</v>
      </c>
      <c r="AX46" s="11">
        <v>100</v>
      </c>
      <c r="AY46" s="11">
        <v>100</v>
      </c>
      <c r="AZ46" s="11">
        <v>100</v>
      </c>
      <c r="BA46" s="11"/>
      <c r="BB46" s="11">
        <v>40</v>
      </c>
      <c r="BC46" s="11">
        <v>60</v>
      </c>
      <c r="BD46" s="11">
        <v>50</v>
      </c>
      <c r="BE46" s="11">
        <v>50</v>
      </c>
      <c r="BF46" s="11"/>
      <c r="BG46" s="11">
        <v>50</v>
      </c>
      <c r="BH46" s="11"/>
      <c r="BI46" s="11"/>
      <c r="BJ46" s="11">
        <v>90</v>
      </c>
      <c r="BK46" s="11"/>
      <c r="BL46" s="11"/>
    </row>
    <row r="47" spans="1:64" ht="13.2">
      <c r="A47" s="12"/>
      <c r="B47" s="12" t="s">
        <v>38</v>
      </c>
      <c r="C47" s="11"/>
      <c r="D47" s="11"/>
      <c r="E47" s="11">
        <v>5</v>
      </c>
      <c r="F47" s="11">
        <v>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>
        <v>5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1:64" ht="13.2">
      <c r="A48" s="13" t="s">
        <v>43</v>
      </c>
      <c r="B48" s="14" t="s">
        <v>44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</row>
    <row r="49" spans="1:64" ht="13.2">
      <c r="A49" s="13"/>
      <c r="B49" s="15" t="s">
        <v>45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</row>
    <row r="50" spans="1:64" ht="13.2">
      <c r="A50" s="16"/>
      <c r="B50" s="16" t="s">
        <v>26</v>
      </c>
      <c r="C50" s="15">
        <v>6</v>
      </c>
      <c r="D50" s="15">
        <v>6</v>
      </c>
      <c r="E50" s="15">
        <v>5</v>
      </c>
      <c r="F50" s="15">
        <v>6</v>
      </c>
      <c r="G50" s="15">
        <v>6</v>
      </c>
      <c r="H50" s="15">
        <v>6</v>
      </c>
      <c r="I50" s="15">
        <v>5</v>
      </c>
      <c r="J50" s="15">
        <v>6</v>
      </c>
      <c r="K50" s="15">
        <v>6</v>
      </c>
      <c r="L50" s="15">
        <v>6</v>
      </c>
      <c r="M50" s="15">
        <v>6</v>
      </c>
      <c r="N50" s="15">
        <v>6</v>
      </c>
      <c r="O50" s="15">
        <v>6</v>
      </c>
      <c r="P50" s="15">
        <v>6</v>
      </c>
      <c r="Q50" s="15">
        <v>6</v>
      </c>
      <c r="R50" s="15">
        <v>6</v>
      </c>
      <c r="S50" s="15">
        <v>6</v>
      </c>
      <c r="T50" s="15">
        <v>6</v>
      </c>
      <c r="U50" s="15">
        <v>6</v>
      </c>
      <c r="V50" s="15">
        <v>6</v>
      </c>
      <c r="W50" s="15">
        <v>6</v>
      </c>
      <c r="X50" s="15">
        <v>6</v>
      </c>
      <c r="Y50" s="15">
        <v>6</v>
      </c>
      <c r="Z50" s="15">
        <v>6</v>
      </c>
      <c r="AA50" s="15">
        <v>5</v>
      </c>
      <c r="AB50" s="15">
        <v>4</v>
      </c>
      <c r="AC50" s="15">
        <v>5</v>
      </c>
      <c r="AD50" s="15">
        <v>5</v>
      </c>
      <c r="AE50" s="15">
        <v>6</v>
      </c>
      <c r="AF50" s="15">
        <v>6</v>
      </c>
      <c r="AG50" s="15">
        <v>6</v>
      </c>
      <c r="AH50" s="15">
        <v>6</v>
      </c>
      <c r="AI50" s="15">
        <v>6</v>
      </c>
      <c r="AJ50" s="15">
        <v>6</v>
      </c>
      <c r="AK50" s="15">
        <v>6</v>
      </c>
      <c r="AL50" s="15">
        <v>6</v>
      </c>
      <c r="AM50" s="15">
        <v>6</v>
      </c>
      <c r="AN50" s="15">
        <v>6</v>
      </c>
      <c r="AO50" s="15">
        <v>6</v>
      </c>
      <c r="AP50" s="15">
        <v>6</v>
      </c>
      <c r="AQ50" s="15">
        <v>5</v>
      </c>
      <c r="AR50" s="15">
        <v>6</v>
      </c>
      <c r="AS50" s="15">
        <v>6</v>
      </c>
      <c r="AT50" s="15">
        <v>6</v>
      </c>
      <c r="AU50" s="15">
        <v>6</v>
      </c>
      <c r="AV50" s="15">
        <v>6</v>
      </c>
      <c r="AW50" s="15">
        <v>6</v>
      </c>
      <c r="AX50" s="15">
        <v>6</v>
      </c>
      <c r="AY50" s="15">
        <v>5</v>
      </c>
      <c r="AZ50" s="15">
        <v>5</v>
      </c>
      <c r="BA50" s="15">
        <v>6</v>
      </c>
      <c r="BB50" s="15">
        <v>6</v>
      </c>
      <c r="BC50" s="15">
        <v>6</v>
      </c>
      <c r="BD50" s="15">
        <v>6</v>
      </c>
      <c r="BE50" s="15">
        <v>6</v>
      </c>
      <c r="BF50" s="15">
        <v>6</v>
      </c>
      <c r="BG50" s="15">
        <v>6</v>
      </c>
      <c r="BH50" s="15">
        <v>6</v>
      </c>
      <c r="BI50" s="15">
        <v>6</v>
      </c>
      <c r="BJ50" s="15">
        <v>6</v>
      </c>
      <c r="BK50" s="15">
        <v>6</v>
      </c>
      <c r="BL50" s="15">
        <v>6</v>
      </c>
    </row>
    <row r="51" spans="1:64" ht="13.2">
      <c r="A51" s="16"/>
      <c r="B51" s="16" t="s">
        <v>27</v>
      </c>
      <c r="C51" s="15">
        <v>6</v>
      </c>
      <c r="D51" s="15">
        <v>6</v>
      </c>
      <c r="E51" s="15">
        <v>5</v>
      </c>
      <c r="F51" s="15">
        <v>5</v>
      </c>
      <c r="G51" s="15">
        <v>6</v>
      </c>
      <c r="H51" s="15">
        <v>6</v>
      </c>
      <c r="I51" s="15">
        <v>4</v>
      </c>
      <c r="J51" s="15">
        <v>6</v>
      </c>
      <c r="K51" s="15">
        <v>6</v>
      </c>
      <c r="L51" s="15">
        <v>6</v>
      </c>
      <c r="M51" s="15">
        <v>5</v>
      </c>
      <c r="N51" s="15">
        <v>6</v>
      </c>
      <c r="O51" s="15">
        <v>3</v>
      </c>
      <c r="P51" s="15">
        <v>6</v>
      </c>
      <c r="Q51" s="15">
        <v>6</v>
      </c>
      <c r="R51" s="15">
        <v>6</v>
      </c>
      <c r="S51" s="15">
        <v>6</v>
      </c>
      <c r="T51" s="15">
        <v>6</v>
      </c>
      <c r="U51" s="15">
        <v>6</v>
      </c>
      <c r="V51" s="15">
        <v>6</v>
      </c>
      <c r="W51" s="15">
        <v>6</v>
      </c>
      <c r="X51" s="15">
        <v>6</v>
      </c>
      <c r="Y51" s="15">
        <v>6</v>
      </c>
      <c r="Z51" s="15">
        <v>6</v>
      </c>
      <c r="AA51" s="15">
        <v>5</v>
      </c>
      <c r="AB51" s="15">
        <v>4</v>
      </c>
      <c r="AC51" s="15">
        <v>5</v>
      </c>
      <c r="AD51" s="15">
        <v>5</v>
      </c>
      <c r="AE51" s="15">
        <v>6</v>
      </c>
      <c r="AF51" s="15">
        <v>6</v>
      </c>
      <c r="AG51" s="15">
        <v>6</v>
      </c>
      <c r="AH51" s="15">
        <v>6</v>
      </c>
      <c r="AI51" s="15">
        <v>6</v>
      </c>
      <c r="AJ51" s="15">
        <v>6</v>
      </c>
      <c r="AK51" s="15">
        <v>6</v>
      </c>
      <c r="AL51" s="15">
        <v>6</v>
      </c>
      <c r="AM51" s="15">
        <v>6</v>
      </c>
      <c r="AN51" s="15">
        <v>6</v>
      </c>
      <c r="AO51" s="15">
        <v>6</v>
      </c>
      <c r="AP51" s="15">
        <v>6</v>
      </c>
      <c r="AQ51" s="15">
        <v>5</v>
      </c>
      <c r="AR51" s="15">
        <v>6</v>
      </c>
      <c r="AS51" s="15">
        <v>6</v>
      </c>
      <c r="AT51" s="15">
        <v>6</v>
      </c>
      <c r="AU51" s="15">
        <v>6</v>
      </c>
      <c r="AV51" s="15">
        <v>6</v>
      </c>
      <c r="AW51" s="15">
        <v>4</v>
      </c>
      <c r="AX51" s="15">
        <v>3</v>
      </c>
      <c r="AY51" s="15">
        <v>5</v>
      </c>
      <c r="AZ51" s="15">
        <v>5</v>
      </c>
      <c r="BA51" s="15">
        <v>6</v>
      </c>
      <c r="BB51" s="15">
        <v>6</v>
      </c>
      <c r="BC51" s="15">
        <v>6</v>
      </c>
      <c r="BD51" s="15">
        <v>6</v>
      </c>
      <c r="BE51" s="15">
        <v>6</v>
      </c>
      <c r="BF51" s="15"/>
      <c r="BG51" s="15">
        <v>6</v>
      </c>
      <c r="BH51" s="15">
        <v>6</v>
      </c>
      <c r="BI51" s="15">
        <v>6</v>
      </c>
      <c r="BJ51" s="15">
        <v>6</v>
      </c>
      <c r="BK51" s="15">
        <v>6</v>
      </c>
      <c r="BL51" s="15">
        <v>6</v>
      </c>
    </row>
    <row r="52" spans="1:64" ht="13.2">
      <c r="A52" s="15"/>
      <c r="B52" s="15" t="s">
        <v>46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</row>
    <row r="53" spans="1:64" ht="13.2">
      <c r="A53" s="16"/>
      <c r="B53" s="16" t="s">
        <v>26</v>
      </c>
      <c r="C53" s="15">
        <v>6</v>
      </c>
      <c r="D53" s="15">
        <v>6</v>
      </c>
      <c r="E53" s="15">
        <v>5</v>
      </c>
      <c r="F53" s="15">
        <v>6</v>
      </c>
      <c r="G53" s="15">
        <v>6</v>
      </c>
      <c r="H53" s="15">
        <v>6</v>
      </c>
      <c r="I53" s="15">
        <v>6</v>
      </c>
      <c r="J53" s="15">
        <v>6</v>
      </c>
      <c r="K53" s="15">
        <v>6</v>
      </c>
      <c r="L53" s="15">
        <v>6</v>
      </c>
      <c r="M53" s="15">
        <v>6</v>
      </c>
      <c r="N53" s="15">
        <v>6</v>
      </c>
      <c r="O53" s="15">
        <v>6</v>
      </c>
      <c r="P53" s="15">
        <v>6</v>
      </c>
      <c r="Q53" s="15">
        <v>6</v>
      </c>
      <c r="R53" s="15">
        <v>6</v>
      </c>
      <c r="S53" s="15">
        <v>6</v>
      </c>
      <c r="T53" s="15">
        <v>6</v>
      </c>
      <c r="U53" s="15">
        <v>6</v>
      </c>
      <c r="V53" s="15">
        <v>6</v>
      </c>
      <c r="W53" s="15">
        <v>6</v>
      </c>
      <c r="X53" s="15">
        <v>6</v>
      </c>
      <c r="Y53" s="15">
        <v>6</v>
      </c>
      <c r="Z53" s="15">
        <v>6</v>
      </c>
      <c r="AA53" s="15">
        <v>4</v>
      </c>
      <c r="AB53" s="15">
        <v>5</v>
      </c>
      <c r="AC53" s="15">
        <v>4</v>
      </c>
      <c r="AD53" s="15">
        <v>5</v>
      </c>
      <c r="AE53" s="15">
        <v>6</v>
      </c>
      <c r="AF53" s="15">
        <v>6</v>
      </c>
      <c r="AG53" s="15">
        <v>6</v>
      </c>
      <c r="AH53" s="15">
        <v>6</v>
      </c>
      <c r="AI53" s="15">
        <v>6</v>
      </c>
      <c r="AJ53" s="15">
        <v>6</v>
      </c>
      <c r="AK53" s="15">
        <v>6</v>
      </c>
      <c r="AL53" s="15">
        <v>6</v>
      </c>
      <c r="AM53" s="15">
        <v>6</v>
      </c>
      <c r="AN53" s="15">
        <v>6</v>
      </c>
      <c r="AO53" s="15">
        <v>6</v>
      </c>
      <c r="AP53" s="15">
        <v>6</v>
      </c>
      <c r="AQ53" s="15">
        <v>5</v>
      </c>
      <c r="AR53" s="15">
        <v>6</v>
      </c>
      <c r="AS53" s="15">
        <v>6</v>
      </c>
      <c r="AT53" s="15">
        <v>6</v>
      </c>
      <c r="AU53" s="15">
        <v>6</v>
      </c>
      <c r="AV53" s="15">
        <v>6</v>
      </c>
      <c r="AW53" s="15">
        <v>6</v>
      </c>
      <c r="AX53" s="15">
        <v>6</v>
      </c>
      <c r="AY53" s="15">
        <v>6</v>
      </c>
      <c r="AZ53" s="15">
        <v>5</v>
      </c>
      <c r="BA53" s="15">
        <v>6</v>
      </c>
      <c r="BB53" s="15">
        <v>6</v>
      </c>
      <c r="BC53" s="15">
        <v>6</v>
      </c>
      <c r="BD53" s="15">
        <v>6</v>
      </c>
      <c r="BE53" s="15">
        <v>6</v>
      </c>
      <c r="BF53" s="15">
        <v>6</v>
      </c>
      <c r="BG53" s="15">
        <v>6</v>
      </c>
      <c r="BH53" s="15">
        <v>6</v>
      </c>
      <c r="BI53" s="15">
        <v>6</v>
      </c>
      <c r="BJ53" s="15">
        <v>6</v>
      </c>
      <c r="BK53" s="15">
        <v>6</v>
      </c>
      <c r="BL53" s="15">
        <v>6</v>
      </c>
    </row>
    <row r="54" spans="1:64" ht="13.2">
      <c r="A54" s="16"/>
      <c r="B54" s="16" t="s">
        <v>27</v>
      </c>
      <c r="C54" s="15">
        <v>6</v>
      </c>
      <c r="D54" s="15">
        <v>6</v>
      </c>
      <c r="E54" s="15">
        <v>6</v>
      </c>
      <c r="F54" s="15">
        <v>6</v>
      </c>
      <c r="G54" s="15">
        <v>6</v>
      </c>
      <c r="H54" s="15">
        <v>6</v>
      </c>
      <c r="I54" s="15">
        <v>4</v>
      </c>
      <c r="J54" s="15">
        <v>6</v>
      </c>
      <c r="K54" s="15">
        <v>6</v>
      </c>
      <c r="L54" s="15">
        <v>6</v>
      </c>
      <c r="M54" s="15">
        <v>5</v>
      </c>
      <c r="N54" s="15">
        <v>6</v>
      </c>
      <c r="O54" s="15">
        <v>2</v>
      </c>
      <c r="P54" s="15">
        <v>6</v>
      </c>
      <c r="Q54" s="15">
        <v>6</v>
      </c>
      <c r="R54" s="15">
        <v>6</v>
      </c>
      <c r="S54" s="15">
        <v>6</v>
      </c>
      <c r="T54" s="15">
        <v>6</v>
      </c>
      <c r="U54" s="15">
        <v>6</v>
      </c>
      <c r="V54" s="15">
        <v>6</v>
      </c>
      <c r="W54" s="15">
        <v>6</v>
      </c>
      <c r="X54" s="15">
        <v>6</v>
      </c>
      <c r="Y54" s="15">
        <v>6</v>
      </c>
      <c r="Z54" s="15">
        <v>6</v>
      </c>
      <c r="AA54" s="15">
        <v>5</v>
      </c>
      <c r="AB54" s="15">
        <v>5</v>
      </c>
      <c r="AC54" s="15">
        <v>5</v>
      </c>
      <c r="AD54" s="15">
        <v>4</v>
      </c>
      <c r="AE54" s="15">
        <v>6</v>
      </c>
      <c r="AF54" s="15">
        <v>6</v>
      </c>
      <c r="AG54" s="15">
        <v>6</v>
      </c>
      <c r="AH54" s="15">
        <v>6</v>
      </c>
      <c r="AI54" s="15">
        <v>6</v>
      </c>
      <c r="AJ54" s="15">
        <v>6</v>
      </c>
      <c r="AK54" s="15">
        <v>6</v>
      </c>
      <c r="AL54" s="15">
        <v>6</v>
      </c>
      <c r="AM54" s="15">
        <v>6</v>
      </c>
      <c r="AN54" s="15">
        <v>6</v>
      </c>
      <c r="AO54" s="15">
        <v>6</v>
      </c>
      <c r="AP54" s="15">
        <v>6</v>
      </c>
      <c r="AQ54" s="15">
        <v>5</v>
      </c>
      <c r="AR54" s="15">
        <v>6</v>
      </c>
      <c r="AS54" s="15">
        <v>6</v>
      </c>
      <c r="AT54" s="15">
        <v>6</v>
      </c>
      <c r="AU54" s="15">
        <v>5</v>
      </c>
      <c r="AV54" s="15">
        <v>6</v>
      </c>
      <c r="AW54" s="15">
        <v>6</v>
      </c>
      <c r="AX54" s="15">
        <v>6</v>
      </c>
      <c r="AY54" s="15">
        <v>6</v>
      </c>
      <c r="AZ54" s="15">
        <v>5</v>
      </c>
      <c r="BA54" s="15">
        <v>6</v>
      </c>
      <c r="BB54" s="15">
        <v>6</v>
      </c>
      <c r="BC54" s="15">
        <v>6</v>
      </c>
      <c r="BD54" s="15">
        <v>6</v>
      </c>
      <c r="BE54" s="15">
        <v>6</v>
      </c>
      <c r="BF54" s="15"/>
      <c r="BG54" s="15">
        <v>6</v>
      </c>
      <c r="BH54" s="15">
        <v>6</v>
      </c>
      <c r="BI54" s="15">
        <v>6</v>
      </c>
      <c r="BJ54" s="15">
        <v>6</v>
      </c>
      <c r="BK54" s="15">
        <v>6</v>
      </c>
      <c r="BL54" s="15">
        <v>6</v>
      </c>
    </row>
    <row r="55" spans="1:64" ht="13.2">
      <c r="A55" s="15"/>
      <c r="B55" s="15" t="s">
        <v>47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</row>
    <row r="56" spans="1:64" ht="13.2">
      <c r="A56" s="16"/>
      <c r="B56" s="16" t="s">
        <v>26</v>
      </c>
      <c r="C56" s="15">
        <v>6</v>
      </c>
      <c r="D56" s="15">
        <v>6</v>
      </c>
      <c r="E56" s="15">
        <v>4</v>
      </c>
      <c r="F56" s="15">
        <v>5</v>
      </c>
      <c r="G56" s="15">
        <v>6</v>
      </c>
      <c r="H56" s="15">
        <v>6</v>
      </c>
      <c r="I56" s="15">
        <v>5</v>
      </c>
      <c r="J56" s="15">
        <v>6</v>
      </c>
      <c r="K56" s="15">
        <v>6</v>
      </c>
      <c r="L56" s="15">
        <v>6</v>
      </c>
      <c r="M56" s="15">
        <v>2</v>
      </c>
      <c r="N56" s="15">
        <v>6</v>
      </c>
      <c r="O56" s="15">
        <v>6</v>
      </c>
      <c r="P56" s="15">
        <v>6</v>
      </c>
      <c r="Q56" s="15">
        <v>6</v>
      </c>
      <c r="R56" s="15">
        <v>6</v>
      </c>
      <c r="S56" s="15">
        <v>6</v>
      </c>
      <c r="T56" s="15">
        <v>6</v>
      </c>
      <c r="U56" s="15">
        <v>6</v>
      </c>
      <c r="V56" s="15">
        <v>4</v>
      </c>
      <c r="W56" s="15">
        <v>6</v>
      </c>
      <c r="X56" s="15">
        <v>6</v>
      </c>
      <c r="Y56" s="15">
        <v>6</v>
      </c>
      <c r="Z56" s="15">
        <v>6</v>
      </c>
      <c r="AA56" s="15">
        <v>4</v>
      </c>
      <c r="AB56" s="15">
        <v>3</v>
      </c>
      <c r="AC56" s="15">
        <v>4</v>
      </c>
      <c r="AD56" s="15">
        <v>5</v>
      </c>
      <c r="AE56" s="15">
        <v>6</v>
      </c>
      <c r="AF56" s="15">
        <v>6</v>
      </c>
      <c r="AG56" s="15">
        <v>6</v>
      </c>
      <c r="AH56" s="15">
        <v>6</v>
      </c>
      <c r="AI56" s="15">
        <v>3</v>
      </c>
      <c r="AJ56" s="15">
        <v>6</v>
      </c>
      <c r="AK56" s="15">
        <v>6</v>
      </c>
      <c r="AL56" s="15">
        <v>6</v>
      </c>
      <c r="AM56" s="15">
        <v>6</v>
      </c>
      <c r="AN56" s="15">
        <v>6</v>
      </c>
      <c r="AO56" s="15">
        <v>6</v>
      </c>
      <c r="AP56" s="15">
        <v>6</v>
      </c>
      <c r="AQ56" s="15">
        <v>5</v>
      </c>
      <c r="AR56" s="15">
        <v>6</v>
      </c>
      <c r="AS56" s="15">
        <v>6</v>
      </c>
      <c r="AT56" s="15">
        <v>6</v>
      </c>
      <c r="AU56" s="15">
        <v>6</v>
      </c>
      <c r="AV56" s="15">
        <v>6</v>
      </c>
      <c r="AW56" s="15">
        <v>6</v>
      </c>
      <c r="AX56" s="15">
        <v>3</v>
      </c>
      <c r="AY56" s="15">
        <v>5</v>
      </c>
      <c r="AZ56" s="15">
        <v>6</v>
      </c>
      <c r="BA56" s="15">
        <v>4</v>
      </c>
      <c r="BB56" s="15">
        <v>5</v>
      </c>
      <c r="BC56" s="15">
        <v>4</v>
      </c>
      <c r="BD56" s="15">
        <v>6</v>
      </c>
      <c r="BE56" s="15">
        <v>6</v>
      </c>
      <c r="BF56" s="15">
        <v>6</v>
      </c>
      <c r="BG56" s="15">
        <v>6</v>
      </c>
      <c r="BH56" s="15">
        <v>6</v>
      </c>
      <c r="BI56" s="15">
        <v>6</v>
      </c>
      <c r="BJ56" s="15">
        <v>5</v>
      </c>
      <c r="BK56" s="15">
        <v>6</v>
      </c>
      <c r="BL56" s="15">
        <v>6</v>
      </c>
    </row>
    <row r="57" spans="1:64" ht="13.2">
      <c r="A57" s="16"/>
      <c r="B57" s="16" t="s">
        <v>27</v>
      </c>
      <c r="C57" s="15">
        <v>6</v>
      </c>
      <c r="D57" s="15">
        <v>6</v>
      </c>
      <c r="E57" s="15">
        <v>6</v>
      </c>
      <c r="F57" s="15">
        <v>6</v>
      </c>
      <c r="G57" s="15">
        <v>6</v>
      </c>
      <c r="H57" s="15">
        <v>6</v>
      </c>
      <c r="I57" s="15">
        <v>5</v>
      </c>
      <c r="J57" s="15">
        <v>6</v>
      </c>
      <c r="K57" s="15">
        <v>6</v>
      </c>
      <c r="L57" s="15">
        <v>6</v>
      </c>
      <c r="M57" s="15">
        <v>4</v>
      </c>
      <c r="N57" s="15">
        <v>6</v>
      </c>
      <c r="O57" s="15">
        <v>3</v>
      </c>
      <c r="P57" s="15">
        <v>6</v>
      </c>
      <c r="Q57" s="15">
        <v>6</v>
      </c>
      <c r="R57" s="15">
        <v>6</v>
      </c>
      <c r="S57" s="15">
        <v>6</v>
      </c>
      <c r="T57" s="15">
        <v>6</v>
      </c>
      <c r="U57" s="15">
        <v>6</v>
      </c>
      <c r="V57" s="15">
        <v>6</v>
      </c>
      <c r="W57" s="15">
        <v>6</v>
      </c>
      <c r="X57" s="15">
        <v>6</v>
      </c>
      <c r="Y57" s="15">
        <v>6</v>
      </c>
      <c r="Z57" s="15">
        <v>6</v>
      </c>
      <c r="AA57" s="15">
        <v>5</v>
      </c>
      <c r="AB57" s="15">
        <v>5</v>
      </c>
      <c r="AC57" s="15">
        <v>5</v>
      </c>
      <c r="AD57" s="15">
        <v>5</v>
      </c>
      <c r="AE57" s="15">
        <v>6</v>
      </c>
      <c r="AF57" s="15">
        <v>6</v>
      </c>
      <c r="AG57" s="15">
        <v>6</v>
      </c>
      <c r="AH57" s="15">
        <v>6</v>
      </c>
      <c r="AI57" s="15">
        <v>6</v>
      </c>
      <c r="AJ57" s="15">
        <v>6</v>
      </c>
      <c r="AK57" s="15">
        <v>6</v>
      </c>
      <c r="AL57" s="15">
        <v>6</v>
      </c>
      <c r="AM57" s="15">
        <v>6</v>
      </c>
      <c r="AN57" s="15">
        <v>6</v>
      </c>
      <c r="AO57" s="15">
        <v>6</v>
      </c>
      <c r="AP57" s="15">
        <v>6</v>
      </c>
      <c r="AQ57" s="15">
        <v>5</v>
      </c>
      <c r="AR57" s="15">
        <v>6</v>
      </c>
      <c r="AS57" s="15">
        <v>6</v>
      </c>
      <c r="AT57" s="15">
        <v>6</v>
      </c>
      <c r="AU57" s="15">
        <v>6</v>
      </c>
      <c r="AV57" s="15">
        <v>6</v>
      </c>
      <c r="AW57" s="15">
        <v>6</v>
      </c>
      <c r="AX57" s="15">
        <v>4</v>
      </c>
      <c r="AY57" s="15">
        <v>6</v>
      </c>
      <c r="AZ57" s="15">
        <v>6</v>
      </c>
      <c r="BA57" s="15">
        <v>6</v>
      </c>
      <c r="BB57" s="15">
        <v>6</v>
      </c>
      <c r="BC57" s="15">
        <v>6</v>
      </c>
      <c r="BD57" s="15">
        <v>6</v>
      </c>
      <c r="BE57" s="15">
        <v>6</v>
      </c>
      <c r="BF57" s="15"/>
      <c r="BG57" s="15">
        <v>6</v>
      </c>
      <c r="BH57" s="15">
        <v>6</v>
      </c>
      <c r="BI57" s="15">
        <v>6</v>
      </c>
      <c r="BJ57" s="15">
        <v>6</v>
      </c>
      <c r="BK57" s="15">
        <v>6</v>
      </c>
      <c r="BL57" s="15">
        <v>6</v>
      </c>
    </row>
    <row r="58" spans="1:64" ht="13.2">
      <c r="A58" s="15"/>
      <c r="B58" s="15" t="s">
        <v>48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</row>
    <row r="59" spans="1:64" ht="13.2">
      <c r="A59" s="16"/>
      <c r="B59" s="16" t="s">
        <v>26</v>
      </c>
      <c r="C59" s="15">
        <v>6</v>
      </c>
      <c r="D59" s="15">
        <v>6</v>
      </c>
      <c r="E59" s="15">
        <v>4</v>
      </c>
      <c r="F59" s="15">
        <v>4</v>
      </c>
      <c r="G59" s="15">
        <v>6</v>
      </c>
      <c r="H59" s="15">
        <v>6</v>
      </c>
      <c r="I59" s="15">
        <v>4</v>
      </c>
      <c r="J59" s="15">
        <v>6</v>
      </c>
      <c r="K59" s="15">
        <v>6</v>
      </c>
      <c r="L59" s="15">
        <v>6</v>
      </c>
      <c r="M59" s="15">
        <v>1</v>
      </c>
      <c r="N59" s="15">
        <v>6</v>
      </c>
      <c r="O59" s="15">
        <v>4</v>
      </c>
      <c r="P59" s="15">
        <v>6</v>
      </c>
      <c r="Q59" s="15">
        <v>6</v>
      </c>
      <c r="R59" s="15">
        <v>6</v>
      </c>
      <c r="S59" s="15">
        <v>6</v>
      </c>
      <c r="T59" s="15">
        <v>6</v>
      </c>
      <c r="U59" s="15">
        <v>6</v>
      </c>
      <c r="V59" s="15">
        <v>4</v>
      </c>
      <c r="W59" s="15">
        <v>6</v>
      </c>
      <c r="X59" s="15">
        <v>5</v>
      </c>
      <c r="Y59" s="15">
        <v>6</v>
      </c>
      <c r="Z59" s="15">
        <v>6</v>
      </c>
      <c r="AA59" s="15">
        <v>4</v>
      </c>
      <c r="AB59" s="15">
        <v>3</v>
      </c>
      <c r="AC59" s="15">
        <v>4</v>
      </c>
      <c r="AD59" s="15">
        <v>4</v>
      </c>
      <c r="AE59" s="15">
        <v>6</v>
      </c>
      <c r="AF59" s="15">
        <v>6</v>
      </c>
      <c r="AG59" s="15">
        <v>6</v>
      </c>
      <c r="AH59" s="15">
        <v>6</v>
      </c>
      <c r="AI59" s="15">
        <v>3</v>
      </c>
      <c r="AJ59" s="15">
        <v>6</v>
      </c>
      <c r="AK59" s="15">
        <v>6</v>
      </c>
      <c r="AL59" s="15">
        <v>6</v>
      </c>
      <c r="AM59" s="15">
        <v>6</v>
      </c>
      <c r="AN59" s="15">
        <v>6</v>
      </c>
      <c r="AO59" s="15">
        <v>6</v>
      </c>
      <c r="AP59" s="15">
        <v>6</v>
      </c>
      <c r="AQ59" s="15">
        <v>4</v>
      </c>
      <c r="AR59" s="15">
        <v>6</v>
      </c>
      <c r="AS59" s="15">
        <v>6</v>
      </c>
      <c r="AT59" s="15">
        <v>6</v>
      </c>
      <c r="AU59" s="15">
        <v>5</v>
      </c>
      <c r="AV59" s="15">
        <v>6</v>
      </c>
      <c r="AW59" s="15">
        <v>6</v>
      </c>
      <c r="AX59" s="15">
        <v>3</v>
      </c>
      <c r="AY59" s="15">
        <v>5</v>
      </c>
      <c r="AZ59" s="15">
        <v>6</v>
      </c>
      <c r="BA59" s="15">
        <v>5</v>
      </c>
      <c r="BB59" s="15">
        <v>4</v>
      </c>
      <c r="BC59" s="15">
        <v>3</v>
      </c>
      <c r="BD59" s="15">
        <v>6</v>
      </c>
      <c r="BE59" s="15">
        <v>6</v>
      </c>
      <c r="BF59" s="15">
        <v>6</v>
      </c>
      <c r="BG59" s="15">
        <v>6</v>
      </c>
      <c r="BH59" s="15">
        <v>6</v>
      </c>
      <c r="BI59" s="15">
        <v>6</v>
      </c>
      <c r="BJ59" s="15">
        <v>4</v>
      </c>
      <c r="BK59" s="15">
        <v>6</v>
      </c>
      <c r="BL59" s="15">
        <v>6</v>
      </c>
    </row>
    <row r="60" spans="1:64" ht="13.2">
      <c r="A60" s="16"/>
      <c r="B60" s="16" t="s">
        <v>27</v>
      </c>
      <c r="C60" s="15">
        <v>6</v>
      </c>
      <c r="D60" s="15">
        <v>6</v>
      </c>
      <c r="E60" s="15">
        <v>6</v>
      </c>
      <c r="F60" s="15">
        <v>5</v>
      </c>
      <c r="G60" s="15">
        <v>6</v>
      </c>
      <c r="H60" s="15">
        <v>6</v>
      </c>
      <c r="I60" s="15">
        <v>5</v>
      </c>
      <c r="J60" s="15">
        <v>6</v>
      </c>
      <c r="K60" s="15">
        <v>6</v>
      </c>
      <c r="L60" s="15">
        <v>6</v>
      </c>
      <c r="M60" s="15">
        <v>4</v>
      </c>
      <c r="N60" s="15">
        <v>6</v>
      </c>
      <c r="O60" s="15">
        <v>2</v>
      </c>
      <c r="P60" s="15">
        <v>6</v>
      </c>
      <c r="Q60" s="15">
        <v>6</v>
      </c>
      <c r="R60" s="15">
        <v>6</v>
      </c>
      <c r="S60" s="15">
        <v>6</v>
      </c>
      <c r="T60" s="15">
        <v>6</v>
      </c>
      <c r="U60" s="15">
        <v>6</v>
      </c>
      <c r="V60" s="15">
        <v>6</v>
      </c>
      <c r="W60" s="15">
        <v>6</v>
      </c>
      <c r="X60" s="15">
        <v>6</v>
      </c>
      <c r="Y60" s="15">
        <v>6</v>
      </c>
      <c r="Z60" s="15">
        <v>6</v>
      </c>
      <c r="AA60" s="15">
        <v>5</v>
      </c>
      <c r="AB60" s="15">
        <v>5</v>
      </c>
      <c r="AC60" s="15">
        <v>5</v>
      </c>
      <c r="AD60" s="15">
        <v>5</v>
      </c>
      <c r="AE60" s="15">
        <v>6</v>
      </c>
      <c r="AF60" s="15">
        <v>6</v>
      </c>
      <c r="AG60" s="15">
        <v>6</v>
      </c>
      <c r="AH60" s="15">
        <v>6</v>
      </c>
      <c r="AI60" s="15">
        <v>6</v>
      </c>
      <c r="AJ60" s="15">
        <v>6</v>
      </c>
      <c r="AK60" s="15">
        <v>6</v>
      </c>
      <c r="AL60" s="15">
        <v>6</v>
      </c>
      <c r="AM60" s="15">
        <v>6</v>
      </c>
      <c r="AN60" s="15">
        <v>6</v>
      </c>
      <c r="AO60" s="15">
        <v>6</v>
      </c>
      <c r="AP60" s="15">
        <v>6</v>
      </c>
      <c r="AQ60" s="15">
        <v>4</v>
      </c>
      <c r="AR60" s="15">
        <v>6</v>
      </c>
      <c r="AS60" s="15">
        <v>6</v>
      </c>
      <c r="AT60" s="15">
        <v>6</v>
      </c>
      <c r="AU60" s="15">
        <v>5</v>
      </c>
      <c r="AV60" s="15">
        <v>6</v>
      </c>
      <c r="AW60" s="15">
        <v>6</v>
      </c>
      <c r="AX60" s="15">
        <v>5</v>
      </c>
      <c r="AY60" s="15">
        <v>6</v>
      </c>
      <c r="AZ60" s="15">
        <v>6</v>
      </c>
      <c r="BA60" s="15">
        <v>6</v>
      </c>
      <c r="BB60" s="15">
        <v>6</v>
      </c>
      <c r="BC60" s="15">
        <v>6</v>
      </c>
      <c r="BD60" s="15">
        <v>6</v>
      </c>
      <c r="BE60" s="15">
        <v>6</v>
      </c>
      <c r="BF60" s="15"/>
      <c r="BG60" s="15">
        <v>6</v>
      </c>
      <c r="BH60" s="15">
        <v>6</v>
      </c>
      <c r="BI60" s="15">
        <v>6</v>
      </c>
      <c r="BJ60" s="15">
        <v>6</v>
      </c>
      <c r="BK60" s="15">
        <v>6</v>
      </c>
      <c r="BL60" s="15">
        <v>6</v>
      </c>
    </row>
    <row r="61" spans="1:64" ht="13.2">
      <c r="A61" s="17" t="s">
        <v>43</v>
      </c>
      <c r="B61" s="18" t="s">
        <v>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</row>
    <row r="62" spans="1:64" ht="13.2">
      <c r="A62" s="19"/>
      <c r="B62" s="19" t="s">
        <v>50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</row>
    <row r="63" spans="1:64" ht="13.2">
      <c r="A63" s="20"/>
      <c r="B63" s="20" t="s">
        <v>26</v>
      </c>
      <c r="C63" s="19">
        <v>6</v>
      </c>
      <c r="D63" s="19">
        <v>6</v>
      </c>
      <c r="E63" s="19">
        <v>6</v>
      </c>
      <c r="F63" s="19">
        <v>6</v>
      </c>
      <c r="G63" s="19">
        <v>6</v>
      </c>
      <c r="H63" s="19">
        <v>6</v>
      </c>
      <c r="I63" s="19">
        <v>6</v>
      </c>
      <c r="J63" s="19">
        <v>6</v>
      </c>
      <c r="K63" s="19">
        <v>6</v>
      </c>
      <c r="L63" s="19">
        <v>6</v>
      </c>
      <c r="M63" s="19">
        <v>6</v>
      </c>
      <c r="N63" s="19">
        <v>6</v>
      </c>
      <c r="O63" s="19">
        <v>6</v>
      </c>
      <c r="P63" s="19">
        <v>6</v>
      </c>
      <c r="Q63" s="19">
        <v>6</v>
      </c>
      <c r="R63" s="19">
        <v>6</v>
      </c>
      <c r="S63" s="19">
        <v>6</v>
      </c>
      <c r="T63" s="19">
        <v>6</v>
      </c>
      <c r="U63" s="19">
        <v>6</v>
      </c>
      <c r="V63" s="19">
        <v>6</v>
      </c>
      <c r="W63" s="19">
        <v>6</v>
      </c>
      <c r="X63" s="19">
        <v>6</v>
      </c>
      <c r="Y63" s="19">
        <v>6</v>
      </c>
      <c r="Z63" s="19">
        <v>6</v>
      </c>
      <c r="AA63" s="19">
        <v>6</v>
      </c>
      <c r="AB63" s="19">
        <v>6</v>
      </c>
      <c r="AC63" s="19">
        <v>6</v>
      </c>
      <c r="AD63" s="19">
        <v>6</v>
      </c>
      <c r="AE63" s="19">
        <v>6</v>
      </c>
      <c r="AF63" s="19">
        <v>6</v>
      </c>
      <c r="AG63" s="19">
        <v>6</v>
      </c>
      <c r="AH63" s="19">
        <v>6</v>
      </c>
      <c r="AI63" s="19">
        <v>6</v>
      </c>
      <c r="AJ63" s="19">
        <v>6</v>
      </c>
      <c r="AK63" s="19">
        <v>6</v>
      </c>
      <c r="AL63" s="19">
        <v>6</v>
      </c>
      <c r="AM63" s="19">
        <v>6</v>
      </c>
      <c r="AN63" s="19">
        <v>6</v>
      </c>
      <c r="AO63" s="19">
        <v>5</v>
      </c>
      <c r="AP63" s="19">
        <v>6</v>
      </c>
      <c r="AQ63" s="19">
        <v>6</v>
      </c>
      <c r="AR63" s="19">
        <v>6</v>
      </c>
      <c r="AS63" s="19">
        <v>6</v>
      </c>
      <c r="AT63" s="19">
        <v>6</v>
      </c>
      <c r="AU63" s="19">
        <v>6</v>
      </c>
      <c r="AV63" s="19">
        <v>6</v>
      </c>
      <c r="AW63" s="19">
        <v>6</v>
      </c>
      <c r="AX63" s="19">
        <v>4</v>
      </c>
      <c r="AY63" s="19">
        <v>6</v>
      </c>
      <c r="AZ63" s="19">
        <v>6</v>
      </c>
      <c r="BA63" s="19">
        <v>6</v>
      </c>
      <c r="BB63" s="19">
        <v>6</v>
      </c>
      <c r="BC63" s="19">
        <v>5</v>
      </c>
      <c r="BD63" s="19">
        <v>6</v>
      </c>
      <c r="BE63" s="19">
        <v>6</v>
      </c>
      <c r="BF63" s="19">
        <v>6</v>
      </c>
      <c r="BG63" s="19">
        <v>6</v>
      </c>
      <c r="BH63" s="19">
        <v>6</v>
      </c>
      <c r="BI63" s="19">
        <v>6</v>
      </c>
      <c r="BJ63" s="19">
        <v>6</v>
      </c>
      <c r="BK63" s="19">
        <v>6</v>
      </c>
      <c r="BL63" s="19">
        <v>6</v>
      </c>
    </row>
    <row r="64" spans="1:64" ht="13.2">
      <c r="A64" s="20"/>
      <c r="B64" s="20" t="s">
        <v>27</v>
      </c>
      <c r="C64" s="19">
        <v>6</v>
      </c>
      <c r="D64" s="19">
        <v>6</v>
      </c>
      <c r="E64" s="19">
        <v>5</v>
      </c>
      <c r="F64" s="19">
        <v>6</v>
      </c>
      <c r="G64" s="19">
        <v>6</v>
      </c>
      <c r="H64" s="19"/>
      <c r="I64" s="19">
        <v>2</v>
      </c>
      <c r="J64" s="19">
        <v>6</v>
      </c>
      <c r="K64" s="19">
        <v>6</v>
      </c>
      <c r="L64" s="19">
        <v>6</v>
      </c>
      <c r="M64" s="19">
        <v>2</v>
      </c>
      <c r="N64" s="19">
        <v>6</v>
      </c>
      <c r="O64" s="19">
        <v>2</v>
      </c>
      <c r="P64" s="19">
        <v>6</v>
      </c>
      <c r="Q64" s="19">
        <v>4</v>
      </c>
      <c r="R64" s="19">
        <v>5</v>
      </c>
      <c r="S64" s="19">
        <v>6</v>
      </c>
      <c r="T64" s="19">
        <v>6</v>
      </c>
      <c r="U64" s="19">
        <v>6</v>
      </c>
      <c r="V64" s="19">
        <v>6</v>
      </c>
      <c r="W64" s="19">
        <v>6</v>
      </c>
      <c r="X64" s="19">
        <v>6</v>
      </c>
      <c r="Y64" s="19">
        <v>6</v>
      </c>
      <c r="Z64" s="19">
        <v>1</v>
      </c>
      <c r="AA64" s="19">
        <v>6</v>
      </c>
      <c r="AB64" s="19">
        <v>5</v>
      </c>
      <c r="AC64" s="19">
        <v>4</v>
      </c>
      <c r="AD64" s="19">
        <v>6</v>
      </c>
      <c r="AE64" s="19"/>
      <c r="AF64" s="19">
        <v>4</v>
      </c>
      <c r="AG64" s="19"/>
      <c r="AH64" s="19"/>
      <c r="AI64" s="19">
        <v>6</v>
      </c>
      <c r="AJ64" s="19">
        <v>6</v>
      </c>
      <c r="AK64" s="19">
        <v>6</v>
      </c>
      <c r="AL64" s="19">
        <v>6</v>
      </c>
      <c r="AM64" s="19">
        <v>6</v>
      </c>
      <c r="AN64" s="19">
        <v>6</v>
      </c>
      <c r="AO64" s="19">
        <v>5</v>
      </c>
      <c r="AP64" s="19">
        <v>6</v>
      </c>
      <c r="AQ64" s="19"/>
      <c r="AR64" s="19"/>
      <c r="AS64" s="19"/>
      <c r="AT64" s="19"/>
      <c r="AU64" s="19">
        <v>3</v>
      </c>
      <c r="AV64" s="19">
        <v>6</v>
      </c>
      <c r="AW64" s="19">
        <v>4</v>
      </c>
      <c r="AX64" s="19">
        <v>4</v>
      </c>
      <c r="AY64" s="19"/>
      <c r="AZ64" s="19">
        <v>5</v>
      </c>
      <c r="BA64" s="19">
        <v>6</v>
      </c>
      <c r="BB64" s="19">
        <v>4</v>
      </c>
      <c r="BC64" s="19">
        <v>5</v>
      </c>
      <c r="BD64" s="19"/>
      <c r="BE64" s="19">
        <v>6</v>
      </c>
      <c r="BF64" s="19"/>
      <c r="BG64" s="19">
        <v>6</v>
      </c>
      <c r="BH64" s="19"/>
      <c r="BI64" s="19">
        <v>6</v>
      </c>
      <c r="BJ64" s="19"/>
      <c r="BK64" s="19">
        <v>6</v>
      </c>
      <c r="BL64" s="19">
        <v>6</v>
      </c>
    </row>
    <row r="65" spans="1:64" ht="13.2">
      <c r="A65" s="19"/>
      <c r="B65" s="19" t="s">
        <v>51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</row>
    <row r="66" spans="1:64" ht="13.2">
      <c r="A66" s="20"/>
      <c r="B66" s="20" t="s">
        <v>52</v>
      </c>
      <c r="C66" s="19">
        <v>6</v>
      </c>
      <c r="D66" s="19">
        <v>6</v>
      </c>
      <c r="E66" s="19">
        <v>4</v>
      </c>
      <c r="F66" s="19">
        <v>4</v>
      </c>
      <c r="G66" s="19">
        <v>6</v>
      </c>
      <c r="H66" s="19">
        <v>6</v>
      </c>
      <c r="I66" s="19">
        <v>6</v>
      </c>
      <c r="J66" s="19">
        <v>6</v>
      </c>
      <c r="K66" s="19">
        <v>6</v>
      </c>
      <c r="L66" s="19">
        <v>6</v>
      </c>
      <c r="M66" s="19">
        <v>6</v>
      </c>
      <c r="N66" s="19">
        <v>6</v>
      </c>
      <c r="O66" s="19">
        <v>6</v>
      </c>
      <c r="P66" s="19">
        <v>6</v>
      </c>
      <c r="Q66" s="19">
        <v>6</v>
      </c>
      <c r="R66" s="19">
        <v>6</v>
      </c>
      <c r="S66" s="19">
        <v>6</v>
      </c>
      <c r="T66" s="19">
        <v>6</v>
      </c>
      <c r="U66" s="19">
        <v>6</v>
      </c>
      <c r="V66" s="19">
        <v>6</v>
      </c>
      <c r="W66" s="19">
        <v>5</v>
      </c>
      <c r="X66" s="19">
        <v>6</v>
      </c>
      <c r="Y66" s="19">
        <v>6</v>
      </c>
      <c r="Z66" s="19">
        <v>6</v>
      </c>
      <c r="AA66" s="19">
        <v>6</v>
      </c>
      <c r="AB66" s="19">
        <v>6</v>
      </c>
      <c r="AC66" s="19">
        <v>6</v>
      </c>
      <c r="AD66" s="19">
        <v>6</v>
      </c>
      <c r="AE66" s="19">
        <v>6</v>
      </c>
      <c r="AF66" s="19">
        <v>6</v>
      </c>
      <c r="AG66" s="19">
        <v>6</v>
      </c>
      <c r="AH66" s="19">
        <v>6</v>
      </c>
      <c r="AI66" s="19">
        <v>6</v>
      </c>
      <c r="AJ66" s="19">
        <v>6</v>
      </c>
      <c r="AK66" s="19">
        <v>6</v>
      </c>
      <c r="AL66" s="19">
        <v>6</v>
      </c>
      <c r="AM66" s="19">
        <v>6</v>
      </c>
      <c r="AN66" s="19">
        <v>6</v>
      </c>
      <c r="AO66" s="19">
        <v>6</v>
      </c>
      <c r="AP66" s="19">
        <v>6</v>
      </c>
      <c r="AQ66" s="19">
        <v>6</v>
      </c>
      <c r="AR66" s="19">
        <v>6</v>
      </c>
      <c r="AS66" s="19">
        <v>6</v>
      </c>
      <c r="AT66" s="19">
        <v>6</v>
      </c>
      <c r="AU66" s="19">
        <v>6</v>
      </c>
      <c r="AV66" s="19">
        <v>6</v>
      </c>
      <c r="AW66" s="19">
        <v>6</v>
      </c>
      <c r="AX66" s="19">
        <v>6</v>
      </c>
      <c r="AY66" s="19">
        <v>6</v>
      </c>
      <c r="AZ66" s="19">
        <v>6</v>
      </c>
      <c r="BA66" s="19">
        <v>6</v>
      </c>
      <c r="BB66" s="19">
        <v>6</v>
      </c>
      <c r="BC66" s="19">
        <v>5</v>
      </c>
      <c r="BD66" s="19">
        <v>6</v>
      </c>
      <c r="BE66" s="19">
        <v>6</v>
      </c>
      <c r="BF66" s="19">
        <v>6</v>
      </c>
      <c r="BG66" s="19">
        <v>6</v>
      </c>
      <c r="BH66" s="19">
        <v>6</v>
      </c>
      <c r="BI66" s="19">
        <v>6</v>
      </c>
      <c r="BJ66" s="19">
        <v>6</v>
      </c>
      <c r="BK66" s="19">
        <v>6</v>
      </c>
      <c r="BL66" s="19">
        <v>6</v>
      </c>
    </row>
    <row r="67" spans="1:64" ht="13.2">
      <c r="A67" s="20"/>
      <c r="B67" s="20" t="s">
        <v>53</v>
      </c>
      <c r="C67" s="19">
        <v>3</v>
      </c>
      <c r="D67" s="19">
        <v>3</v>
      </c>
      <c r="E67" s="19">
        <v>2</v>
      </c>
      <c r="F67" s="19">
        <v>3</v>
      </c>
      <c r="G67" s="19"/>
      <c r="H67" s="19"/>
      <c r="I67" s="19">
        <v>2</v>
      </c>
      <c r="J67" s="19">
        <v>2</v>
      </c>
      <c r="K67" s="19"/>
      <c r="L67" s="19"/>
      <c r="M67" s="19">
        <v>2</v>
      </c>
      <c r="N67" s="19"/>
      <c r="O67" s="19">
        <v>2</v>
      </c>
      <c r="P67" s="19">
        <v>6</v>
      </c>
      <c r="Q67" s="19">
        <v>1</v>
      </c>
      <c r="R67" s="19"/>
      <c r="S67" s="19">
        <v>1</v>
      </c>
      <c r="T67" s="19">
        <v>1</v>
      </c>
      <c r="U67" s="19"/>
      <c r="V67" s="19">
        <v>3</v>
      </c>
      <c r="W67" s="19">
        <v>5</v>
      </c>
      <c r="X67" s="19">
        <v>5</v>
      </c>
      <c r="Y67" s="19"/>
      <c r="Z67" s="19"/>
      <c r="AA67" s="19">
        <v>2</v>
      </c>
      <c r="AB67" s="19">
        <v>2</v>
      </c>
      <c r="AC67" s="19">
        <v>3</v>
      </c>
      <c r="AD67" s="19">
        <v>2</v>
      </c>
      <c r="AE67" s="19"/>
      <c r="AF67" s="19"/>
      <c r="AG67" s="19"/>
      <c r="AH67" s="19"/>
      <c r="AI67" s="19"/>
      <c r="AJ67" s="19"/>
      <c r="AK67" s="19"/>
      <c r="AL67" s="19">
        <v>6</v>
      </c>
      <c r="AM67" s="19">
        <v>6</v>
      </c>
      <c r="AN67" s="19"/>
      <c r="AO67" s="19"/>
      <c r="AP67" s="19"/>
      <c r="AQ67" s="19"/>
      <c r="AR67" s="19"/>
      <c r="AS67" s="19"/>
      <c r="AT67" s="19"/>
      <c r="AU67" s="19">
        <v>2</v>
      </c>
      <c r="AV67" s="19"/>
      <c r="AW67" s="19"/>
      <c r="AX67" s="19"/>
      <c r="AY67" s="19"/>
      <c r="AZ67" s="19"/>
      <c r="BA67" s="19"/>
      <c r="BB67" s="19"/>
      <c r="BC67" s="19">
        <v>4</v>
      </c>
      <c r="BD67" s="19"/>
      <c r="BE67" s="19">
        <v>6</v>
      </c>
      <c r="BF67" s="19"/>
      <c r="BG67" s="19"/>
      <c r="BH67" s="19"/>
      <c r="BI67" s="19"/>
      <c r="BJ67" s="19"/>
      <c r="BK67" s="19"/>
      <c r="BL67" s="19"/>
    </row>
    <row r="68" spans="1:64" ht="13.2">
      <c r="A68" s="19"/>
      <c r="B68" s="19" t="s">
        <v>54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</row>
    <row r="69" spans="1:64" ht="13.2">
      <c r="A69" s="20"/>
      <c r="B69" s="20" t="s">
        <v>55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19">
        <v>6</v>
      </c>
      <c r="O69" s="19">
        <v>6</v>
      </c>
      <c r="P69" s="19">
        <v>6</v>
      </c>
      <c r="Q69" s="19">
        <v>6</v>
      </c>
      <c r="R69" s="19">
        <v>6</v>
      </c>
      <c r="S69" s="19">
        <v>6</v>
      </c>
      <c r="T69" s="19">
        <v>6</v>
      </c>
      <c r="U69" s="19">
        <v>6</v>
      </c>
      <c r="V69" s="19">
        <v>6</v>
      </c>
      <c r="W69" s="19">
        <v>6</v>
      </c>
      <c r="X69" s="19">
        <v>6</v>
      </c>
      <c r="Y69" s="19">
        <v>6</v>
      </c>
      <c r="Z69" s="19">
        <v>6</v>
      </c>
      <c r="AA69" s="19">
        <v>6</v>
      </c>
      <c r="AB69" s="19">
        <v>6</v>
      </c>
      <c r="AC69" s="19">
        <v>5</v>
      </c>
      <c r="AD69" s="19">
        <v>6</v>
      </c>
      <c r="AE69" s="19">
        <v>6</v>
      </c>
      <c r="AF69" s="19">
        <v>6</v>
      </c>
      <c r="AG69" s="19">
        <v>6</v>
      </c>
      <c r="AH69" s="19">
        <v>6</v>
      </c>
      <c r="AI69" s="19">
        <v>6</v>
      </c>
      <c r="AJ69" s="19">
        <v>6</v>
      </c>
      <c r="AK69" s="19">
        <v>6</v>
      </c>
      <c r="AL69" s="19">
        <v>6</v>
      </c>
      <c r="AM69" s="19">
        <v>6</v>
      </c>
      <c r="AN69" s="19">
        <v>6</v>
      </c>
      <c r="AO69" s="19">
        <v>6</v>
      </c>
      <c r="AP69" s="19">
        <v>6</v>
      </c>
      <c r="AQ69" s="19">
        <v>6</v>
      </c>
      <c r="AR69" s="19">
        <v>6</v>
      </c>
      <c r="AS69" s="19">
        <v>6</v>
      </c>
      <c r="AT69" s="19">
        <v>6</v>
      </c>
      <c r="AU69" s="19">
        <v>6</v>
      </c>
      <c r="AV69" s="19">
        <v>6</v>
      </c>
      <c r="AW69" s="19">
        <v>6</v>
      </c>
      <c r="AX69" s="19">
        <v>6</v>
      </c>
      <c r="AY69" s="19">
        <v>6</v>
      </c>
      <c r="AZ69" s="19">
        <v>6</v>
      </c>
      <c r="BA69" s="19">
        <v>6</v>
      </c>
      <c r="BB69" s="19">
        <v>6</v>
      </c>
      <c r="BC69" s="19">
        <v>6</v>
      </c>
      <c r="BD69" s="19">
        <v>6</v>
      </c>
      <c r="BE69" s="19">
        <v>6</v>
      </c>
      <c r="BF69" s="19">
        <v>6</v>
      </c>
      <c r="BG69" s="19">
        <v>6</v>
      </c>
      <c r="BH69" s="19">
        <v>6</v>
      </c>
      <c r="BI69" s="19">
        <v>6</v>
      </c>
      <c r="BJ69" s="19">
        <v>6</v>
      </c>
      <c r="BK69" s="19">
        <v>6</v>
      </c>
      <c r="BL69" s="19">
        <v>6</v>
      </c>
    </row>
    <row r="70" spans="1:64" ht="13.2">
      <c r="A70" s="20"/>
      <c r="B70" s="20" t="s">
        <v>56</v>
      </c>
      <c r="C70" s="19">
        <v>5</v>
      </c>
      <c r="D70" s="19"/>
      <c r="E70" s="19">
        <v>3</v>
      </c>
      <c r="F70" s="19">
        <v>4</v>
      </c>
      <c r="G70" s="19"/>
      <c r="H70" s="19"/>
      <c r="I70" s="19">
        <v>2</v>
      </c>
      <c r="J70" s="19"/>
      <c r="K70" s="19"/>
      <c r="L70" s="19">
        <v>0</v>
      </c>
      <c r="M70" s="19">
        <v>3</v>
      </c>
      <c r="N70" s="19">
        <v>0</v>
      </c>
      <c r="O70" s="19">
        <v>2</v>
      </c>
      <c r="P70" s="19">
        <v>6</v>
      </c>
      <c r="Q70" s="19">
        <v>3</v>
      </c>
      <c r="R70" s="19"/>
      <c r="S70" s="19">
        <v>1</v>
      </c>
      <c r="T70" s="19">
        <v>1</v>
      </c>
      <c r="U70" s="19"/>
      <c r="V70" s="19">
        <v>2</v>
      </c>
      <c r="W70" s="19">
        <v>5</v>
      </c>
      <c r="X70" s="19">
        <v>5</v>
      </c>
      <c r="Y70" s="19"/>
      <c r="Z70" s="19"/>
      <c r="AA70" s="19">
        <v>3</v>
      </c>
      <c r="AB70" s="19">
        <v>4</v>
      </c>
      <c r="AC70" s="19">
        <v>4</v>
      </c>
      <c r="AD70" s="19">
        <v>4</v>
      </c>
      <c r="AE70" s="19"/>
      <c r="AF70" s="19"/>
      <c r="AG70" s="19"/>
      <c r="AH70" s="19"/>
      <c r="AI70" s="19"/>
      <c r="AJ70" s="19"/>
      <c r="AK70" s="19"/>
      <c r="AL70" s="19"/>
      <c r="AM70" s="19">
        <v>6</v>
      </c>
      <c r="AN70" s="19"/>
      <c r="AO70" s="19"/>
      <c r="AP70" s="19"/>
      <c r="AQ70" s="19"/>
      <c r="AR70" s="19"/>
      <c r="AS70" s="19"/>
      <c r="AT70" s="19"/>
      <c r="AU70" s="19"/>
      <c r="AV70" s="19">
        <v>4</v>
      </c>
      <c r="AW70" s="19"/>
      <c r="AX70" s="19"/>
      <c r="AY70" s="19"/>
      <c r="AZ70" s="19"/>
      <c r="BA70" s="19"/>
      <c r="BB70" s="19"/>
      <c r="BC70" s="19">
        <v>4</v>
      </c>
      <c r="BD70" s="19"/>
      <c r="BE70" s="19"/>
      <c r="BF70" s="19"/>
      <c r="BG70" s="19"/>
      <c r="BH70" s="19"/>
      <c r="BI70" s="19"/>
      <c r="BJ70" s="19"/>
      <c r="BK70" s="19"/>
      <c r="BL70" s="19"/>
    </row>
    <row r="71" spans="1:64" ht="13.2">
      <c r="A71" s="19"/>
      <c r="B71" s="19" t="s">
        <v>57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1:64" ht="13.2">
      <c r="A72" s="20"/>
      <c r="B72" s="20" t="s">
        <v>55</v>
      </c>
      <c r="C72" s="19">
        <v>6</v>
      </c>
      <c r="D72" s="19">
        <v>6</v>
      </c>
      <c r="E72" s="19">
        <v>5</v>
      </c>
      <c r="F72" s="19">
        <v>6</v>
      </c>
      <c r="G72" s="19">
        <v>6</v>
      </c>
      <c r="H72" s="19">
        <v>6</v>
      </c>
      <c r="I72" s="19">
        <v>6</v>
      </c>
      <c r="J72" s="19">
        <v>6</v>
      </c>
      <c r="K72" s="19">
        <v>6</v>
      </c>
      <c r="L72" s="19">
        <v>6</v>
      </c>
      <c r="M72" s="19">
        <v>6</v>
      </c>
      <c r="N72" s="19">
        <v>6</v>
      </c>
      <c r="O72" s="19">
        <v>6</v>
      </c>
      <c r="P72" s="19">
        <v>6</v>
      </c>
      <c r="Q72" s="19">
        <v>6</v>
      </c>
      <c r="R72" s="19">
        <v>6</v>
      </c>
      <c r="S72" s="19">
        <v>6</v>
      </c>
      <c r="T72" s="19">
        <v>6</v>
      </c>
      <c r="U72" s="19">
        <v>6</v>
      </c>
      <c r="V72" s="19">
        <v>6</v>
      </c>
      <c r="W72" s="19">
        <v>6</v>
      </c>
      <c r="X72" s="19">
        <v>5</v>
      </c>
      <c r="Y72" s="19">
        <v>6</v>
      </c>
      <c r="Z72" s="19">
        <v>6</v>
      </c>
      <c r="AA72" s="19">
        <v>3</v>
      </c>
      <c r="AB72" s="19">
        <v>3</v>
      </c>
      <c r="AC72" s="19">
        <v>3</v>
      </c>
      <c r="AD72" s="19">
        <v>3</v>
      </c>
      <c r="AE72" s="19">
        <v>6</v>
      </c>
      <c r="AF72" s="19">
        <v>6</v>
      </c>
      <c r="AG72" s="19">
        <v>6</v>
      </c>
      <c r="AH72" s="19">
        <v>6</v>
      </c>
      <c r="AI72" s="19">
        <v>6</v>
      </c>
      <c r="AJ72" s="19">
        <v>6</v>
      </c>
      <c r="AK72" s="19">
        <v>6</v>
      </c>
      <c r="AL72" s="19">
        <v>6</v>
      </c>
      <c r="AM72" s="19">
        <v>6</v>
      </c>
      <c r="AN72" s="19">
        <v>6</v>
      </c>
      <c r="AO72" s="19">
        <v>6</v>
      </c>
      <c r="AP72" s="19">
        <v>6</v>
      </c>
      <c r="AQ72" s="19">
        <v>6</v>
      </c>
      <c r="AR72" s="19">
        <v>6</v>
      </c>
      <c r="AS72" s="19">
        <v>6</v>
      </c>
      <c r="AT72" s="19">
        <v>6</v>
      </c>
      <c r="AU72" s="19">
        <v>6</v>
      </c>
      <c r="AV72" s="19">
        <v>6</v>
      </c>
      <c r="AW72" s="19">
        <v>6</v>
      </c>
      <c r="AX72" s="19">
        <v>6</v>
      </c>
      <c r="AY72" s="19">
        <v>6</v>
      </c>
      <c r="AZ72" s="19">
        <v>6</v>
      </c>
      <c r="BA72" s="19">
        <v>6</v>
      </c>
      <c r="BB72" s="19">
        <v>6</v>
      </c>
      <c r="BC72" s="19">
        <v>6</v>
      </c>
      <c r="BD72" s="19">
        <v>6</v>
      </c>
      <c r="BE72" s="19">
        <v>6</v>
      </c>
      <c r="BF72" s="19">
        <v>6</v>
      </c>
      <c r="BG72" s="19">
        <v>6</v>
      </c>
      <c r="BH72" s="19">
        <v>6</v>
      </c>
      <c r="BI72" s="19">
        <v>6</v>
      </c>
      <c r="BJ72" s="19">
        <v>6</v>
      </c>
      <c r="BK72" s="19">
        <v>6</v>
      </c>
      <c r="BL72" s="19">
        <v>6</v>
      </c>
    </row>
    <row r="73" spans="1:64" ht="13.2">
      <c r="A73" s="20"/>
      <c r="B73" s="20" t="s">
        <v>56</v>
      </c>
      <c r="C73" s="19"/>
      <c r="D73" s="19">
        <v>3</v>
      </c>
      <c r="E73" s="19">
        <v>3</v>
      </c>
      <c r="F73" s="19">
        <v>5</v>
      </c>
      <c r="G73" s="19"/>
      <c r="H73" s="19"/>
      <c r="I73" s="19">
        <v>2</v>
      </c>
      <c r="J73" s="19"/>
      <c r="K73" s="19"/>
      <c r="L73" s="19"/>
      <c r="M73" s="19">
        <v>2</v>
      </c>
      <c r="N73" s="19"/>
      <c r="O73" s="19">
        <v>2</v>
      </c>
      <c r="P73" s="19">
        <v>6</v>
      </c>
      <c r="Q73" s="19">
        <v>0</v>
      </c>
      <c r="R73" s="19"/>
      <c r="S73" s="19">
        <v>6</v>
      </c>
      <c r="T73" s="19"/>
      <c r="U73" s="19"/>
      <c r="V73" s="19">
        <v>2</v>
      </c>
      <c r="W73" s="19"/>
      <c r="X73" s="19">
        <v>5</v>
      </c>
      <c r="Y73" s="19"/>
      <c r="Z73" s="19"/>
      <c r="AA73" s="19">
        <v>4</v>
      </c>
      <c r="AB73" s="19">
        <v>4</v>
      </c>
      <c r="AC73" s="19">
        <v>4</v>
      </c>
      <c r="AD73" s="19">
        <v>3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>
        <v>3</v>
      </c>
      <c r="BD73" s="19"/>
      <c r="BE73" s="19"/>
      <c r="BF73" s="19"/>
      <c r="BG73" s="19"/>
      <c r="BH73" s="19"/>
      <c r="BI73" s="19"/>
      <c r="BJ73" s="19"/>
      <c r="BK73" s="19"/>
      <c r="BL73" s="19"/>
    </row>
    <row r="74" spans="1:64" ht="13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 spans="1:64" ht="13.2">
      <c r="A75" s="2"/>
    </row>
    <row r="76" spans="1:64" ht="13.2">
      <c r="A76" s="2"/>
      <c r="B76" s="21" t="s">
        <v>58</v>
      </c>
      <c r="C76" s="21">
        <f t="shared" ref="C76:BL76" si="0">0.454*(IF(C10&gt;20, 20, 20-ROUND(C10,0)) + IF(C13&gt;20, 20, 20-ROUND(C13,0)) + C16 + IF(C19&gt;20, 20, C19) + IF(C22&gt;20, 20, C22) + IF(C25&gt;20, 20, C25)) + (C29+C33+C37+C41+C45)*0.109 + (C50+C53+C56+C59)*2.27 + (C63+C66+C69+C72)*2.27</f>
        <v>168.62400000000002</v>
      </c>
      <c r="D76" s="21">
        <f t="shared" si="0"/>
        <v>173.07300000000001</v>
      </c>
      <c r="E76" s="21">
        <f t="shared" si="0"/>
        <v>153.82400000000001</v>
      </c>
      <c r="F76" s="21">
        <f t="shared" si="0"/>
        <v>160.542</v>
      </c>
      <c r="G76" s="21">
        <f t="shared" si="0"/>
        <v>180.25</v>
      </c>
      <c r="H76" s="21">
        <f t="shared" si="0"/>
        <v>185.69600000000003</v>
      </c>
      <c r="I76" s="21">
        <f t="shared" si="0"/>
        <v>194.78500000000003</v>
      </c>
      <c r="J76" s="21">
        <f t="shared" si="0"/>
        <v>180.25</v>
      </c>
      <c r="K76" s="21">
        <f t="shared" si="0"/>
        <v>189.33000000000004</v>
      </c>
      <c r="L76" s="21">
        <f t="shared" si="0"/>
        <v>180.24800000000002</v>
      </c>
      <c r="M76" s="21">
        <f t="shared" si="0"/>
        <v>172.99100000000001</v>
      </c>
      <c r="N76" s="21">
        <f t="shared" si="0"/>
        <v>195.32600000000002</v>
      </c>
      <c r="O76" s="21">
        <f t="shared" si="0"/>
        <v>182.94200000000001</v>
      </c>
      <c r="P76" s="21">
        <f t="shared" si="0"/>
        <v>192.69300000000004</v>
      </c>
      <c r="Q76" s="21">
        <f t="shared" si="0"/>
        <v>177.88800000000001</v>
      </c>
      <c r="R76" s="21">
        <f t="shared" si="0"/>
        <v>184.88200000000001</v>
      </c>
      <c r="S76" s="21">
        <f t="shared" si="0"/>
        <v>173.52800000000002</v>
      </c>
      <c r="T76" s="21">
        <f t="shared" si="0"/>
        <v>189.15000000000003</v>
      </c>
      <c r="U76" s="21">
        <f t="shared" si="0"/>
        <v>180.24600000000001</v>
      </c>
      <c r="V76" s="21">
        <f t="shared" si="0"/>
        <v>137.47399999999999</v>
      </c>
      <c r="W76" s="21">
        <f t="shared" si="0"/>
        <v>149.28200000000001</v>
      </c>
      <c r="X76" s="21">
        <f t="shared" si="0"/>
        <v>154.91400000000002</v>
      </c>
      <c r="Y76" s="21">
        <f t="shared" si="0"/>
        <v>173.98099999999999</v>
      </c>
      <c r="Z76" s="21">
        <f t="shared" si="0"/>
        <v>166.17400000000001</v>
      </c>
      <c r="AA76" s="21">
        <f t="shared" si="0"/>
        <v>152.61000000000001</v>
      </c>
      <c r="AB76" s="21">
        <f t="shared" si="0"/>
        <v>150.05099999999999</v>
      </c>
      <c r="AC76" s="21">
        <f t="shared" si="0"/>
        <v>157.589</v>
      </c>
      <c r="AD76" s="21">
        <f t="shared" si="0"/>
        <v>177.65899999999999</v>
      </c>
      <c r="AE76" s="21">
        <f t="shared" si="0"/>
        <v>194.78300000000002</v>
      </c>
      <c r="AF76" s="21">
        <f t="shared" si="0"/>
        <v>173.53000000000003</v>
      </c>
      <c r="AG76" s="21">
        <f t="shared" si="0"/>
        <v>207.952</v>
      </c>
      <c r="AH76" s="21">
        <f t="shared" si="0"/>
        <v>181.16000000000003</v>
      </c>
      <c r="AI76" s="21">
        <f t="shared" si="0"/>
        <v>153.55000000000001</v>
      </c>
      <c r="AJ76" s="21">
        <f t="shared" si="0"/>
        <v>181.24600000000001</v>
      </c>
      <c r="AK76" s="21">
        <f t="shared" si="0"/>
        <v>182.97400000000005</v>
      </c>
      <c r="AL76" s="21">
        <f t="shared" si="0"/>
        <v>208.76600000000002</v>
      </c>
      <c r="AM76" s="21">
        <f t="shared" si="0"/>
        <v>181.52100000000002</v>
      </c>
      <c r="AN76" s="21">
        <f t="shared" si="0"/>
        <v>189.87800000000004</v>
      </c>
      <c r="AO76" s="21">
        <f t="shared" si="0"/>
        <v>192.03800000000001</v>
      </c>
      <c r="AP76" s="21">
        <f t="shared" si="0"/>
        <v>190.875</v>
      </c>
      <c r="AQ76" s="21">
        <f t="shared" si="0"/>
        <v>174.80400000000003</v>
      </c>
      <c r="AR76" s="21">
        <f t="shared" si="0"/>
        <v>196.14400000000001</v>
      </c>
      <c r="AS76" s="21">
        <f t="shared" si="0"/>
        <v>207.49800000000005</v>
      </c>
      <c r="AT76" s="21">
        <f t="shared" si="0"/>
        <v>200.41200000000003</v>
      </c>
      <c r="AU76" s="21">
        <f t="shared" si="0"/>
        <v>179.43</v>
      </c>
      <c r="AV76" s="21">
        <f t="shared" si="0"/>
        <v>175.52700000000002</v>
      </c>
      <c r="AW76" s="21">
        <f t="shared" si="0"/>
        <v>181.25200000000001</v>
      </c>
      <c r="AX76" s="21">
        <f t="shared" si="0"/>
        <v>167.89999999999998</v>
      </c>
      <c r="AY76" s="21">
        <f t="shared" si="0"/>
        <v>166.17400000000001</v>
      </c>
      <c r="AZ76" s="21">
        <f t="shared" si="0"/>
        <v>159.99600000000001</v>
      </c>
      <c r="BA76" s="21">
        <f t="shared" si="0"/>
        <v>188.61</v>
      </c>
      <c r="BB76" s="21">
        <f t="shared" si="0"/>
        <v>184.33800000000002</v>
      </c>
      <c r="BC76" s="21">
        <f t="shared" si="0"/>
        <v>150.01</v>
      </c>
      <c r="BD76" s="21">
        <f t="shared" si="0"/>
        <v>200.41200000000003</v>
      </c>
      <c r="BE76" s="21">
        <f t="shared" si="0"/>
        <v>188.78800000000001</v>
      </c>
      <c r="BF76" s="21">
        <f t="shared" si="0"/>
        <v>207.49800000000005</v>
      </c>
      <c r="BG76" s="21">
        <f t="shared" si="0"/>
        <v>200.68400000000003</v>
      </c>
      <c r="BH76" s="21">
        <f t="shared" si="0"/>
        <v>199.77600000000001</v>
      </c>
      <c r="BI76" s="21">
        <f t="shared" si="0"/>
        <v>198.86799999999999</v>
      </c>
      <c r="BJ76" s="21">
        <f t="shared" si="0"/>
        <v>179.97800000000001</v>
      </c>
      <c r="BK76" s="21">
        <f t="shared" si="0"/>
        <v>200.68400000000003</v>
      </c>
      <c r="BL76" s="21">
        <f t="shared" si="0"/>
        <v>200.23000000000002</v>
      </c>
    </row>
    <row r="77" spans="1:64" ht="13.2">
      <c r="A77" s="2"/>
      <c r="B77" s="21" t="s">
        <v>59</v>
      </c>
      <c r="C77" s="22">
        <f t="shared" ref="C77:BL77" si="1">0.454*(IF(C11&gt;20, 20, 20-ROUND(C11,0)) + IF(C14&gt;20, 20, 20-ROUND(C14,0)) + C17 + IF(C20&gt;20, 20, C20) + IF(C23&gt;20, 20, C23) + IF(C26&gt;20, 20, C26)) + (C30+C34+C38+C42+C46)*0.109 + (C51+C54+C57+C60)*2.27 + (C64+C67+C70+C73)*2.27</f>
        <v>126.03400000000001</v>
      </c>
      <c r="D77" s="22">
        <f t="shared" si="1"/>
        <v>158.911</v>
      </c>
      <c r="E77" s="22">
        <f t="shared" si="1"/>
        <v>158.27500000000001</v>
      </c>
      <c r="F77" s="22">
        <f t="shared" si="1"/>
        <v>174.71100000000001</v>
      </c>
      <c r="G77" s="22">
        <f t="shared" si="1"/>
        <v>102.608</v>
      </c>
      <c r="H77" s="22">
        <f t="shared" si="1"/>
        <v>105.792</v>
      </c>
      <c r="I77" s="22">
        <f t="shared" si="1"/>
        <v>77.635000000000005</v>
      </c>
      <c r="J77" s="22">
        <f t="shared" si="1"/>
        <v>110.78</v>
      </c>
      <c r="K77" s="22">
        <f t="shared" si="1"/>
        <v>100.792</v>
      </c>
      <c r="L77" s="22">
        <f t="shared" si="1"/>
        <v>106.24200000000002</v>
      </c>
      <c r="M77" s="22">
        <f t="shared" si="1"/>
        <v>96.251000000000005</v>
      </c>
      <c r="N77" s="22">
        <f t="shared" si="1"/>
        <v>102.97200000000001</v>
      </c>
      <c r="O77" s="22">
        <f t="shared" si="1"/>
        <v>77.673999999999992</v>
      </c>
      <c r="P77" s="22">
        <f t="shared" si="1"/>
        <v>155.99900000000002</v>
      </c>
      <c r="Q77" s="22">
        <f t="shared" si="1"/>
        <v>142.65600000000001</v>
      </c>
      <c r="R77" s="22">
        <f t="shared" si="1"/>
        <v>127.762</v>
      </c>
      <c r="S77" s="22">
        <f t="shared" si="1"/>
        <v>162.45200000000003</v>
      </c>
      <c r="T77" s="22">
        <f t="shared" si="1"/>
        <v>141.38200000000001</v>
      </c>
      <c r="U77" s="22">
        <f t="shared" si="1"/>
        <v>154.37200000000001</v>
      </c>
      <c r="V77" s="22">
        <f t="shared" si="1"/>
        <v>176.714</v>
      </c>
      <c r="W77" s="22">
        <f t="shared" si="1"/>
        <v>141.29400000000001</v>
      </c>
      <c r="X77" s="22">
        <f t="shared" si="1"/>
        <v>156.55000000000001</v>
      </c>
      <c r="Y77" s="22">
        <f t="shared" si="1"/>
        <v>122.86300000000001</v>
      </c>
      <c r="Z77" s="22">
        <f t="shared" si="1"/>
        <v>74.911999999999992</v>
      </c>
      <c r="AA77" s="22">
        <f t="shared" si="1"/>
        <v>131.13799999999998</v>
      </c>
      <c r="AB77" s="22">
        <f t="shared" si="1"/>
        <v>120.54899999999999</v>
      </c>
      <c r="AC77" s="22">
        <f t="shared" si="1"/>
        <v>132.53300000000002</v>
      </c>
      <c r="AD77" s="22">
        <f t="shared" si="1"/>
        <v>96.486000000000004</v>
      </c>
      <c r="AE77" s="22">
        <f t="shared" si="1"/>
        <v>83.993000000000009</v>
      </c>
      <c r="AF77" s="22">
        <f t="shared" si="1"/>
        <v>94.346000000000004</v>
      </c>
      <c r="AG77" s="22">
        <f t="shared" si="1"/>
        <v>72.64</v>
      </c>
      <c r="AH77" s="22">
        <f t="shared" si="1"/>
        <v>77.635999999999996</v>
      </c>
      <c r="AI77" s="22">
        <f t="shared" si="1"/>
        <v>150.65000000000003</v>
      </c>
      <c r="AJ77" s="22">
        <f t="shared" si="1"/>
        <v>136.57400000000001</v>
      </c>
      <c r="AK77" s="22">
        <f t="shared" si="1"/>
        <v>105.786</v>
      </c>
      <c r="AL77" s="22">
        <f t="shared" si="1"/>
        <v>122.22</v>
      </c>
      <c r="AM77" s="22">
        <f t="shared" si="1"/>
        <v>136.29900000000001</v>
      </c>
      <c r="AN77" s="22">
        <f t="shared" si="1"/>
        <v>108.42000000000002</v>
      </c>
      <c r="AO77" s="22">
        <f t="shared" si="1"/>
        <v>119.426</v>
      </c>
      <c r="AP77" s="22">
        <f t="shared" si="1"/>
        <v>117.86500000000001</v>
      </c>
      <c r="AQ77" s="22">
        <f t="shared" si="1"/>
        <v>82.63000000000001</v>
      </c>
      <c r="AR77" s="22">
        <f t="shared" si="1"/>
        <v>97.156000000000006</v>
      </c>
      <c r="AS77" s="22">
        <f t="shared" si="1"/>
        <v>65.83</v>
      </c>
      <c r="AT77" s="22">
        <f t="shared" si="1"/>
        <v>90.168000000000006</v>
      </c>
      <c r="AU77" s="22">
        <f t="shared" si="1"/>
        <v>126.12799999999999</v>
      </c>
      <c r="AV77" s="22">
        <f t="shared" si="1"/>
        <v>113.13800000000002</v>
      </c>
      <c r="AW77" s="22">
        <f t="shared" si="1"/>
        <v>92.983999999999995</v>
      </c>
      <c r="AX77" s="22">
        <f t="shared" si="1"/>
        <v>108.783</v>
      </c>
      <c r="AY77" s="22">
        <f t="shared" si="1"/>
        <v>103.97200000000001</v>
      </c>
      <c r="AZ77" s="22">
        <f t="shared" si="1"/>
        <v>137.39400000000001</v>
      </c>
      <c r="BA77" s="22">
        <f t="shared" si="1"/>
        <v>111.05000000000001</v>
      </c>
      <c r="BB77" s="22">
        <f t="shared" si="1"/>
        <v>100.794</v>
      </c>
      <c r="BC77" s="22">
        <f t="shared" si="1"/>
        <v>148.28399999999999</v>
      </c>
      <c r="BD77" s="22">
        <f t="shared" si="1"/>
        <v>80.180000000000007</v>
      </c>
      <c r="BE77" s="22">
        <f t="shared" si="1"/>
        <v>119.49800000000002</v>
      </c>
      <c r="BF77" s="22">
        <f t="shared" si="1"/>
        <v>9.9879999999999995</v>
      </c>
      <c r="BG77" s="22">
        <f t="shared" si="1"/>
        <v>105.33200000000001</v>
      </c>
      <c r="BH77" s="22">
        <f t="shared" si="1"/>
        <v>81.724000000000004</v>
      </c>
      <c r="BI77" s="22">
        <f t="shared" si="1"/>
        <v>95.798000000000002</v>
      </c>
      <c r="BJ77" s="22">
        <f t="shared" si="1"/>
        <v>90.171999999999997</v>
      </c>
      <c r="BK77" s="22">
        <f t="shared" si="1"/>
        <v>98.52200000000002</v>
      </c>
      <c r="BL77" s="22">
        <f t="shared" si="1"/>
        <v>96.25200000000001</v>
      </c>
    </row>
    <row r="78" spans="1:64" ht="13.2">
      <c r="A78" s="23"/>
      <c r="B78" s="24" t="s">
        <v>60</v>
      </c>
      <c r="C78" s="24">
        <f t="shared" ref="C78:BL78" si="2">C76-C77</f>
        <v>42.590000000000018</v>
      </c>
      <c r="D78" s="24">
        <f t="shared" si="2"/>
        <v>14.162000000000006</v>
      </c>
      <c r="E78" s="24">
        <f t="shared" si="2"/>
        <v>-4.4509999999999934</v>
      </c>
      <c r="F78" s="24">
        <f t="shared" si="2"/>
        <v>-14.169000000000011</v>
      </c>
      <c r="G78" s="24">
        <f t="shared" si="2"/>
        <v>77.641999999999996</v>
      </c>
      <c r="H78" s="24">
        <f t="shared" si="2"/>
        <v>79.904000000000025</v>
      </c>
      <c r="I78" s="24">
        <f t="shared" si="2"/>
        <v>117.15000000000002</v>
      </c>
      <c r="J78" s="24">
        <f t="shared" si="2"/>
        <v>69.47</v>
      </c>
      <c r="K78" s="24">
        <f t="shared" si="2"/>
        <v>88.538000000000039</v>
      </c>
      <c r="L78" s="24">
        <f t="shared" si="2"/>
        <v>74.006</v>
      </c>
      <c r="M78" s="24">
        <f t="shared" si="2"/>
        <v>76.740000000000009</v>
      </c>
      <c r="N78" s="24">
        <f t="shared" si="2"/>
        <v>92.354000000000013</v>
      </c>
      <c r="O78" s="24">
        <f t="shared" si="2"/>
        <v>105.26800000000001</v>
      </c>
      <c r="P78" s="24">
        <f t="shared" si="2"/>
        <v>36.694000000000017</v>
      </c>
      <c r="Q78" s="24">
        <f t="shared" si="2"/>
        <v>35.231999999999999</v>
      </c>
      <c r="R78" s="24">
        <f t="shared" si="2"/>
        <v>57.120000000000005</v>
      </c>
      <c r="S78" s="24">
        <f t="shared" si="2"/>
        <v>11.075999999999993</v>
      </c>
      <c r="T78" s="24">
        <f t="shared" si="2"/>
        <v>47.768000000000029</v>
      </c>
      <c r="U78" s="24">
        <f t="shared" si="2"/>
        <v>25.873999999999995</v>
      </c>
      <c r="V78" s="24">
        <f t="shared" si="2"/>
        <v>-39.240000000000009</v>
      </c>
      <c r="W78" s="24">
        <f t="shared" si="2"/>
        <v>7.9879999999999995</v>
      </c>
      <c r="X78" s="24">
        <f t="shared" si="2"/>
        <v>-1.6359999999999957</v>
      </c>
      <c r="Y78" s="24">
        <f t="shared" si="2"/>
        <v>51.117999999999981</v>
      </c>
      <c r="Z78" s="24">
        <f t="shared" si="2"/>
        <v>91.262000000000015</v>
      </c>
      <c r="AA78" s="24">
        <f t="shared" si="2"/>
        <v>21.472000000000037</v>
      </c>
      <c r="AB78" s="24">
        <f t="shared" si="2"/>
        <v>29.501999999999995</v>
      </c>
      <c r="AC78" s="24">
        <f t="shared" si="2"/>
        <v>25.055999999999983</v>
      </c>
      <c r="AD78" s="24">
        <f t="shared" si="2"/>
        <v>81.172999999999988</v>
      </c>
      <c r="AE78" s="24">
        <f t="shared" si="2"/>
        <v>110.79</v>
      </c>
      <c r="AF78" s="24">
        <f t="shared" si="2"/>
        <v>79.184000000000026</v>
      </c>
      <c r="AG78" s="24">
        <f t="shared" si="2"/>
        <v>135.31200000000001</v>
      </c>
      <c r="AH78" s="24">
        <f t="shared" si="2"/>
        <v>103.52400000000003</v>
      </c>
      <c r="AI78" s="24">
        <f t="shared" si="2"/>
        <v>2.8999999999999773</v>
      </c>
      <c r="AJ78" s="24">
        <f t="shared" si="2"/>
        <v>44.671999999999997</v>
      </c>
      <c r="AK78" s="24">
        <f t="shared" si="2"/>
        <v>77.188000000000045</v>
      </c>
      <c r="AL78" s="24">
        <f t="shared" si="2"/>
        <v>86.546000000000021</v>
      </c>
      <c r="AM78" s="24">
        <f t="shared" si="2"/>
        <v>45.222000000000008</v>
      </c>
      <c r="AN78" s="24">
        <f t="shared" si="2"/>
        <v>81.458000000000027</v>
      </c>
      <c r="AO78" s="24">
        <f t="shared" si="2"/>
        <v>72.612000000000009</v>
      </c>
      <c r="AP78" s="24">
        <f t="shared" si="2"/>
        <v>73.009999999999991</v>
      </c>
      <c r="AQ78" s="24">
        <f t="shared" si="2"/>
        <v>92.174000000000021</v>
      </c>
      <c r="AR78" s="24">
        <f t="shared" si="2"/>
        <v>98.988</v>
      </c>
      <c r="AS78" s="24">
        <f t="shared" si="2"/>
        <v>141.66800000000006</v>
      </c>
      <c r="AT78" s="24">
        <f t="shared" si="2"/>
        <v>110.24400000000003</v>
      </c>
      <c r="AU78" s="24">
        <f t="shared" si="2"/>
        <v>53.302000000000021</v>
      </c>
      <c r="AV78" s="24">
        <f t="shared" si="2"/>
        <v>62.388999999999996</v>
      </c>
      <c r="AW78" s="24">
        <f t="shared" si="2"/>
        <v>88.268000000000015</v>
      </c>
      <c r="AX78" s="24">
        <f t="shared" si="2"/>
        <v>59.116999999999976</v>
      </c>
      <c r="AY78" s="24">
        <f t="shared" si="2"/>
        <v>62.201999999999998</v>
      </c>
      <c r="AZ78" s="24">
        <f t="shared" si="2"/>
        <v>22.602000000000004</v>
      </c>
      <c r="BA78" s="24">
        <f t="shared" si="2"/>
        <v>77.56</v>
      </c>
      <c r="BB78" s="24">
        <f t="shared" si="2"/>
        <v>83.544000000000025</v>
      </c>
      <c r="BC78" s="24">
        <f t="shared" si="2"/>
        <v>1.7259999999999991</v>
      </c>
      <c r="BD78" s="24">
        <f t="shared" si="2"/>
        <v>120.23200000000003</v>
      </c>
      <c r="BE78" s="24">
        <f t="shared" si="2"/>
        <v>69.289999999999992</v>
      </c>
      <c r="BF78" s="24">
        <f t="shared" si="2"/>
        <v>197.51000000000005</v>
      </c>
      <c r="BG78" s="24">
        <f t="shared" si="2"/>
        <v>95.352000000000018</v>
      </c>
      <c r="BH78" s="24">
        <f t="shared" si="2"/>
        <v>118.05200000000001</v>
      </c>
      <c r="BI78" s="24">
        <f t="shared" si="2"/>
        <v>103.07</v>
      </c>
      <c r="BJ78" s="24">
        <f t="shared" si="2"/>
        <v>89.806000000000012</v>
      </c>
      <c r="BK78" s="24">
        <f t="shared" si="2"/>
        <v>102.16200000000001</v>
      </c>
      <c r="BL78" s="24">
        <f t="shared" si="2"/>
        <v>103.97800000000001</v>
      </c>
    </row>
    <row r="79" spans="1:64" ht="13.2">
      <c r="A79" s="2"/>
    </row>
    <row r="80" spans="1:64" ht="17.399999999999999">
      <c r="A80" s="26" t="s">
        <v>0</v>
      </c>
      <c r="B80" s="27" t="s">
        <v>65</v>
      </c>
    </row>
    <row r="81" spans="1:64" ht="13.2">
      <c r="A81" s="28"/>
      <c r="B81" s="4" t="s">
        <v>66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13.2">
      <c r="A82" s="28"/>
      <c r="B82" s="28" t="s">
        <v>67</v>
      </c>
      <c r="C82" s="28" t="s">
        <v>68</v>
      </c>
      <c r="D82" s="28" t="s">
        <v>69</v>
      </c>
      <c r="E82" s="28" t="s">
        <v>69</v>
      </c>
      <c r="F82" s="28" t="s">
        <v>69</v>
      </c>
      <c r="G82" s="28"/>
      <c r="H82" s="28"/>
      <c r="I82" s="28" t="s">
        <v>69</v>
      </c>
      <c r="J82" s="28" t="s">
        <v>70</v>
      </c>
      <c r="K82" s="28" t="s">
        <v>70</v>
      </c>
      <c r="L82" s="28"/>
      <c r="M82" s="28" t="s">
        <v>70</v>
      </c>
      <c r="N82" s="28"/>
      <c r="O82" s="28" t="s">
        <v>70</v>
      </c>
      <c r="P82" s="28" t="s">
        <v>71</v>
      </c>
      <c r="Q82" s="28"/>
      <c r="R82" s="28" t="s">
        <v>70</v>
      </c>
      <c r="S82" s="28" t="s">
        <v>70</v>
      </c>
      <c r="T82" s="28" t="s">
        <v>70</v>
      </c>
      <c r="U82" s="28" t="s">
        <v>70</v>
      </c>
      <c r="V82" s="28" t="s">
        <v>70</v>
      </c>
      <c r="W82" s="28" t="s">
        <v>70</v>
      </c>
      <c r="X82" s="28" t="s">
        <v>70</v>
      </c>
      <c r="Y82" s="28" t="s">
        <v>68</v>
      </c>
      <c r="Z82" s="28"/>
      <c r="AA82" s="28" t="s">
        <v>69</v>
      </c>
      <c r="AB82" s="28" t="s">
        <v>69</v>
      </c>
      <c r="AC82" s="28" t="s">
        <v>69</v>
      </c>
      <c r="AD82" s="28" t="s">
        <v>69</v>
      </c>
      <c r="AE82" s="28"/>
      <c r="AF82" s="28" t="s">
        <v>68</v>
      </c>
      <c r="AG82" s="28" t="s">
        <v>70</v>
      </c>
      <c r="AH82" s="28"/>
      <c r="AI82" s="28"/>
      <c r="AJ82" s="28" t="s">
        <v>70</v>
      </c>
      <c r="AK82" s="28" t="s">
        <v>68</v>
      </c>
      <c r="AL82" s="28" t="s">
        <v>68</v>
      </c>
      <c r="AM82" s="28" t="s">
        <v>68</v>
      </c>
      <c r="AN82" s="28" t="s">
        <v>68</v>
      </c>
      <c r="AO82" s="28" t="s">
        <v>68</v>
      </c>
      <c r="AP82" s="28" t="s">
        <v>68</v>
      </c>
      <c r="AQ82" s="28" t="s">
        <v>70</v>
      </c>
      <c r="AR82" s="28"/>
      <c r="AS82" s="28"/>
      <c r="AT82" s="28"/>
      <c r="AU82" s="28" t="s">
        <v>70</v>
      </c>
      <c r="AV82" s="28"/>
      <c r="AW82" s="28"/>
      <c r="AX82" s="28" t="s">
        <v>70</v>
      </c>
      <c r="AY82" s="28" t="s">
        <v>70</v>
      </c>
      <c r="AZ82" s="28" t="s">
        <v>70</v>
      </c>
      <c r="BA82" s="28" t="s">
        <v>68</v>
      </c>
      <c r="BB82" s="28" t="s">
        <v>70</v>
      </c>
      <c r="BC82" s="28" t="s">
        <v>70</v>
      </c>
      <c r="BD82" s="28" t="s">
        <v>70</v>
      </c>
      <c r="BE82" s="28" t="s">
        <v>70</v>
      </c>
      <c r="BF82" s="28" t="s">
        <v>70</v>
      </c>
      <c r="BG82" s="28" t="s">
        <v>70</v>
      </c>
      <c r="BH82" s="28" t="s">
        <v>70</v>
      </c>
      <c r="BI82" s="28" t="s">
        <v>70</v>
      </c>
      <c r="BJ82" s="28" t="s">
        <v>70</v>
      </c>
      <c r="BK82" s="28" t="s">
        <v>70</v>
      </c>
      <c r="BL82" s="28" t="s">
        <v>70</v>
      </c>
    </row>
    <row r="83" spans="1:64" ht="13.2">
      <c r="A83" s="28"/>
      <c r="B83" s="28" t="s">
        <v>72</v>
      </c>
      <c r="C83" s="28" t="s">
        <v>73</v>
      </c>
      <c r="D83" s="28" t="s">
        <v>74</v>
      </c>
      <c r="E83" s="28" t="s">
        <v>74</v>
      </c>
      <c r="F83" s="28" t="s">
        <v>73</v>
      </c>
      <c r="G83" s="28" t="s">
        <v>73</v>
      </c>
      <c r="H83" s="28" t="s">
        <v>74</v>
      </c>
      <c r="I83" s="28" t="s">
        <v>75</v>
      </c>
      <c r="J83" s="28" t="s">
        <v>73</v>
      </c>
      <c r="K83" s="28" t="s">
        <v>74</v>
      </c>
      <c r="L83" s="28" t="s">
        <v>73</v>
      </c>
      <c r="M83" s="28" t="s">
        <v>74</v>
      </c>
      <c r="N83" s="28" t="s">
        <v>74</v>
      </c>
      <c r="O83" s="28" t="s">
        <v>73</v>
      </c>
      <c r="P83" s="28" t="s">
        <v>73</v>
      </c>
      <c r="Q83" s="28" t="s">
        <v>74</v>
      </c>
      <c r="R83" s="28" t="s">
        <v>74</v>
      </c>
      <c r="S83" s="28" t="s">
        <v>73</v>
      </c>
      <c r="T83" s="28" t="s">
        <v>73</v>
      </c>
      <c r="U83" s="28" t="s">
        <v>70</v>
      </c>
      <c r="V83" s="28" t="s">
        <v>73</v>
      </c>
      <c r="W83" s="28" t="s">
        <v>73</v>
      </c>
      <c r="X83" s="28" t="s">
        <v>73</v>
      </c>
      <c r="Y83" s="28" t="s">
        <v>73</v>
      </c>
      <c r="Z83" s="28" t="s">
        <v>74</v>
      </c>
      <c r="AA83" s="28" t="s">
        <v>73</v>
      </c>
      <c r="AB83" s="28" t="s">
        <v>73</v>
      </c>
      <c r="AC83" s="28" t="s">
        <v>73</v>
      </c>
      <c r="AD83" s="28" t="s">
        <v>74</v>
      </c>
      <c r="AE83" s="28" t="s">
        <v>73</v>
      </c>
      <c r="AF83" s="28" t="s">
        <v>74</v>
      </c>
      <c r="AG83" s="28" t="s">
        <v>74</v>
      </c>
      <c r="AH83" s="28"/>
      <c r="AI83" s="28" t="s">
        <v>73</v>
      </c>
      <c r="AJ83" s="28" t="s">
        <v>73</v>
      </c>
      <c r="AK83" s="28" t="s">
        <v>73</v>
      </c>
      <c r="AL83" s="28" t="s">
        <v>73</v>
      </c>
      <c r="AM83" s="28" t="s">
        <v>74</v>
      </c>
      <c r="AN83" s="28" t="s">
        <v>74</v>
      </c>
      <c r="AO83" s="28" t="s">
        <v>74</v>
      </c>
      <c r="AP83" s="28" t="s">
        <v>74</v>
      </c>
      <c r="AQ83" s="28" t="s">
        <v>73</v>
      </c>
      <c r="AR83" s="28" t="s">
        <v>73</v>
      </c>
      <c r="AS83" s="28" t="s">
        <v>74</v>
      </c>
      <c r="AT83" s="28" t="s">
        <v>74</v>
      </c>
      <c r="AU83" s="28" t="s">
        <v>73</v>
      </c>
      <c r="AV83" s="28" t="s">
        <v>73</v>
      </c>
      <c r="AW83" s="28"/>
      <c r="AX83" s="28" t="s">
        <v>74</v>
      </c>
      <c r="AY83" s="28" t="s">
        <v>73</v>
      </c>
      <c r="AZ83" s="28" t="s">
        <v>73</v>
      </c>
      <c r="BA83" s="28" t="s">
        <v>74</v>
      </c>
      <c r="BB83" s="28" t="s">
        <v>73</v>
      </c>
      <c r="BC83" s="28" t="s">
        <v>73</v>
      </c>
      <c r="BD83" s="28" t="s">
        <v>73</v>
      </c>
      <c r="BE83" s="28" t="s">
        <v>74</v>
      </c>
      <c r="BF83" s="28" t="s">
        <v>73</v>
      </c>
      <c r="BG83" s="28" t="s">
        <v>73</v>
      </c>
      <c r="BH83" s="28" t="s">
        <v>73</v>
      </c>
      <c r="BI83" s="28" t="s">
        <v>73</v>
      </c>
      <c r="BJ83" s="28" t="s">
        <v>74</v>
      </c>
      <c r="BK83" s="28" t="s">
        <v>73</v>
      </c>
      <c r="BL83" s="28" t="s">
        <v>73</v>
      </c>
    </row>
    <row r="84" spans="1:64" ht="13.2">
      <c r="A84" s="28"/>
      <c r="B84" s="28" t="s">
        <v>76</v>
      </c>
      <c r="C84" s="28" t="s">
        <v>77</v>
      </c>
      <c r="D84" s="28"/>
      <c r="E84" s="28" t="s">
        <v>78</v>
      </c>
      <c r="F84" s="28" t="s">
        <v>78</v>
      </c>
      <c r="G84" s="28"/>
      <c r="H84" s="28" t="s">
        <v>79</v>
      </c>
      <c r="I84" s="28" t="s">
        <v>80</v>
      </c>
      <c r="J84" s="28"/>
      <c r="K84" s="28" t="s">
        <v>81</v>
      </c>
      <c r="L84" s="28"/>
      <c r="M84" s="28" t="s">
        <v>82</v>
      </c>
      <c r="N84" s="28"/>
      <c r="O84" s="28" t="s">
        <v>83</v>
      </c>
      <c r="P84" s="28" t="s">
        <v>84</v>
      </c>
      <c r="Q84" s="28" t="s">
        <v>85</v>
      </c>
      <c r="R84" s="28" t="s">
        <v>86</v>
      </c>
      <c r="S84" s="28" t="s">
        <v>87</v>
      </c>
      <c r="T84" s="28" t="s">
        <v>77</v>
      </c>
      <c r="U84" s="28" t="s">
        <v>78</v>
      </c>
      <c r="V84" s="28" t="s">
        <v>78</v>
      </c>
      <c r="W84" s="28" t="s">
        <v>88</v>
      </c>
      <c r="X84" s="28" t="s">
        <v>88</v>
      </c>
      <c r="Y84" s="28" t="s">
        <v>84</v>
      </c>
      <c r="Z84" s="28"/>
      <c r="AA84" s="28"/>
      <c r="AB84" s="28"/>
      <c r="AC84" s="28" t="s">
        <v>89</v>
      </c>
      <c r="AD84" s="28" t="s">
        <v>90</v>
      </c>
      <c r="AE84" s="28"/>
      <c r="AF84" s="28"/>
      <c r="AG84" s="28"/>
      <c r="AH84" s="28"/>
      <c r="AI84" s="28"/>
      <c r="AJ84" s="28"/>
      <c r="AK84" s="28" t="s">
        <v>91</v>
      </c>
      <c r="AL84" s="28" t="s">
        <v>92</v>
      </c>
      <c r="AM84" s="28" t="s">
        <v>93</v>
      </c>
      <c r="AN84" s="28" t="s">
        <v>94</v>
      </c>
      <c r="AO84" s="28" t="s">
        <v>95</v>
      </c>
      <c r="AP84" s="28" t="s">
        <v>96</v>
      </c>
      <c r="AQ84" s="28"/>
      <c r="AR84" s="28" t="s">
        <v>97</v>
      </c>
      <c r="AS84" s="28"/>
      <c r="AT84" s="28"/>
      <c r="AU84" s="28"/>
      <c r="AV84" s="28" t="s">
        <v>91</v>
      </c>
      <c r="AW84" s="28"/>
      <c r="AX84" s="28" t="s">
        <v>98</v>
      </c>
      <c r="AY84" s="28"/>
      <c r="AZ84" s="28" t="s">
        <v>77</v>
      </c>
      <c r="BA84" s="28" t="s">
        <v>99</v>
      </c>
      <c r="BB84" s="28" t="s">
        <v>100</v>
      </c>
      <c r="BC84" s="28" t="s">
        <v>101</v>
      </c>
      <c r="BD84" s="28"/>
      <c r="BE84" s="28" t="s">
        <v>102</v>
      </c>
      <c r="BF84" s="28"/>
      <c r="BG84" s="28" t="s">
        <v>84</v>
      </c>
      <c r="BH84" s="28"/>
      <c r="BI84" s="28"/>
      <c r="BJ84" s="28" t="s">
        <v>103</v>
      </c>
      <c r="BK84" s="28"/>
      <c r="BL84" s="28" t="s">
        <v>104</v>
      </c>
    </row>
    <row r="85" spans="1:64" ht="13.2">
      <c r="A85" s="28"/>
      <c r="B85" s="28" t="s">
        <v>105</v>
      </c>
      <c r="C85" s="28" t="s">
        <v>13</v>
      </c>
      <c r="D85" s="28" t="s">
        <v>13</v>
      </c>
      <c r="E85" s="28" t="s">
        <v>13</v>
      </c>
      <c r="F85" s="28" t="s">
        <v>13</v>
      </c>
      <c r="G85" s="28" t="s">
        <v>14</v>
      </c>
      <c r="H85" s="28" t="s">
        <v>10</v>
      </c>
      <c r="I85" s="28" t="s">
        <v>14</v>
      </c>
      <c r="J85" s="28"/>
      <c r="K85" s="28" t="s">
        <v>13</v>
      </c>
      <c r="L85" s="28" t="s">
        <v>10</v>
      </c>
      <c r="M85" s="28" t="s">
        <v>106</v>
      </c>
      <c r="N85" s="28" t="s">
        <v>107</v>
      </c>
      <c r="O85" s="28" t="s">
        <v>10</v>
      </c>
      <c r="P85" s="28" t="s">
        <v>10</v>
      </c>
      <c r="Q85" s="28" t="s">
        <v>10</v>
      </c>
      <c r="R85" s="28" t="s">
        <v>108</v>
      </c>
      <c r="S85" s="28" t="s">
        <v>13</v>
      </c>
      <c r="T85" s="28" t="s">
        <v>10</v>
      </c>
      <c r="U85" s="28" t="s">
        <v>10</v>
      </c>
      <c r="V85" s="28" t="s">
        <v>13</v>
      </c>
      <c r="W85" s="28" t="s">
        <v>14</v>
      </c>
      <c r="X85" s="28" t="s">
        <v>10</v>
      </c>
      <c r="Y85" s="28" t="s">
        <v>10</v>
      </c>
      <c r="Z85" s="28" t="s">
        <v>10</v>
      </c>
      <c r="AA85" s="28" t="s">
        <v>13</v>
      </c>
      <c r="AB85" s="28" t="s">
        <v>13</v>
      </c>
      <c r="AC85" s="28"/>
      <c r="AD85" s="28"/>
      <c r="AE85" s="28"/>
      <c r="AF85" s="28" t="s">
        <v>10</v>
      </c>
      <c r="AG85" s="28" t="s">
        <v>10</v>
      </c>
      <c r="AH85" s="28"/>
      <c r="AI85" s="28" t="s">
        <v>109</v>
      </c>
      <c r="AJ85" s="28" t="s">
        <v>10</v>
      </c>
      <c r="AK85" s="28" t="s">
        <v>14</v>
      </c>
      <c r="AL85" s="28" t="s">
        <v>10</v>
      </c>
      <c r="AM85" s="28" t="s">
        <v>14</v>
      </c>
      <c r="AN85" s="28" t="s">
        <v>14</v>
      </c>
      <c r="AO85" s="28" t="s">
        <v>14</v>
      </c>
      <c r="AP85" s="28" t="s">
        <v>14</v>
      </c>
      <c r="AQ85" s="28" t="s">
        <v>14</v>
      </c>
      <c r="AR85" s="28" t="s">
        <v>14</v>
      </c>
      <c r="AS85" s="28" t="s">
        <v>10</v>
      </c>
      <c r="AT85" s="28" t="s">
        <v>13</v>
      </c>
      <c r="AU85" s="28" t="s">
        <v>14</v>
      </c>
      <c r="AV85" s="28" t="s">
        <v>13</v>
      </c>
      <c r="AW85" s="28"/>
      <c r="AX85" s="28" t="s">
        <v>110</v>
      </c>
      <c r="AY85" s="28" t="s">
        <v>10</v>
      </c>
      <c r="AZ85" s="28" t="s">
        <v>10</v>
      </c>
      <c r="BA85" s="28" t="s">
        <v>10</v>
      </c>
      <c r="BB85" s="28" t="s">
        <v>10</v>
      </c>
      <c r="BC85" s="28" t="s">
        <v>107</v>
      </c>
      <c r="BD85" s="28"/>
      <c r="BE85" s="28" t="s">
        <v>10</v>
      </c>
      <c r="BF85" s="28"/>
      <c r="BG85" s="28" t="s">
        <v>14</v>
      </c>
      <c r="BH85" s="28" t="s">
        <v>14</v>
      </c>
      <c r="BI85" s="28" t="s">
        <v>14</v>
      </c>
      <c r="BJ85" s="28" t="s">
        <v>10</v>
      </c>
      <c r="BK85" s="28" t="s">
        <v>14</v>
      </c>
      <c r="BL85" s="28" t="s">
        <v>14</v>
      </c>
    </row>
    <row r="86" spans="1:64" ht="13.2">
      <c r="A86" s="28"/>
      <c r="B86" s="28" t="s">
        <v>111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13.2">
      <c r="A87" s="28"/>
      <c r="B87" s="28" t="s">
        <v>112</v>
      </c>
      <c r="C87" s="28" t="s">
        <v>113</v>
      </c>
      <c r="D87" s="28" t="s">
        <v>73</v>
      </c>
      <c r="E87" s="28" t="s">
        <v>73</v>
      </c>
      <c r="F87" s="28" t="s">
        <v>73</v>
      </c>
      <c r="G87" s="28"/>
      <c r="H87" s="28"/>
      <c r="I87" s="28" t="s">
        <v>73</v>
      </c>
      <c r="J87" s="28" t="s">
        <v>73</v>
      </c>
      <c r="K87" s="28" t="s">
        <v>73</v>
      </c>
      <c r="L87" s="28"/>
      <c r="M87" s="28" t="s">
        <v>73</v>
      </c>
      <c r="N87" s="28"/>
      <c r="O87" s="28"/>
      <c r="P87" s="28" t="s">
        <v>114</v>
      </c>
      <c r="Q87" s="28" t="s">
        <v>73</v>
      </c>
      <c r="R87" s="28" t="s">
        <v>73</v>
      </c>
      <c r="S87" s="28" t="s">
        <v>73</v>
      </c>
      <c r="T87" s="28" t="s">
        <v>73</v>
      </c>
      <c r="U87" s="28" t="s">
        <v>73</v>
      </c>
      <c r="V87" s="28" t="s">
        <v>73</v>
      </c>
      <c r="W87" s="28" t="s">
        <v>73</v>
      </c>
      <c r="X87" s="28" t="s">
        <v>73</v>
      </c>
      <c r="Y87" s="28" t="s">
        <v>73</v>
      </c>
      <c r="Z87" s="28" t="s">
        <v>73</v>
      </c>
      <c r="AA87" s="28" t="s">
        <v>73</v>
      </c>
      <c r="AB87" s="28" t="s">
        <v>73</v>
      </c>
      <c r="AC87" s="28" t="s">
        <v>73</v>
      </c>
      <c r="AD87" s="28" t="s">
        <v>73</v>
      </c>
      <c r="AE87" s="28" t="s">
        <v>73</v>
      </c>
      <c r="AF87" s="28" t="s">
        <v>73</v>
      </c>
      <c r="AG87" s="28" t="s">
        <v>73</v>
      </c>
      <c r="AH87" s="28" t="s">
        <v>74</v>
      </c>
      <c r="AI87" s="28"/>
      <c r="AJ87" s="28" t="s">
        <v>73</v>
      </c>
      <c r="AK87" s="28" t="s">
        <v>115</v>
      </c>
      <c r="AL87" s="28" t="s">
        <v>113</v>
      </c>
      <c r="AM87" s="28" t="s">
        <v>113</v>
      </c>
      <c r="AN87" s="28" t="s">
        <v>115</v>
      </c>
      <c r="AO87" s="28" t="s">
        <v>113</v>
      </c>
      <c r="AP87" s="28" t="s">
        <v>113</v>
      </c>
      <c r="AQ87" s="28" t="s">
        <v>73</v>
      </c>
      <c r="AR87" s="28" t="s">
        <v>73</v>
      </c>
      <c r="AS87" s="28" t="s">
        <v>73</v>
      </c>
      <c r="AT87" s="28" t="s">
        <v>73</v>
      </c>
      <c r="AU87" s="28"/>
      <c r="AV87" s="28"/>
      <c r="AW87" s="28"/>
      <c r="AX87" s="28"/>
      <c r="AY87" s="28"/>
      <c r="AZ87" s="28"/>
      <c r="BA87" s="28" t="s">
        <v>73</v>
      </c>
      <c r="BB87" s="28" t="s">
        <v>73</v>
      </c>
      <c r="BC87" s="28" t="s">
        <v>73</v>
      </c>
      <c r="BD87" s="28"/>
      <c r="BE87" s="28" t="s">
        <v>73</v>
      </c>
      <c r="BF87" s="28"/>
      <c r="BG87" s="28" t="s">
        <v>73</v>
      </c>
      <c r="BH87" s="28" t="s">
        <v>73</v>
      </c>
      <c r="BI87" s="28" t="s">
        <v>73</v>
      </c>
      <c r="BJ87" s="28" t="s">
        <v>73</v>
      </c>
      <c r="BK87" s="28" t="s">
        <v>73</v>
      </c>
      <c r="BL87" s="28" t="s">
        <v>73</v>
      </c>
    </row>
    <row r="88" spans="1:64" ht="13.2">
      <c r="A88" s="28"/>
      <c r="B88" s="28" t="s">
        <v>116</v>
      </c>
      <c r="C88" s="28" t="s">
        <v>68</v>
      </c>
      <c r="D88" s="28" t="s">
        <v>74</v>
      </c>
      <c r="E88" s="28" t="s">
        <v>74</v>
      </c>
      <c r="F88" s="28" t="s">
        <v>74</v>
      </c>
      <c r="G88" s="28"/>
      <c r="H88" s="28"/>
      <c r="I88" s="28" t="s">
        <v>117</v>
      </c>
      <c r="J88" s="28" t="s">
        <v>74</v>
      </c>
      <c r="K88" s="28"/>
      <c r="L88" s="28"/>
      <c r="M88" s="28" t="s">
        <v>74</v>
      </c>
      <c r="N88" s="28"/>
      <c r="O88" s="28"/>
      <c r="P88" s="28" t="s">
        <v>114</v>
      </c>
      <c r="Q88" s="28" t="s">
        <v>74</v>
      </c>
      <c r="R88" s="28" t="s">
        <v>74</v>
      </c>
      <c r="S88" s="28" t="s">
        <v>74</v>
      </c>
      <c r="T88" s="28" t="s">
        <v>74</v>
      </c>
      <c r="U88" s="28" t="s">
        <v>74</v>
      </c>
      <c r="V88" s="28" t="s">
        <v>74</v>
      </c>
      <c r="W88" s="28" t="s">
        <v>74</v>
      </c>
      <c r="X88" s="28" t="s">
        <v>74</v>
      </c>
      <c r="Y88" s="28" t="s">
        <v>74</v>
      </c>
      <c r="Z88" s="28" t="s">
        <v>74</v>
      </c>
      <c r="AA88" s="28" t="s">
        <v>74</v>
      </c>
      <c r="AB88" s="28" t="s">
        <v>74</v>
      </c>
      <c r="AC88" s="28" t="s">
        <v>74</v>
      </c>
      <c r="AD88" s="28" t="s">
        <v>74</v>
      </c>
      <c r="AE88" s="28" t="s">
        <v>74</v>
      </c>
      <c r="AF88" s="28" t="s">
        <v>74</v>
      </c>
      <c r="AG88" s="28" t="s">
        <v>74</v>
      </c>
      <c r="AH88" s="28" t="s">
        <v>118</v>
      </c>
      <c r="AI88" s="28"/>
      <c r="AJ88" s="28" t="s">
        <v>74</v>
      </c>
      <c r="AK88" s="28" t="s">
        <v>74</v>
      </c>
      <c r="AL88" s="28" t="s">
        <v>68</v>
      </c>
      <c r="AM88" s="28" t="s">
        <v>68</v>
      </c>
      <c r="AN88" s="28" t="s">
        <v>68</v>
      </c>
      <c r="AO88" s="28" t="s">
        <v>68</v>
      </c>
      <c r="AP88" s="28" t="s">
        <v>68</v>
      </c>
      <c r="AQ88" s="28" t="s">
        <v>74</v>
      </c>
      <c r="AR88" s="28" t="s">
        <v>74</v>
      </c>
      <c r="AS88" s="28" t="s">
        <v>74</v>
      </c>
      <c r="AT88" s="28" t="s">
        <v>74</v>
      </c>
      <c r="AU88" s="28" t="s">
        <v>74</v>
      </c>
      <c r="AV88" s="28"/>
      <c r="AW88" s="28"/>
      <c r="AX88" s="28" t="s">
        <v>74</v>
      </c>
      <c r="AY88" s="28" t="s">
        <v>74</v>
      </c>
      <c r="AZ88" s="28" t="s">
        <v>74</v>
      </c>
      <c r="BA88" s="28" t="s">
        <v>74</v>
      </c>
      <c r="BB88" s="28" t="s">
        <v>74</v>
      </c>
      <c r="BC88" s="28" t="s">
        <v>74</v>
      </c>
      <c r="BD88" s="28"/>
      <c r="BE88" s="28" t="s">
        <v>74</v>
      </c>
      <c r="BF88" s="28"/>
      <c r="BG88" s="28" t="s">
        <v>74</v>
      </c>
      <c r="BH88" s="28" t="s">
        <v>74</v>
      </c>
      <c r="BI88" s="28" t="s">
        <v>74</v>
      </c>
      <c r="BJ88" s="28" t="s">
        <v>74</v>
      </c>
      <c r="BK88" s="28" t="s">
        <v>74</v>
      </c>
      <c r="BL88" s="28" t="s">
        <v>74</v>
      </c>
    </row>
    <row r="89" spans="1:64" ht="13.2">
      <c r="A89" s="28"/>
      <c r="B89" s="28" t="s">
        <v>119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13.2">
      <c r="A90" s="28"/>
      <c r="B90" s="28" t="s">
        <v>120</v>
      </c>
      <c r="C90" s="28">
        <v>1</v>
      </c>
      <c r="D90" s="28"/>
      <c r="E90" s="28"/>
      <c r="F90" s="28"/>
      <c r="G90" s="28"/>
      <c r="H90" s="28">
        <v>1</v>
      </c>
      <c r="I90" s="28">
        <v>1</v>
      </c>
      <c r="J90" s="28"/>
      <c r="K90" s="28">
        <v>1</v>
      </c>
      <c r="L90" s="28"/>
      <c r="M90" s="28">
        <v>1</v>
      </c>
      <c r="N90" s="28"/>
      <c r="O90" s="28">
        <v>1</v>
      </c>
      <c r="P90" s="28">
        <v>1</v>
      </c>
      <c r="Q90" s="28">
        <v>1</v>
      </c>
      <c r="R90" s="28"/>
      <c r="S90" s="28"/>
      <c r="T90" s="28">
        <v>1</v>
      </c>
      <c r="U90" s="28">
        <v>1</v>
      </c>
      <c r="V90" s="28">
        <v>1</v>
      </c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>
        <v>1</v>
      </c>
      <c r="AL90" s="28"/>
      <c r="AM90" s="28"/>
      <c r="AN90" s="28">
        <v>1</v>
      </c>
      <c r="AO90" s="28">
        <v>1</v>
      </c>
      <c r="AP90" s="28">
        <v>1</v>
      </c>
      <c r="AQ90" s="28">
        <v>1</v>
      </c>
      <c r="AR90" s="28"/>
      <c r="AS90" s="28"/>
      <c r="AT90" s="28"/>
      <c r="AU90" s="28"/>
      <c r="AV90" s="28">
        <v>1</v>
      </c>
      <c r="AW90" s="28"/>
      <c r="AX90" s="28"/>
      <c r="AY90" s="28">
        <v>1</v>
      </c>
      <c r="AZ90" s="28"/>
      <c r="BA90" s="28"/>
      <c r="BB90" s="28"/>
      <c r="BC90" s="28"/>
      <c r="BD90" s="28"/>
      <c r="BE90" s="28"/>
      <c r="BF90" s="28">
        <v>1</v>
      </c>
      <c r="BG90" s="28">
        <v>1</v>
      </c>
      <c r="BH90" s="28"/>
      <c r="BI90" s="28"/>
      <c r="BJ90" s="28">
        <v>1</v>
      </c>
      <c r="BK90" s="28"/>
      <c r="BL90" s="28"/>
    </row>
    <row r="91" spans="1:64" ht="13.2">
      <c r="A91" s="28"/>
      <c r="B91" s="28" t="s">
        <v>121</v>
      </c>
      <c r="C91" s="28">
        <v>1</v>
      </c>
      <c r="D91" s="28">
        <v>1</v>
      </c>
      <c r="E91" s="28">
        <v>1</v>
      </c>
      <c r="F91" s="28"/>
      <c r="G91" s="28">
        <v>1</v>
      </c>
      <c r="H91" s="28"/>
      <c r="I91" s="28"/>
      <c r="J91" s="28"/>
      <c r="K91" s="28">
        <v>1</v>
      </c>
      <c r="L91" s="28">
        <v>1</v>
      </c>
      <c r="M91" s="28">
        <v>1</v>
      </c>
      <c r="N91" s="28">
        <v>1</v>
      </c>
      <c r="O91" s="28">
        <v>1</v>
      </c>
      <c r="P91" s="28">
        <v>1</v>
      </c>
      <c r="Q91" s="28">
        <v>1</v>
      </c>
      <c r="R91" s="28"/>
      <c r="S91" s="28"/>
      <c r="T91" s="28"/>
      <c r="U91" s="28"/>
      <c r="V91" s="28">
        <v>1</v>
      </c>
      <c r="W91" s="28"/>
      <c r="X91" s="28"/>
      <c r="Y91" s="28"/>
      <c r="Z91" s="28"/>
      <c r="AA91" s="28">
        <v>1</v>
      </c>
      <c r="AB91" s="28">
        <v>1</v>
      </c>
      <c r="AC91" s="28"/>
      <c r="AD91" s="28"/>
      <c r="AE91" s="28"/>
      <c r="AF91" s="28"/>
      <c r="AG91" s="28"/>
      <c r="AH91" s="28"/>
      <c r="AI91" s="28"/>
      <c r="AJ91" s="28"/>
      <c r="AK91" s="28">
        <v>1</v>
      </c>
      <c r="AL91" s="28"/>
      <c r="AM91" s="28"/>
      <c r="AN91" s="28">
        <v>1</v>
      </c>
      <c r="AO91" s="28">
        <v>1</v>
      </c>
      <c r="AP91" s="28">
        <v>1</v>
      </c>
      <c r="AQ91" s="28"/>
      <c r="AR91" s="28">
        <v>1</v>
      </c>
      <c r="AS91" s="28"/>
      <c r="AT91" s="28">
        <v>1</v>
      </c>
      <c r="AU91" s="28"/>
      <c r="AV91" s="28"/>
      <c r="AW91" s="28"/>
      <c r="AX91" s="28"/>
      <c r="AY91" s="28"/>
      <c r="AZ91" s="28">
        <v>1</v>
      </c>
      <c r="BA91" s="28"/>
      <c r="BB91" s="28"/>
      <c r="BC91" s="28"/>
      <c r="BD91" s="28"/>
      <c r="BE91" s="28"/>
      <c r="BF91" s="28">
        <v>1</v>
      </c>
      <c r="BG91" s="28">
        <v>1</v>
      </c>
      <c r="BH91" s="28"/>
      <c r="BI91" s="28"/>
      <c r="BJ91" s="28"/>
      <c r="BK91" s="28"/>
      <c r="BL91" s="28"/>
    </row>
    <row r="92" spans="1:64" ht="13.2">
      <c r="A92" s="28"/>
      <c r="B92" s="28" t="s">
        <v>122</v>
      </c>
      <c r="C92" s="28">
        <v>1</v>
      </c>
      <c r="D92" s="28"/>
      <c r="E92" s="28"/>
      <c r="F92" s="28"/>
      <c r="G92" s="28"/>
      <c r="H92" s="28"/>
      <c r="I92" s="28">
        <v>1</v>
      </c>
      <c r="J92" s="28">
        <v>1</v>
      </c>
      <c r="K92" s="28"/>
      <c r="L92" s="28"/>
      <c r="M92" s="28"/>
      <c r="N92" s="28"/>
      <c r="O92" s="28">
        <v>1</v>
      </c>
      <c r="P92" s="28">
        <v>1</v>
      </c>
      <c r="Q92" s="28">
        <v>1</v>
      </c>
      <c r="R92" s="28"/>
      <c r="S92" s="28"/>
      <c r="T92" s="28"/>
      <c r="U92" s="28"/>
      <c r="V92" s="28">
        <v>1</v>
      </c>
      <c r="W92" s="28"/>
      <c r="X92" s="28"/>
      <c r="Y92" s="28">
        <v>1</v>
      </c>
      <c r="Z92" s="28"/>
      <c r="AA92" s="28"/>
      <c r="AB92" s="28"/>
      <c r="AC92" s="28"/>
      <c r="AD92" s="28"/>
      <c r="AE92" s="28"/>
      <c r="AF92" s="28">
        <v>1</v>
      </c>
      <c r="AG92" s="28"/>
      <c r="AH92" s="28"/>
      <c r="AI92" s="28"/>
      <c r="AJ92" s="28"/>
      <c r="AK92" s="28">
        <v>1</v>
      </c>
      <c r="AL92" s="28"/>
      <c r="AM92" s="28"/>
      <c r="AN92" s="28">
        <v>1</v>
      </c>
      <c r="AO92" s="28">
        <v>1</v>
      </c>
      <c r="AP92" s="28">
        <v>1</v>
      </c>
      <c r="AQ92" s="28"/>
      <c r="AR92" s="28">
        <v>1</v>
      </c>
      <c r="AS92" s="28">
        <v>1</v>
      </c>
      <c r="AT92" s="28">
        <v>1</v>
      </c>
      <c r="AU92" s="28"/>
      <c r="AV92" s="28"/>
      <c r="AW92" s="28"/>
      <c r="AX92" s="28"/>
      <c r="AY92" s="28"/>
      <c r="AZ92" s="28"/>
      <c r="BA92" s="28">
        <v>1</v>
      </c>
      <c r="BB92" s="28">
        <v>1</v>
      </c>
      <c r="BC92" s="28"/>
      <c r="BD92" s="28"/>
      <c r="BE92" s="28"/>
      <c r="BF92" s="28">
        <v>1</v>
      </c>
      <c r="BG92" s="28">
        <v>1</v>
      </c>
      <c r="BH92" s="28"/>
      <c r="BI92" s="28"/>
      <c r="BJ92" s="28"/>
      <c r="BK92" s="28"/>
      <c r="BL92" s="28"/>
    </row>
    <row r="93" spans="1:64" ht="13.2">
      <c r="A93" s="28"/>
      <c r="B93" s="28" t="s">
        <v>123</v>
      </c>
      <c r="C93" s="28">
        <v>1</v>
      </c>
      <c r="D93" s="28">
        <v>1</v>
      </c>
      <c r="E93" s="28">
        <v>1</v>
      </c>
      <c r="F93" s="28">
        <v>1</v>
      </c>
      <c r="G93" s="28"/>
      <c r="H93" s="28"/>
      <c r="I93" s="28"/>
      <c r="J93" s="28"/>
      <c r="K93" s="28">
        <v>1</v>
      </c>
      <c r="L93" s="28"/>
      <c r="M93" s="28">
        <v>1</v>
      </c>
      <c r="N93" s="28"/>
      <c r="O93" s="28">
        <v>1</v>
      </c>
      <c r="P93" s="28">
        <v>1</v>
      </c>
      <c r="Q93" s="28">
        <v>1</v>
      </c>
      <c r="R93" s="28"/>
      <c r="S93" s="28"/>
      <c r="T93" s="28"/>
      <c r="U93" s="28"/>
      <c r="V93" s="28">
        <v>1</v>
      </c>
      <c r="W93" s="28"/>
      <c r="X93" s="28"/>
      <c r="Y93" s="28"/>
      <c r="Z93" s="28"/>
      <c r="AA93" s="28">
        <v>1</v>
      </c>
      <c r="AB93" s="28">
        <v>1</v>
      </c>
      <c r="AC93" s="28">
        <v>1</v>
      </c>
      <c r="AD93" s="28">
        <v>1</v>
      </c>
      <c r="AE93" s="28"/>
      <c r="AF93" s="28"/>
      <c r="AG93" s="28"/>
      <c r="AH93" s="28"/>
      <c r="AI93" s="28"/>
      <c r="AJ93" s="28">
        <v>1</v>
      </c>
      <c r="AK93" s="28">
        <v>1</v>
      </c>
      <c r="AL93" s="28">
        <v>1</v>
      </c>
      <c r="AM93" s="28">
        <v>1</v>
      </c>
      <c r="AN93" s="28">
        <v>1</v>
      </c>
      <c r="AO93" s="28">
        <v>1</v>
      </c>
      <c r="AP93" s="28"/>
      <c r="AQ93" s="28"/>
      <c r="AR93" s="28">
        <v>1</v>
      </c>
      <c r="AS93" s="28"/>
      <c r="AT93" s="28"/>
      <c r="AU93" s="28"/>
      <c r="AV93" s="28"/>
      <c r="AW93" s="28"/>
      <c r="AX93" s="28"/>
      <c r="AY93" s="28"/>
      <c r="AZ93" s="28"/>
      <c r="BA93" s="28">
        <v>1</v>
      </c>
      <c r="BB93" s="28">
        <v>1</v>
      </c>
      <c r="BC93" s="28">
        <v>1</v>
      </c>
      <c r="BD93" s="28"/>
      <c r="BE93" s="28">
        <v>1</v>
      </c>
      <c r="BF93" s="28">
        <v>1</v>
      </c>
      <c r="BG93" s="28"/>
      <c r="BH93" s="28">
        <v>1</v>
      </c>
      <c r="BI93" s="28">
        <v>1</v>
      </c>
      <c r="BJ93" s="28"/>
      <c r="BK93" s="28">
        <v>1</v>
      </c>
      <c r="BL93" s="28">
        <v>1</v>
      </c>
    </row>
    <row r="94" spans="1:64" ht="13.2">
      <c r="A94" s="28"/>
      <c r="B94" s="28" t="s">
        <v>124</v>
      </c>
      <c r="C94" s="28">
        <v>1</v>
      </c>
      <c r="D94" s="28"/>
      <c r="E94" s="28"/>
      <c r="F94" s="28"/>
      <c r="G94" s="28"/>
      <c r="H94" s="28"/>
      <c r="I94" s="28">
        <v>1</v>
      </c>
      <c r="J94" s="28"/>
      <c r="K94" s="28"/>
      <c r="L94" s="28"/>
      <c r="M94" s="28"/>
      <c r="N94" s="28"/>
      <c r="O94" s="28">
        <v>1</v>
      </c>
      <c r="P94" s="28">
        <v>1</v>
      </c>
      <c r="Q94" s="28">
        <v>1</v>
      </c>
      <c r="R94" s="28"/>
      <c r="S94" s="28"/>
      <c r="T94" s="28"/>
      <c r="U94" s="28"/>
      <c r="V94" s="28">
        <v>1</v>
      </c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>
        <v>1</v>
      </c>
      <c r="AL94" s="28"/>
      <c r="AM94" s="28"/>
      <c r="AN94" s="28">
        <v>1</v>
      </c>
      <c r="AO94" s="28">
        <v>1</v>
      </c>
      <c r="AP94" s="28">
        <v>1</v>
      </c>
      <c r="AQ94" s="28"/>
      <c r="AR94" s="28"/>
      <c r="AS94" s="28"/>
      <c r="AT94" s="28"/>
      <c r="AU94" s="28">
        <v>1</v>
      </c>
      <c r="AV94" s="28"/>
      <c r="AW94" s="28"/>
      <c r="AX94" s="28">
        <v>1</v>
      </c>
      <c r="AY94" s="28"/>
      <c r="AZ94" s="28"/>
      <c r="BA94" s="28">
        <v>1</v>
      </c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13.2">
      <c r="A95" s="28"/>
      <c r="B95" s="28" t="s">
        <v>125</v>
      </c>
      <c r="C95" s="28">
        <v>1</v>
      </c>
      <c r="D95" s="28">
        <v>1</v>
      </c>
      <c r="E95" s="28">
        <v>1</v>
      </c>
      <c r="F95" s="28"/>
      <c r="G95" s="28">
        <v>1</v>
      </c>
      <c r="H95" s="28"/>
      <c r="I95" s="28"/>
      <c r="J95" s="28"/>
      <c r="K95" s="28">
        <v>1</v>
      </c>
      <c r="L95" s="28"/>
      <c r="M95" s="28"/>
      <c r="N95" s="28"/>
      <c r="O95" s="28"/>
      <c r="P95" s="28">
        <v>1</v>
      </c>
      <c r="Q95" s="28">
        <v>1</v>
      </c>
      <c r="R95" s="28">
        <v>1</v>
      </c>
      <c r="S95" s="28">
        <v>1</v>
      </c>
      <c r="T95" s="28">
        <v>1</v>
      </c>
      <c r="U95" s="28">
        <v>1</v>
      </c>
      <c r="V95" s="28">
        <v>1</v>
      </c>
      <c r="W95" s="28"/>
      <c r="X95" s="28"/>
      <c r="Y95" s="28">
        <v>1</v>
      </c>
      <c r="Z95" s="28">
        <v>1</v>
      </c>
      <c r="AA95" s="28">
        <v>1</v>
      </c>
      <c r="AB95" s="28">
        <v>1</v>
      </c>
      <c r="AC95" s="28">
        <v>1</v>
      </c>
      <c r="AD95" s="28">
        <v>1</v>
      </c>
      <c r="AE95" s="28">
        <v>1</v>
      </c>
      <c r="AF95" s="28"/>
      <c r="AG95" s="28">
        <v>1</v>
      </c>
      <c r="AH95" s="28"/>
      <c r="AI95" s="28">
        <v>1</v>
      </c>
      <c r="AJ95" s="28"/>
      <c r="AK95" s="28">
        <v>1</v>
      </c>
      <c r="AL95" s="28"/>
      <c r="AM95" s="28"/>
      <c r="AN95" s="28">
        <v>1</v>
      </c>
      <c r="AO95" s="28">
        <v>1</v>
      </c>
      <c r="AP95" s="28">
        <v>1</v>
      </c>
      <c r="AQ95" s="28"/>
      <c r="AR95" s="28">
        <v>1</v>
      </c>
      <c r="AS95" s="28"/>
      <c r="AT95" s="28"/>
      <c r="AU95" s="28"/>
      <c r="AV95" s="28"/>
      <c r="AW95" s="28"/>
      <c r="AX95" s="28">
        <v>1</v>
      </c>
      <c r="AY95" s="28"/>
      <c r="AZ95" s="28"/>
      <c r="BA95" s="28">
        <v>1</v>
      </c>
      <c r="BB95" s="28">
        <v>1</v>
      </c>
      <c r="BC95" s="28">
        <v>1</v>
      </c>
      <c r="BD95" s="28"/>
      <c r="BE95" s="28"/>
      <c r="BF95" s="28">
        <v>1</v>
      </c>
      <c r="BG95" s="28">
        <v>1</v>
      </c>
      <c r="BH95" s="28"/>
      <c r="BI95" s="28"/>
      <c r="BJ95" s="28"/>
      <c r="BK95" s="28"/>
      <c r="BL95" s="28"/>
    </row>
    <row r="96" spans="1:64" ht="13.2">
      <c r="A96" s="28"/>
      <c r="B96" s="28" t="s">
        <v>126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>
        <v>1</v>
      </c>
      <c r="AO96" s="28">
        <v>1</v>
      </c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13.2">
      <c r="A97" s="28"/>
      <c r="B97" s="28" t="s">
        <v>127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13.2">
      <c r="A98" s="28"/>
      <c r="B98" s="28" t="s">
        <v>128</v>
      </c>
      <c r="C98" s="28">
        <v>1</v>
      </c>
      <c r="D98" s="28">
        <v>1</v>
      </c>
      <c r="E98" s="28">
        <v>1</v>
      </c>
      <c r="F98" s="28">
        <v>1</v>
      </c>
      <c r="G98" s="28">
        <v>1</v>
      </c>
      <c r="H98" s="28">
        <v>1</v>
      </c>
      <c r="I98" s="28">
        <v>1</v>
      </c>
      <c r="J98" s="28">
        <v>1</v>
      </c>
      <c r="K98" s="28">
        <v>1</v>
      </c>
      <c r="L98" s="28">
        <v>1</v>
      </c>
      <c r="M98" s="28">
        <v>1</v>
      </c>
      <c r="N98" s="28">
        <v>1</v>
      </c>
      <c r="O98" s="28">
        <v>1</v>
      </c>
      <c r="P98" s="28">
        <v>1</v>
      </c>
      <c r="Q98" s="28">
        <v>1</v>
      </c>
      <c r="R98" s="28">
        <v>1</v>
      </c>
      <c r="S98" s="28">
        <v>1</v>
      </c>
      <c r="T98" s="28">
        <v>1</v>
      </c>
      <c r="U98" s="28">
        <v>1</v>
      </c>
      <c r="V98" s="28">
        <v>1</v>
      </c>
      <c r="W98" s="28">
        <v>1</v>
      </c>
      <c r="X98" s="28">
        <v>1</v>
      </c>
      <c r="Y98" s="28">
        <v>1</v>
      </c>
      <c r="Z98" s="28">
        <v>1</v>
      </c>
      <c r="AA98" s="28">
        <v>1</v>
      </c>
      <c r="AB98" s="28">
        <v>1</v>
      </c>
      <c r="AC98" s="28">
        <v>1</v>
      </c>
      <c r="AD98" s="28">
        <v>1</v>
      </c>
      <c r="AE98" s="28">
        <v>1</v>
      </c>
      <c r="AF98" s="28">
        <v>1</v>
      </c>
      <c r="AG98" s="28">
        <v>1</v>
      </c>
      <c r="AH98" s="28">
        <v>1</v>
      </c>
      <c r="AI98" s="28"/>
      <c r="AJ98" s="28">
        <v>1</v>
      </c>
      <c r="AK98" s="28">
        <v>1</v>
      </c>
      <c r="AL98" s="28">
        <v>1</v>
      </c>
      <c r="AM98" s="28">
        <v>1</v>
      </c>
      <c r="AN98" s="28">
        <v>1</v>
      </c>
      <c r="AO98" s="28">
        <v>1</v>
      </c>
      <c r="AP98" s="28">
        <v>1</v>
      </c>
      <c r="AQ98" s="28">
        <v>1</v>
      </c>
      <c r="AR98" s="28">
        <v>1</v>
      </c>
      <c r="AS98" s="28">
        <v>1</v>
      </c>
      <c r="AT98" s="28"/>
      <c r="AU98" s="28">
        <v>1</v>
      </c>
      <c r="AV98" s="28"/>
      <c r="AW98" s="28"/>
      <c r="AX98" s="28">
        <v>1</v>
      </c>
      <c r="AY98" s="28">
        <v>1</v>
      </c>
      <c r="AZ98" s="28">
        <v>1</v>
      </c>
      <c r="BA98" s="28">
        <v>1</v>
      </c>
      <c r="BB98" s="28">
        <v>1</v>
      </c>
      <c r="BC98" s="28">
        <v>1</v>
      </c>
      <c r="BD98" s="28">
        <v>1</v>
      </c>
      <c r="BE98" s="28">
        <v>1</v>
      </c>
      <c r="BF98" s="28">
        <v>1</v>
      </c>
      <c r="BG98" s="28">
        <v>1</v>
      </c>
      <c r="BH98" s="28">
        <v>1</v>
      </c>
      <c r="BI98" s="28">
        <v>1</v>
      </c>
      <c r="BJ98" s="28">
        <v>1</v>
      </c>
      <c r="BK98" s="28">
        <v>1</v>
      </c>
      <c r="BL98" s="28">
        <v>1</v>
      </c>
    </row>
    <row r="99" spans="1:64" ht="13.2">
      <c r="A99" s="28"/>
      <c r="B99" s="28" t="s">
        <v>129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13.2">
      <c r="A100" s="28"/>
      <c r="B100" s="28" t="s">
        <v>130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13.2">
      <c r="A101" s="28"/>
      <c r="B101" s="28" t="s">
        <v>131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13.2">
      <c r="A102" s="28"/>
      <c r="B102" s="28" t="s">
        <v>132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13.2">
      <c r="A103" s="7"/>
      <c r="B103" s="29" t="s">
        <v>133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 spans="1:64" ht="13.2">
      <c r="A104" s="7"/>
      <c r="B104" s="7" t="s">
        <v>134</v>
      </c>
      <c r="C104" s="7">
        <v>1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0</v>
      </c>
      <c r="J104" s="7">
        <v>1</v>
      </c>
      <c r="K104" s="7">
        <v>1</v>
      </c>
      <c r="L104" s="7">
        <v>1</v>
      </c>
      <c r="M104" s="7">
        <v>0</v>
      </c>
      <c r="N104" s="7">
        <v>1</v>
      </c>
      <c r="O104" s="7">
        <v>0</v>
      </c>
      <c r="P104" s="7">
        <v>0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0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0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0</v>
      </c>
      <c r="AJ104" s="7">
        <v>1</v>
      </c>
      <c r="AK104" s="7">
        <v>1</v>
      </c>
      <c r="AL104" s="7">
        <v>1</v>
      </c>
      <c r="AM104" s="7">
        <v>1</v>
      </c>
      <c r="AN104" s="7"/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/>
      <c r="AY104" s="7">
        <v>1</v>
      </c>
      <c r="AZ104" s="7"/>
      <c r="BA104" s="7">
        <v>1</v>
      </c>
      <c r="BB104" s="7">
        <v>1</v>
      </c>
      <c r="BC104" s="7">
        <v>0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0</v>
      </c>
      <c r="BK104" s="7">
        <v>1</v>
      </c>
      <c r="BL104" s="7">
        <v>1</v>
      </c>
    </row>
    <row r="105" spans="1:64" ht="13.2">
      <c r="A105" s="7"/>
      <c r="B105" s="7" t="s">
        <v>135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 spans="1:64" ht="13.2">
      <c r="A106" s="7"/>
      <c r="B106" s="7" t="s">
        <v>136</v>
      </c>
      <c r="C106" s="7">
        <v>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0</v>
      </c>
      <c r="J106" s="7">
        <v>1</v>
      </c>
      <c r="K106" s="7">
        <v>1</v>
      </c>
      <c r="L106" s="7">
        <v>1</v>
      </c>
      <c r="M106" s="7">
        <v>0</v>
      </c>
      <c r="N106" s="7">
        <v>1</v>
      </c>
      <c r="O106" s="7">
        <v>0</v>
      </c>
      <c r="P106" s="7">
        <v>0</v>
      </c>
      <c r="Q106" s="7">
        <v>1</v>
      </c>
      <c r="R106" s="7">
        <v>1</v>
      </c>
      <c r="S106" s="7">
        <v>1</v>
      </c>
      <c r="T106" s="7"/>
      <c r="U106" s="7"/>
      <c r="V106" s="7">
        <v>0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0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0</v>
      </c>
      <c r="AJ106" s="7">
        <v>1</v>
      </c>
      <c r="AK106" s="7">
        <v>1</v>
      </c>
      <c r="AL106" s="7">
        <v>0</v>
      </c>
      <c r="AM106" s="7">
        <v>1</v>
      </c>
      <c r="AN106" s="7"/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0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0</v>
      </c>
      <c r="BK106" s="7">
        <v>1</v>
      </c>
      <c r="BL106" s="7">
        <v>1</v>
      </c>
    </row>
    <row r="107" spans="1:64" ht="13.2">
      <c r="A107" s="7"/>
      <c r="B107" s="7" t="s">
        <v>137</v>
      </c>
      <c r="C107" s="7">
        <v>0</v>
      </c>
      <c r="D107" s="7">
        <v>1</v>
      </c>
      <c r="E107" s="7">
        <v>0</v>
      </c>
      <c r="F107" s="7">
        <v>0</v>
      </c>
      <c r="G107" s="7">
        <v>0</v>
      </c>
      <c r="H107" s="7">
        <v>1</v>
      </c>
      <c r="I107" s="7">
        <v>0</v>
      </c>
      <c r="J107" s="7">
        <v>0</v>
      </c>
      <c r="K107" s="7">
        <v>0</v>
      </c>
      <c r="L107" s="7">
        <v>1</v>
      </c>
      <c r="M107" s="7">
        <v>0</v>
      </c>
      <c r="N107" s="7">
        <v>1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/>
      <c r="AA107" s="7">
        <v>0</v>
      </c>
      <c r="AB107" s="7">
        <v>0</v>
      </c>
      <c r="AC107" s="7"/>
      <c r="AD107" s="7">
        <v>0</v>
      </c>
      <c r="AE107" s="7"/>
      <c r="AF107" s="7"/>
      <c r="AG107" s="7">
        <v>0</v>
      </c>
      <c r="AH107" s="7"/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/>
      <c r="AO107" s="7">
        <v>0</v>
      </c>
      <c r="AP107" s="7">
        <v>0</v>
      </c>
      <c r="AQ107" s="7">
        <v>1</v>
      </c>
      <c r="AR107" s="7">
        <v>0</v>
      </c>
      <c r="AS107" s="7">
        <v>0</v>
      </c>
      <c r="AT107" s="7">
        <v>0</v>
      </c>
      <c r="AU107" s="7"/>
      <c r="AV107" s="7">
        <v>0</v>
      </c>
      <c r="AW107" s="7">
        <v>1</v>
      </c>
      <c r="AX107" s="7"/>
      <c r="AY107" s="7"/>
      <c r="AZ107" s="7"/>
      <c r="BA107" s="7">
        <v>1</v>
      </c>
      <c r="BB107" s="7">
        <v>1</v>
      </c>
      <c r="BC107" s="7">
        <v>0</v>
      </c>
      <c r="BD107" s="7">
        <v>0</v>
      </c>
      <c r="BE107" s="7">
        <v>0</v>
      </c>
      <c r="BF107" s="7">
        <v>0</v>
      </c>
      <c r="BG107" s="7">
        <v>1</v>
      </c>
      <c r="BH107" s="7">
        <v>1</v>
      </c>
      <c r="BI107" s="7">
        <v>0</v>
      </c>
      <c r="BJ107" s="7">
        <v>0</v>
      </c>
      <c r="BK107" s="7"/>
      <c r="BL107" s="7"/>
    </row>
    <row r="108" spans="1:64" ht="13.2">
      <c r="A108" s="11"/>
      <c r="B108" s="30" t="s">
        <v>138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 spans="1:64" ht="13.2">
      <c r="A109" s="11"/>
      <c r="B109" s="11" t="s">
        <v>139</v>
      </c>
      <c r="C109" s="11">
        <v>6</v>
      </c>
      <c r="D109" s="11">
        <v>3</v>
      </c>
      <c r="E109" s="11">
        <v>4</v>
      </c>
      <c r="F109" s="11">
        <v>3</v>
      </c>
      <c r="G109" s="11">
        <v>6</v>
      </c>
      <c r="H109" s="11">
        <v>6</v>
      </c>
      <c r="I109" s="11">
        <v>6</v>
      </c>
      <c r="J109" s="11">
        <v>6</v>
      </c>
      <c r="K109" s="11">
        <v>4</v>
      </c>
      <c r="L109" s="11">
        <v>6</v>
      </c>
      <c r="M109" s="11">
        <v>5</v>
      </c>
      <c r="N109" s="11">
        <v>6</v>
      </c>
      <c r="O109" s="11">
        <v>6</v>
      </c>
      <c r="P109" s="11">
        <v>6</v>
      </c>
      <c r="Q109" s="11">
        <v>6</v>
      </c>
      <c r="R109" s="11">
        <v>6</v>
      </c>
      <c r="S109" s="11">
        <v>6</v>
      </c>
      <c r="T109" s="11">
        <v>6</v>
      </c>
      <c r="U109" s="11">
        <v>6</v>
      </c>
      <c r="V109" s="11">
        <v>6</v>
      </c>
      <c r="W109" s="11">
        <v>5</v>
      </c>
      <c r="X109" s="11">
        <v>5</v>
      </c>
      <c r="Y109" s="11">
        <v>5</v>
      </c>
      <c r="Z109" s="11">
        <v>4</v>
      </c>
      <c r="AA109" s="11">
        <v>5</v>
      </c>
      <c r="AB109" s="11">
        <v>4</v>
      </c>
      <c r="AC109" s="11">
        <v>5</v>
      </c>
      <c r="AD109" s="11">
        <v>4</v>
      </c>
      <c r="AE109" s="11">
        <v>6</v>
      </c>
      <c r="AF109" s="11">
        <v>6</v>
      </c>
      <c r="AG109" s="11">
        <v>6</v>
      </c>
      <c r="AH109" s="11">
        <v>4</v>
      </c>
      <c r="AI109" s="11">
        <v>6</v>
      </c>
      <c r="AJ109" s="11">
        <v>6</v>
      </c>
      <c r="AK109" s="11">
        <v>6</v>
      </c>
      <c r="AL109" s="11">
        <v>6</v>
      </c>
      <c r="AM109" s="11">
        <v>6</v>
      </c>
      <c r="AN109" s="11"/>
      <c r="AO109" s="11">
        <v>5</v>
      </c>
      <c r="AP109" s="11">
        <v>6</v>
      </c>
      <c r="AQ109" s="11">
        <v>3</v>
      </c>
      <c r="AR109" s="11">
        <v>6</v>
      </c>
      <c r="AS109" s="11">
        <v>6</v>
      </c>
      <c r="AT109" s="11">
        <v>6</v>
      </c>
      <c r="AU109" s="11">
        <v>5</v>
      </c>
      <c r="AV109" s="11">
        <v>6</v>
      </c>
      <c r="AW109" s="11">
        <v>6</v>
      </c>
      <c r="AX109" s="11">
        <v>5</v>
      </c>
      <c r="AY109" s="11">
        <v>5</v>
      </c>
      <c r="AZ109" s="11">
        <v>5</v>
      </c>
      <c r="BA109" s="11">
        <v>5</v>
      </c>
      <c r="BB109" s="11">
        <v>5</v>
      </c>
      <c r="BC109" s="11">
        <v>6</v>
      </c>
      <c r="BD109" s="11">
        <v>6</v>
      </c>
      <c r="BE109" s="11">
        <v>6</v>
      </c>
      <c r="BF109" s="11">
        <v>6</v>
      </c>
      <c r="BG109" s="11">
        <v>6</v>
      </c>
      <c r="BH109" s="11">
        <v>6</v>
      </c>
      <c r="BI109" s="11">
        <v>6</v>
      </c>
      <c r="BJ109" s="11">
        <v>6</v>
      </c>
      <c r="BK109" s="11">
        <v>6</v>
      </c>
      <c r="BL109" s="11">
        <v>6</v>
      </c>
    </row>
    <row r="110" spans="1:64" ht="13.2">
      <c r="A110" s="11"/>
      <c r="B110" s="11" t="s">
        <v>140</v>
      </c>
      <c r="C110" s="11"/>
      <c r="D110" s="11">
        <v>2</v>
      </c>
      <c r="E110" s="11">
        <v>3</v>
      </c>
      <c r="F110" s="11">
        <v>1</v>
      </c>
      <c r="G110" s="11">
        <v>4</v>
      </c>
      <c r="H110" s="11">
        <v>6</v>
      </c>
      <c r="I110" s="11">
        <v>5</v>
      </c>
      <c r="J110" s="11">
        <v>5</v>
      </c>
      <c r="K110" s="11">
        <v>4</v>
      </c>
      <c r="L110" s="11">
        <v>6</v>
      </c>
      <c r="M110" s="11">
        <v>4</v>
      </c>
      <c r="N110" s="11">
        <v>6</v>
      </c>
      <c r="O110" s="11">
        <v>4</v>
      </c>
      <c r="P110" s="11">
        <v>6</v>
      </c>
      <c r="Q110" s="11">
        <v>3</v>
      </c>
      <c r="R110" s="11">
        <v>6</v>
      </c>
      <c r="S110" s="11">
        <v>5</v>
      </c>
      <c r="T110" s="11">
        <v>6</v>
      </c>
      <c r="U110" s="11">
        <v>6</v>
      </c>
      <c r="V110" s="11">
        <v>4</v>
      </c>
      <c r="W110" s="11">
        <v>4</v>
      </c>
      <c r="X110" s="11">
        <v>4</v>
      </c>
      <c r="Y110" s="11">
        <v>4</v>
      </c>
      <c r="Z110" s="11">
        <v>3</v>
      </c>
      <c r="AA110" s="11">
        <v>2</v>
      </c>
      <c r="AB110" s="11">
        <v>4</v>
      </c>
      <c r="AC110" s="11">
        <v>5</v>
      </c>
      <c r="AD110" s="11">
        <v>5</v>
      </c>
      <c r="AE110" s="11">
        <v>0</v>
      </c>
      <c r="AF110" s="11">
        <v>5</v>
      </c>
      <c r="AG110" s="11">
        <v>5</v>
      </c>
      <c r="AH110" s="11">
        <v>3</v>
      </c>
      <c r="AI110" s="11">
        <v>4</v>
      </c>
      <c r="AJ110" s="11">
        <v>4</v>
      </c>
      <c r="AK110" s="11">
        <v>6</v>
      </c>
      <c r="AL110" s="11">
        <v>5</v>
      </c>
      <c r="AM110" s="11">
        <v>5</v>
      </c>
      <c r="AN110" s="11"/>
      <c r="AO110" s="11">
        <v>4</v>
      </c>
      <c r="AP110" s="11">
        <v>6</v>
      </c>
      <c r="AQ110" s="11">
        <v>3</v>
      </c>
      <c r="AR110" s="11">
        <v>6</v>
      </c>
      <c r="AS110" s="11">
        <v>6</v>
      </c>
      <c r="AT110" s="11">
        <v>6</v>
      </c>
      <c r="AU110" s="11">
        <v>4</v>
      </c>
      <c r="AV110" s="11">
        <v>5</v>
      </c>
      <c r="AW110" s="11">
        <v>4</v>
      </c>
      <c r="AX110" s="11">
        <v>4</v>
      </c>
      <c r="AY110" s="11">
        <v>4</v>
      </c>
      <c r="AZ110" s="11">
        <v>3</v>
      </c>
      <c r="BA110" s="11">
        <v>4</v>
      </c>
      <c r="BB110" s="11">
        <v>4</v>
      </c>
      <c r="BC110" s="11">
        <v>3</v>
      </c>
      <c r="BD110" s="11">
        <v>6</v>
      </c>
      <c r="BE110" s="11">
        <v>6</v>
      </c>
      <c r="BF110" s="11">
        <v>4</v>
      </c>
      <c r="BG110" s="11">
        <v>6</v>
      </c>
      <c r="BH110" s="11">
        <v>6</v>
      </c>
      <c r="BI110" s="11">
        <v>5</v>
      </c>
      <c r="BJ110" s="11">
        <v>6</v>
      </c>
      <c r="BK110" s="11">
        <v>6</v>
      </c>
      <c r="BL110" s="11">
        <v>6</v>
      </c>
    </row>
    <row r="111" spans="1:64" ht="13.2">
      <c r="A111" s="11"/>
      <c r="B111" s="11" t="s">
        <v>141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</row>
    <row r="112" spans="1:64" ht="13.2">
      <c r="A112" s="11"/>
      <c r="B112" s="11" t="s">
        <v>142</v>
      </c>
      <c r="C112" s="11">
        <v>1</v>
      </c>
      <c r="D112" s="11">
        <v>30</v>
      </c>
      <c r="E112" s="11">
        <v>20</v>
      </c>
      <c r="F112" s="11">
        <v>5</v>
      </c>
      <c r="G112" s="11">
        <v>1</v>
      </c>
      <c r="H112" s="11">
        <v>1</v>
      </c>
      <c r="I112" s="11">
        <v>50</v>
      </c>
      <c r="J112" s="11">
        <v>1</v>
      </c>
      <c r="K112" s="11"/>
      <c r="L112" s="11">
        <v>1</v>
      </c>
      <c r="M112" s="11">
        <v>50</v>
      </c>
      <c r="N112" s="11">
        <v>1</v>
      </c>
      <c r="O112" s="11">
        <v>30</v>
      </c>
      <c r="P112" s="11">
        <v>1</v>
      </c>
      <c r="Q112" s="11">
        <v>1</v>
      </c>
      <c r="R112" s="11">
        <v>40</v>
      </c>
      <c r="S112" s="11">
        <v>80</v>
      </c>
      <c r="T112" s="11">
        <v>70</v>
      </c>
      <c r="U112" s="11">
        <v>80</v>
      </c>
      <c r="V112" s="11">
        <v>5</v>
      </c>
      <c r="W112" s="11">
        <v>60</v>
      </c>
      <c r="X112" s="11">
        <v>50</v>
      </c>
      <c r="Y112" s="11">
        <v>30</v>
      </c>
      <c r="Z112" s="11"/>
      <c r="AA112" s="11">
        <v>60</v>
      </c>
      <c r="AB112" s="11">
        <v>80</v>
      </c>
      <c r="AC112" s="11">
        <v>90</v>
      </c>
      <c r="AD112" s="11">
        <v>60</v>
      </c>
      <c r="AE112" s="11"/>
      <c r="AF112" s="11">
        <v>30</v>
      </c>
      <c r="AG112" s="11">
        <v>1</v>
      </c>
      <c r="AH112" s="11"/>
      <c r="AI112" s="11">
        <v>1</v>
      </c>
      <c r="AJ112" s="11">
        <v>70</v>
      </c>
      <c r="AK112" s="11">
        <v>1</v>
      </c>
      <c r="AL112" s="11"/>
      <c r="AM112" s="11">
        <v>1</v>
      </c>
      <c r="AN112" s="11"/>
      <c r="AO112" s="11">
        <v>1</v>
      </c>
      <c r="AP112" s="11">
        <v>1</v>
      </c>
      <c r="AQ112" s="11">
        <v>1</v>
      </c>
      <c r="AR112" s="11"/>
      <c r="AS112" s="11"/>
      <c r="AT112" s="11">
        <v>50</v>
      </c>
      <c r="AU112" s="11">
        <v>40</v>
      </c>
      <c r="AV112" s="11">
        <v>1</v>
      </c>
      <c r="AW112" s="11"/>
      <c r="AX112" s="11">
        <v>40</v>
      </c>
      <c r="AY112" s="11">
        <v>40</v>
      </c>
      <c r="AZ112" s="11">
        <v>40</v>
      </c>
      <c r="BA112" s="11">
        <v>1</v>
      </c>
      <c r="BB112" s="11">
        <v>1</v>
      </c>
      <c r="BC112" s="11">
        <v>1</v>
      </c>
      <c r="BD112" s="11">
        <v>100</v>
      </c>
      <c r="BE112" s="11">
        <v>70</v>
      </c>
      <c r="BF112" s="11">
        <v>100</v>
      </c>
      <c r="BG112" s="11">
        <v>100</v>
      </c>
      <c r="BH112" s="11"/>
      <c r="BI112" s="11">
        <v>80</v>
      </c>
      <c r="BJ112" s="11">
        <v>80</v>
      </c>
      <c r="BK112" s="11">
        <v>70</v>
      </c>
      <c r="BL112" s="11">
        <v>70</v>
      </c>
    </row>
    <row r="113" spans="1:64" ht="13.2">
      <c r="A113" s="11"/>
      <c r="B113" s="11" t="s">
        <v>143</v>
      </c>
      <c r="C113" s="11">
        <v>1</v>
      </c>
      <c r="D113" s="11">
        <v>30</v>
      </c>
      <c r="E113" s="11">
        <v>30</v>
      </c>
      <c r="F113" s="11">
        <v>90</v>
      </c>
      <c r="G113" s="11">
        <v>1</v>
      </c>
      <c r="H113" s="11"/>
      <c r="I113" s="11">
        <v>30</v>
      </c>
      <c r="J113" s="11"/>
      <c r="K113" s="11">
        <v>1</v>
      </c>
      <c r="L113" s="11"/>
      <c r="M113" s="11">
        <v>40</v>
      </c>
      <c r="N113" s="11"/>
      <c r="O113" s="11">
        <v>30</v>
      </c>
      <c r="P113" s="11">
        <v>1</v>
      </c>
      <c r="Q113" s="11">
        <v>1</v>
      </c>
      <c r="R113" s="11">
        <v>20</v>
      </c>
      <c r="S113" s="11">
        <v>10</v>
      </c>
      <c r="T113" s="11">
        <v>20</v>
      </c>
      <c r="U113" s="11">
        <v>10</v>
      </c>
      <c r="V113" s="11">
        <v>5</v>
      </c>
      <c r="W113" s="11">
        <v>20</v>
      </c>
      <c r="X113" s="11">
        <v>10</v>
      </c>
      <c r="Y113" s="11">
        <v>20</v>
      </c>
      <c r="Z113" s="11"/>
      <c r="AA113" s="11">
        <v>40</v>
      </c>
      <c r="AB113" s="11">
        <v>10</v>
      </c>
      <c r="AC113" s="11">
        <v>10</v>
      </c>
      <c r="AD113" s="11">
        <v>15</v>
      </c>
      <c r="AE113" s="11"/>
      <c r="AF113" s="11">
        <v>20</v>
      </c>
      <c r="AG113" s="11">
        <v>1</v>
      </c>
      <c r="AH113" s="11"/>
      <c r="AI113" s="11">
        <v>1</v>
      </c>
      <c r="AJ113" s="11">
        <v>10</v>
      </c>
      <c r="AK113" s="11">
        <v>1</v>
      </c>
      <c r="AL113" s="11"/>
      <c r="AM113" s="11">
        <v>1</v>
      </c>
      <c r="AN113" s="11"/>
      <c r="AO113" s="11">
        <v>1</v>
      </c>
      <c r="AP113" s="11">
        <v>1</v>
      </c>
      <c r="AQ113" s="11"/>
      <c r="AR113" s="11"/>
      <c r="AS113" s="11"/>
      <c r="AT113" s="11">
        <v>50</v>
      </c>
      <c r="AU113" s="11">
        <v>40</v>
      </c>
      <c r="AV113" s="11"/>
      <c r="AW113" s="11"/>
      <c r="AX113" s="11">
        <v>40</v>
      </c>
      <c r="AY113" s="11">
        <v>40</v>
      </c>
      <c r="AZ113" s="11">
        <v>40</v>
      </c>
      <c r="BA113" s="11"/>
      <c r="BB113" s="11"/>
      <c r="BC113" s="11"/>
      <c r="BD113" s="11"/>
      <c r="BE113" s="11">
        <v>10</v>
      </c>
      <c r="BF113" s="11"/>
      <c r="BG113" s="11"/>
      <c r="BH113" s="11"/>
      <c r="BI113" s="11">
        <v>10</v>
      </c>
      <c r="BJ113" s="11">
        <v>10</v>
      </c>
      <c r="BK113" s="11">
        <v>10</v>
      </c>
      <c r="BL113" s="11">
        <v>10</v>
      </c>
    </row>
    <row r="114" spans="1:64" ht="13.2">
      <c r="A114" s="11"/>
      <c r="B114" s="11" t="s">
        <v>144</v>
      </c>
      <c r="C114" s="11">
        <v>1</v>
      </c>
      <c r="D114" s="11">
        <v>30</v>
      </c>
      <c r="E114" s="11">
        <v>25</v>
      </c>
      <c r="F114" s="11">
        <v>5</v>
      </c>
      <c r="G114" s="11"/>
      <c r="H114" s="11"/>
      <c r="I114" s="11">
        <v>5</v>
      </c>
      <c r="J114" s="11"/>
      <c r="K114" s="11">
        <v>1</v>
      </c>
      <c r="L114" s="11"/>
      <c r="M114" s="11">
        <v>10</v>
      </c>
      <c r="N114" s="11"/>
      <c r="O114" s="11">
        <v>20</v>
      </c>
      <c r="P114" s="11">
        <v>1</v>
      </c>
      <c r="Q114" s="11"/>
      <c r="R114" s="11">
        <v>10</v>
      </c>
      <c r="S114" s="11">
        <v>5</v>
      </c>
      <c r="T114" s="11">
        <v>10</v>
      </c>
      <c r="U114" s="11">
        <v>5</v>
      </c>
      <c r="V114" s="11">
        <v>10</v>
      </c>
      <c r="W114" s="11">
        <v>20</v>
      </c>
      <c r="X114" s="11">
        <v>20</v>
      </c>
      <c r="Y114" s="11">
        <v>20</v>
      </c>
      <c r="Z114" s="11">
        <v>1</v>
      </c>
      <c r="AA114" s="11"/>
      <c r="AB114" s="11">
        <v>10</v>
      </c>
      <c r="AC114" s="11"/>
      <c r="AD114" s="11">
        <v>10</v>
      </c>
      <c r="AE114" s="11">
        <v>1</v>
      </c>
      <c r="AF114" s="11">
        <v>20</v>
      </c>
      <c r="AG114" s="11"/>
      <c r="AH114" s="11">
        <v>1</v>
      </c>
      <c r="AI114" s="11">
        <v>1</v>
      </c>
      <c r="AJ114" s="11">
        <v>10</v>
      </c>
      <c r="AK114" s="11">
        <v>1</v>
      </c>
      <c r="AL114" s="11"/>
      <c r="AM114" s="11">
        <v>1</v>
      </c>
      <c r="AN114" s="11"/>
      <c r="AO114" s="11">
        <v>1</v>
      </c>
      <c r="AP114" s="11">
        <v>1</v>
      </c>
      <c r="AQ114" s="11"/>
      <c r="AR114" s="11"/>
      <c r="AS114" s="11"/>
      <c r="AT114" s="11"/>
      <c r="AU114" s="11">
        <v>20</v>
      </c>
      <c r="AV114" s="11"/>
      <c r="AW114" s="11"/>
      <c r="AX114" s="11">
        <v>20</v>
      </c>
      <c r="AY114" s="11">
        <v>20</v>
      </c>
      <c r="AZ114" s="11">
        <v>20</v>
      </c>
      <c r="BA114" s="11"/>
      <c r="BB114" s="11"/>
      <c r="BC114" s="11"/>
      <c r="BD114" s="11"/>
      <c r="BE114" s="11">
        <v>10</v>
      </c>
      <c r="BF114" s="11"/>
      <c r="BG114" s="11"/>
      <c r="BH114" s="11"/>
      <c r="BI114" s="11">
        <v>10</v>
      </c>
      <c r="BJ114" s="11">
        <v>10</v>
      </c>
      <c r="BK114" s="11">
        <v>10</v>
      </c>
      <c r="BL114" s="11">
        <v>10</v>
      </c>
    </row>
    <row r="115" spans="1:64" ht="13.2">
      <c r="A115" s="11"/>
      <c r="B115" s="11" t="s">
        <v>145</v>
      </c>
      <c r="C115" s="11">
        <v>1</v>
      </c>
      <c r="D115" s="11"/>
      <c r="E115" s="11">
        <v>25</v>
      </c>
      <c r="F115" s="11"/>
      <c r="G115" s="11"/>
      <c r="H115" s="11"/>
      <c r="I115" s="11">
        <v>5</v>
      </c>
      <c r="J115" s="11"/>
      <c r="K115" s="11"/>
      <c r="L115" s="11"/>
      <c r="M115" s="11"/>
      <c r="N115" s="11"/>
      <c r="O115" s="11">
        <v>10</v>
      </c>
      <c r="P115" s="11">
        <v>1</v>
      </c>
      <c r="Q115" s="11">
        <v>1</v>
      </c>
      <c r="R115" s="11">
        <v>30</v>
      </c>
      <c r="S115" s="11">
        <v>5</v>
      </c>
      <c r="T115" s="11"/>
      <c r="U115" s="11">
        <v>5</v>
      </c>
      <c r="V115" s="11">
        <v>70</v>
      </c>
      <c r="W115" s="11"/>
      <c r="X115" s="11">
        <v>10</v>
      </c>
      <c r="Y115" s="11">
        <v>10</v>
      </c>
      <c r="Z115" s="11"/>
      <c r="AA115" s="11"/>
      <c r="AB115" s="11"/>
      <c r="AC115" s="11"/>
      <c r="AD115" s="11"/>
      <c r="AE115" s="11"/>
      <c r="AF115" s="11">
        <v>10</v>
      </c>
      <c r="AG115" s="11"/>
      <c r="AH115" s="11"/>
      <c r="AI115" s="11">
        <v>1</v>
      </c>
      <c r="AJ115" s="11">
        <v>10</v>
      </c>
      <c r="AK115" s="11"/>
      <c r="AL115" s="11">
        <v>1</v>
      </c>
      <c r="AM115" s="11">
        <v>1</v>
      </c>
      <c r="AN115" s="11"/>
      <c r="AO115" s="11">
        <v>1</v>
      </c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>
        <v>10</v>
      </c>
      <c r="BF115" s="11"/>
      <c r="BG115" s="11"/>
      <c r="BH115" s="11"/>
      <c r="BI115" s="11"/>
      <c r="BJ115" s="11"/>
      <c r="BK115" s="11">
        <v>10</v>
      </c>
      <c r="BL115" s="11">
        <v>10</v>
      </c>
    </row>
    <row r="116" spans="1:64" ht="13.2">
      <c r="A116" s="11"/>
      <c r="B116" s="11" t="s">
        <v>146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>
        <v>1</v>
      </c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>
        <v>1</v>
      </c>
      <c r="BI116" s="11"/>
      <c r="BJ116" s="11"/>
      <c r="BK116" s="11"/>
      <c r="BL116" s="11"/>
    </row>
    <row r="117" spans="1:64" ht="13.2">
      <c r="A117" s="11"/>
      <c r="B117" s="11" t="s">
        <v>147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>
        <v>15</v>
      </c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</row>
    <row r="118" spans="1:64" ht="13.2">
      <c r="A118" s="11"/>
      <c r="B118" s="11" t="s">
        <v>148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>
        <v>10</v>
      </c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</row>
    <row r="119" spans="1:64" ht="13.2">
      <c r="A119" s="11"/>
      <c r="B119" s="11" t="s">
        <v>149</v>
      </c>
      <c r="C119" s="11"/>
      <c r="D119" s="11">
        <v>10</v>
      </c>
      <c r="E119" s="11"/>
      <c r="F119" s="11"/>
      <c r="G119" s="11"/>
      <c r="H119" s="11"/>
      <c r="I119" s="11">
        <v>10</v>
      </c>
      <c r="J119" s="11"/>
      <c r="K119" s="11"/>
      <c r="L119" s="11"/>
      <c r="M119" s="11"/>
      <c r="N119" s="11"/>
      <c r="O119" s="11">
        <v>10</v>
      </c>
      <c r="P119" s="11">
        <v>1</v>
      </c>
      <c r="Q119" s="11">
        <v>1</v>
      </c>
      <c r="R119" s="11"/>
      <c r="S119" s="11"/>
      <c r="T119" s="11"/>
      <c r="U119" s="11"/>
      <c r="V119" s="11"/>
      <c r="W119" s="11"/>
      <c r="X119" s="11">
        <v>10</v>
      </c>
      <c r="Y119" s="11">
        <v>20</v>
      </c>
      <c r="Z119" s="11"/>
      <c r="AA119" s="11"/>
      <c r="AB119" s="11"/>
      <c r="AC119" s="11"/>
      <c r="AD119" s="11"/>
      <c r="AE119" s="11"/>
      <c r="AF119" s="11">
        <v>20</v>
      </c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</row>
    <row r="120" spans="1:64" ht="13.2">
      <c r="A120" s="11"/>
      <c r="B120" s="11" t="s">
        <v>126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>
        <v>1</v>
      </c>
      <c r="AS120" s="11">
        <v>1</v>
      </c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</row>
    <row r="121" spans="1:64" ht="13.2">
      <c r="A121" s="11"/>
      <c r="B121" s="11" t="s">
        <v>150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</row>
    <row r="122" spans="1:64" ht="13.2">
      <c r="A122" s="11"/>
      <c r="B122" s="11" t="s">
        <v>151</v>
      </c>
      <c r="C122" s="11"/>
      <c r="D122" s="11"/>
      <c r="E122" s="11">
        <v>5</v>
      </c>
      <c r="F122" s="11"/>
      <c r="G122" s="11"/>
      <c r="H122" s="11"/>
      <c r="I122" s="11"/>
      <c r="J122" s="11"/>
      <c r="K122" s="11"/>
      <c r="L122" s="11"/>
      <c r="M122" s="11"/>
      <c r="N122" s="11">
        <v>1</v>
      </c>
      <c r="O122" s="11"/>
      <c r="P122" s="11">
        <v>1</v>
      </c>
      <c r="Q122" s="11"/>
      <c r="R122" s="11"/>
      <c r="S122" s="11"/>
      <c r="T122" s="11">
        <v>20</v>
      </c>
      <c r="U122" s="11">
        <v>10</v>
      </c>
      <c r="V122" s="11"/>
      <c r="W122" s="11"/>
      <c r="X122" s="11"/>
      <c r="Y122" s="11">
        <v>1</v>
      </c>
      <c r="Z122" s="11"/>
      <c r="AA122" s="11">
        <v>10</v>
      </c>
      <c r="AB122" s="11"/>
      <c r="AC122" s="11"/>
      <c r="AD122" s="11">
        <v>10</v>
      </c>
      <c r="AE122" s="11"/>
      <c r="AF122" s="11">
        <v>50</v>
      </c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>
        <v>1</v>
      </c>
      <c r="AS122" s="11">
        <v>1</v>
      </c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>
        <v>90</v>
      </c>
      <c r="BI122" s="11"/>
      <c r="BJ122" s="11">
        <v>1</v>
      </c>
      <c r="BK122" s="11">
        <v>1</v>
      </c>
      <c r="BL122" s="11">
        <v>1</v>
      </c>
    </row>
    <row r="123" spans="1:64" ht="13.2">
      <c r="A123" s="11"/>
      <c r="B123" s="11" t="s">
        <v>152</v>
      </c>
      <c r="C123" s="11">
        <v>1</v>
      </c>
      <c r="D123" s="11">
        <v>100</v>
      </c>
      <c r="E123" s="11">
        <v>95</v>
      </c>
      <c r="F123" s="11">
        <v>100</v>
      </c>
      <c r="G123" s="11">
        <v>1</v>
      </c>
      <c r="H123" s="11">
        <v>1</v>
      </c>
      <c r="I123" s="11">
        <v>1</v>
      </c>
      <c r="J123" s="11">
        <v>1</v>
      </c>
      <c r="K123" s="11">
        <v>1</v>
      </c>
      <c r="L123" s="11">
        <v>1</v>
      </c>
      <c r="M123" s="11"/>
      <c r="N123" s="11"/>
      <c r="O123" s="11">
        <v>1</v>
      </c>
      <c r="P123" s="11">
        <v>1</v>
      </c>
      <c r="Q123" s="11">
        <v>1</v>
      </c>
      <c r="R123" s="11">
        <v>100</v>
      </c>
      <c r="S123" s="11">
        <v>1</v>
      </c>
      <c r="T123" s="11">
        <v>80</v>
      </c>
      <c r="U123" s="11">
        <v>90</v>
      </c>
      <c r="V123" s="11">
        <v>100</v>
      </c>
      <c r="W123" s="11">
        <v>100</v>
      </c>
      <c r="X123" s="11">
        <v>100</v>
      </c>
      <c r="Y123" s="11">
        <v>1</v>
      </c>
      <c r="Z123" s="11">
        <v>1</v>
      </c>
      <c r="AA123" s="11">
        <v>90</v>
      </c>
      <c r="AB123" s="11">
        <v>100</v>
      </c>
      <c r="AC123" s="11">
        <v>100</v>
      </c>
      <c r="AD123" s="11">
        <v>90</v>
      </c>
      <c r="AE123" s="11">
        <v>1</v>
      </c>
      <c r="AF123" s="11">
        <v>50</v>
      </c>
      <c r="AG123" s="11">
        <v>1</v>
      </c>
      <c r="AH123" s="11"/>
      <c r="AI123" s="11">
        <v>1</v>
      </c>
      <c r="AJ123" s="11">
        <v>1</v>
      </c>
      <c r="AK123" s="11">
        <v>1</v>
      </c>
      <c r="AL123" s="11">
        <v>1</v>
      </c>
      <c r="AM123" s="11">
        <v>1</v>
      </c>
      <c r="AN123" s="11">
        <v>1</v>
      </c>
      <c r="AO123" s="11">
        <v>1</v>
      </c>
      <c r="AP123" s="11">
        <v>1</v>
      </c>
      <c r="AQ123" s="11">
        <v>1</v>
      </c>
      <c r="AR123" s="11">
        <v>1</v>
      </c>
      <c r="AS123" s="11">
        <v>1</v>
      </c>
      <c r="AT123" s="11">
        <v>1</v>
      </c>
      <c r="AU123" s="11">
        <v>1</v>
      </c>
      <c r="AV123" s="11">
        <v>1</v>
      </c>
      <c r="AW123" s="11">
        <v>1</v>
      </c>
      <c r="AX123" s="11">
        <v>1</v>
      </c>
      <c r="AY123" s="11"/>
      <c r="AZ123" s="11">
        <v>1</v>
      </c>
      <c r="BA123" s="11">
        <v>1</v>
      </c>
      <c r="BB123" s="11">
        <v>1</v>
      </c>
      <c r="BC123" s="11">
        <v>1</v>
      </c>
      <c r="BD123" s="11">
        <v>1</v>
      </c>
      <c r="BE123" s="11">
        <v>1</v>
      </c>
      <c r="BF123" s="11">
        <v>1</v>
      </c>
      <c r="BG123" s="11">
        <v>1</v>
      </c>
      <c r="BH123" s="11">
        <v>10</v>
      </c>
      <c r="BI123" s="11">
        <v>1</v>
      </c>
      <c r="BJ123" s="11">
        <v>1</v>
      </c>
      <c r="BK123" s="11">
        <v>1</v>
      </c>
      <c r="BL123" s="11">
        <v>1</v>
      </c>
    </row>
    <row r="124" spans="1:64" ht="13.2">
      <c r="A124" s="11"/>
      <c r="B124" s="11" t="s">
        <v>153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</row>
    <row r="125" spans="1:64" ht="13.2">
      <c r="A125" s="11"/>
      <c r="B125" s="11" t="s">
        <v>154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>
        <v>1</v>
      </c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</row>
    <row r="126" spans="1:64" ht="13.2">
      <c r="A126" s="11"/>
      <c r="B126" s="11" t="s">
        <v>155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</row>
    <row r="127" spans="1:64" ht="13.2">
      <c r="A127" s="11"/>
      <c r="B127" s="11" t="s">
        <v>156</v>
      </c>
      <c r="C127" s="11"/>
      <c r="D127" s="11">
        <v>10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1</v>
      </c>
      <c r="Q127" s="11">
        <v>1</v>
      </c>
      <c r="R127" s="11"/>
      <c r="S127" s="11"/>
      <c r="T127" s="11"/>
      <c r="U127" s="11"/>
      <c r="V127" s="11"/>
      <c r="W127" s="11"/>
      <c r="X127" s="11"/>
      <c r="Y127" s="11">
        <v>1</v>
      </c>
      <c r="Z127" s="11"/>
      <c r="AA127" s="11">
        <v>1</v>
      </c>
      <c r="AB127" s="11"/>
      <c r="AC127" s="11"/>
      <c r="AD127" s="11">
        <v>5</v>
      </c>
      <c r="AE127" s="11"/>
      <c r="AF127" s="11">
        <v>50</v>
      </c>
      <c r="AG127" s="11"/>
      <c r="AH127" s="11"/>
      <c r="AI127" s="11"/>
      <c r="AJ127" s="11"/>
      <c r="AK127" s="11"/>
      <c r="AL127" s="11"/>
      <c r="AM127" s="11"/>
      <c r="AN127" s="11"/>
      <c r="AO127" s="11">
        <v>1</v>
      </c>
      <c r="AP127" s="11"/>
      <c r="AQ127" s="11"/>
      <c r="AR127" s="11">
        <v>1</v>
      </c>
      <c r="AS127" s="11">
        <v>1</v>
      </c>
      <c r="AT127" s="11"/>
      <c r="AU127" s="11"/>
      <c r="AV127" s="11"/>
      <c r="AW127" s="11">
        <v>1</v>
      </c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>
        <v>90</v>
      </c>
      <c r="BI127" s="11"/>
      <c r="BJ127" s="11"/>
      <c r="BK127" s="11">
        <v>1</v>
      </c>
      <c r="BL127" s="11">
        <v>1</v>
      </c>
    </row>
    <row r="128" spans="1:64" ht="13.2">
      <c r="A128" s="11"/>
      <c r="B128" s="11" t="s">
        <v>152</v>
      </c>
      <c r="C128" s="11">
        <v>1</v>
      </c>
      <c r="D128" s="11">
        <v>90</v>
      </c>
      <c r="E128" s="11">
        <v>100</v>
      </c>
      <c r="F128" s="11">
        <v>100</v>
      </c>
      <c r="G128" s="11">
        <v>1</v>
      </c>
      <c r="H128" s="11">
        <v>1</v>
      </c>
      <c r="I128" s="11">
        <v>1</v>
      </c>
      <c r="J128" s="11">
        <v>1</v>
      </c>
      <c r="K128" s="11">
        <v>1</v>
      </c>
      <c r="L128" s="11">
        <v>1</v>
      </c>
      <c r="M128" s="11"/>
      <c r="N128" s="11">
        <v>1</v>
      </c>
      <c r="O128" s="11">
        <v>1</v>
      </c>
      <c r="P128" s="11">
        <v>1</v>
      </c>
      <c r="Q128" s="11"/>
      <c r="R128" s="11">
        <v>100</v>
      </c>
      <c r="S128" s="11">
        <v>1</v>
      </c>
      <c r="T128" s="11">
        <v>100</v>
      </c>
      <c r="U128" s="11">
        <v>100</v>
      </c>
      <c r="V128" s="11">
        <v>100</v>
      </c>
      <c r="W128" s="11">
        <v>100</v>
      </c>
      <c r="X128" s="11">
        <v>100</v>
      </c>
      <c r="Y128" s="11">
        <v>1</v>
      </c>
      <c r="Z128" s="11">
        <v>1</v>
      </c>
      <c r="AA128" s="11">
        <v>99</v>
      </c>
      <c r="AB128" s="11">
        <v>100</v>
      </c>
      <c r="AC128" s="11">
        <v>100</v>
      </c>
      <c r="AD128" s="11">
        <v>95</v>
      </c>
      <c r="AE128" s="11">
        <v>1</v>
      </c>
      <c r="AF128" s="11">
        <v>50</v>
      </c>
      <c r="AG128" s="11">
        <v>1</v>
      </c>
      <c r="AH128" s="11"/>
      <c r="AI128" s="11">
        <v>1</v>
      </c>
      <c r="AJ128" s="11">
        <v>1</v>
      </c>
      <c r="AK128" s="11">
        <v>1</v>
      </c>
      <c r="AL128" s="11">
        <v>1</v>
      </c>
      <c r="AM128" s="11">
        <v>1</v>
      </c>
      <c r="AN128" s="11">
        <v>1</v>
      </c>
      <c r="AO128" s="11">
        <v>1</v>
      </c>
      <c r="AP128" s="11">
        <v>1</v>
      </c>
      <c r="AQ128" s="11">
        <v>1</v>
      </c>
      <c r="AR128" s="11">
        <v>1</v>
      </c>
      <c r="AS128" s="11">
        <v>1</v>
      </c>
      <c r="AT128" s="11">
        <v>1</v>
      </c>
      <c r="AU128" s="11">
        <v>1</v>
      </c>
      <c r="AV128" s="11">
        <v>1</v>
      </c>
      <c r="AW128" s="11">
        <v>1</v>
      </c>
      <c r="AX128" s="11">
        <v>1</v>
      </c>
      <c r="AY128" s="11"/>
      <c r="AZ128" s="11">
        <v>1</v>
      </c>
      <c r="BA128" s="11">
        <v>1</v>
      </c>
      <c r="BB128" s="11">
        <v>1</v>
      </c>
      <c r="BC128" s="11">
        <v>1</v>
      </c>
      <c r="BD128" s="11">
        <v>1</v>
      </c>
      <c r="BE128" s="11">
        <v>1</v>
      </c>
      <c r="BF128" s="11">
        <v>1</v>
      </c>
      <c r="BG128" s="11">
        <v>1</v>
      </c>
      <c r="BH128" s="11">
        <v>10</v>
      </c>
      <c r="BI128" s="11">
        <v>1</v>
      </c>
      <c r="BJ128" s="11">
        <v>1</v>
      </c>
      <c r="BK128" s="11">
        <v>1</v>
      </c>
      <c r="BL128" s="11">
        <v>1</v>
      </c>
    </row>
    <row r="129" spans="1:129" ht="13.2">
      <c r="A129" s="11"/>
      <c r="B129" s="11" t="s">
        <v>157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</row>
    <row r="130" spans="1:129" ht="13.2">
      <c r="A130" s="11"/>
      <c r="B130" s="11" t="s">
        <v>158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</row>
    <row r="131" spans="1:129" ht="13.2">
      <c r="A131" s="11"/>
      <c r="B131" s="11" t="s">
        <v>159</v>
      </c>
      <c r="C131" s="11">
        <v>0</v>
      </c>
      <c r="D131" s="11">
        <v>3</v>
      </c>
      <c r="E131" s="11">
        <v>1</v>
      </c>
      <c r="F131" s="11">
        <v>0</v>
      </c>
      <c r="G131" s="11"/>
      <c r="H131" s="11">
        <v>3</v>
      </c>
      <c r="I131" s="11">
        <v>2</v>
      </c>
      <c r="J131" s="11">
        <v>3</v>
      </c>
      <c r="K131" s="11">
        <v>0</v>
      </c>
      <c r="L131" s="11">
        <v>3</v>
      </c>
      <c r="M131" s="11">
        <v>3</v>
      </c>
      <c r="N131" s="11">
        <v>3</v>
      </c>
      <c r="O131" s="11">
        <v>0</v>
      </c>
      <c r="P131" s="11">
        <v>6</v>
      </c>
      <c r="Q131" s="11">
        <v>0</v>
      </c>
      <c r="R131" s="11">
        <v>6</v>
      </c>
      <c r="S131" s="11">
        <v>6</v>
      </c>
      <c r="T131" s="11">
        <v>6</v>
      </c>
      <c r="U131" s="11">
        <v>6</v>
      </c>
      <c r="V131" s="11">
        <v>6</v>
      </c>
      <c r="W131" s="11">
        <v>2</v>
      </c>
      <c r="X131" s="11">
        <v>3</v>
      </c>
      <c r="Y131" s="11">
        <v>4</v>
      </c>
      <c r="Z131" s="11">
        <v>3</v>
      </c>
      <c r="AA131" s="11">
        <v>1</v>
      </c>
      <c r="AB131" s="11">
        <v>1</v>
      </c>
      <c r="AC131" s="11">
        <v>1</v>
      </c>
      <c r="AD131" s="11">
        <v>2</v>
      </c>
      <c r="AE131" s="11">
        <v>4</v>
      </c>
      <c r="AF131" s="11">
        <v>4</v>
      </c>
      <c r="AG131" s="11">
        <v>3</v>
      </c>
      <c r="AH131" s="11">
        <v>3</v>
      </c>
      <c r="AI131" s="11">
        <v>6</v>
      </c>
      <c r="AJ131" s="11">
        <v>2</v>
      </c>
      <c r="AK131" s="11">
        <v>6</v>
      </c>
      <c r="AL131" s="11">
        <v>4</v>
      </c>
      <c r="AM131" s="11">
        <v>6</v>
      </c>
      <c r="AN131" s="11">
        <v>6</v>
      </c>
      <c r="AO131" s="11">
        <v>4</v>
      </c>
      <c r="AP131" s="11">
        <v>6</v>
      </c>
      <c r="AQ131" s="11">
        <v>1</v>
      </c>
      <c r="AR131" s="11">
        <v>6</v>
      </c>
      <c r="AS131" s="11">
        <v>0</v>
      </c>
      <c r="AT131" s="11">
        <v>5</v>
      </c>
      <c r="AU131" s="11">
        <v>5</v>
      </c>
      <c r="AV131" s="11">
        <v>6</v>
      </c>
      <c r="AW131" s="11">
        <v>4</v>
      </c>
      <c r="AX131" s="11">
        <v>5</v>
      </c>
      <c r="AY131" s="11">
        <v>5</v>
      </c>
      <c r="AZ131" s="11">
        <v>5</v>
      </c>
      <c r="BA131" s="11">
        <v>3</v>
      </c>
      <c r="BB131" s="11">
        <v>3</v>
      </c>
      <c r="BC131" s="11">
        <v>4</v>
      </c>
      <c r="BD131" s="11">
        <v>4</v>
      </c>
      <c r="BE131" s="11">
        <v>6</v>
      </c>
      <c r="BF131" s="11">
        <v>4</v>
      </c>
      <c r="BG131" s="11">
        <v>4</v>
      </c>
      <c r="BH131" s="11">
        <v>4</v>
      </c>
      <c r="BI131" s="11">
        <v>4</v>
      </c>
      <c r="BJ131" s="11">
        <v>6</v>
      </c>
      <c r="BK131" s="11">
        <v>6</v>
      </c>
      <c r="BL131" s="11">
        <v>6</v>
      </c>
    </row>
    <row r="132" spans="1:129" ht="13.2">
      <c r="A132" s="11"/>
      <c r="B132" s="11" t="s">
        <v>160</v>
      </c>
      <c r="C132" s="11">
        <v>3</v>
      </c>
      <c r="D132" s="11">
        <v>1</v>
      </c>
      <c r="E132" s="11">
        <v>3</v>
      </c>
      <c r="F132" s="11">
        <v>1</v>
      </c>
      <c r="G132" s="11">
        <v>1</v>
      </c>
      <c r="H132" s="11">
        <v>3</v>
      </c>
      <c r="I132" s="11">
        <v>4</v>
      </c>
      <c r="J132" s="11">
        <v>2</v>
      </c>
      <c r="K132" s="11">
        <v>1</v>
      </c>
      <c r="L132" s="11">
        <v>3</v>
      </c>
      <c r="M132" s="11">
        <v>3</v>
      </c>
      <c r="N132" s="11">
        <v>6</v>
      </c>
      <c r="O132" s="11">
        <v>3</v>
      </c>
      <c r="P132" s="11">
        <v>3</v>
      </c>
      <c r="Q132" s="11">
        <v>1</v>
      </c>
      <c r="R132" s="11">
        <v>6</v>
      </c>
      <c r="S132" s="11">
        <v>5</v>
      </c>
      <c r="T132" s="11">
        <v>6</v>
      </c>
      <c r="U132" s="11">
        <v>6</v>
      </c>
      <c r="V132" s="11">
        <v>4</v>
      </c>
      <c r="W132" s="11">
        <v>2</v>
      </c>
      <c r="X132" s="11">
        <v>2</v>
      </c>
      <c r="Y132" s="11">
        <v>4</v>
      </c>
      <c r="Z132" s="11">
        <v>3</v>
      </c>
      <c r="AA132" s="11">
        <v>2</v>
      </c>
      <c r="AB132" s="11">
        <v>2</v>
      </c>
      <c r="AC132" s="11">
        <v>4</v>
      </c>
      <c r="AD132" s="11">
        <v>4</v>
      </c>
      <c r="AE132" s="11">
        <v>4</v>
      </c>
      <c r="AF132" s="11">
        <v>4</v>
      </c>
      <c r="AG132" s="11">
        <v>3</v>
      </c>
      <c r="AH132" s="11">
        <v>3</v>
      </c>
      <c r="AI132" s="11">
        <v>3</v>
      </c>
      <c r="AJ132" s="11">
        <v>3</v>
      </c>
      <c r="AK132" s="11">
        <v>3</v>
      </c>
      <c r="AL132" s="11">
        <v>4</v>
      </c>
      <c r="AM132" s="11">
        <v>6</v>
      </c>
      <c r="AN132" s="11">
        <v>3</v>
      </c>
      <c r="AO132" s="11">
        <v>3</v>
      </c>
      <c r="AP132" s="11">
        <v>6</v>
      </c>
      <c r="AQ132" s="11">
        <v>1</v>
      </c>
      <c r="AR132" s="11">
        <v>6</v>
      </c>
      <c r="AS132" s="11">
        <v>3</v>
      </c>
      <c r="AT132" s="11">
        <v>3</v>
      </c>
      <c r="AU132" s="11">
        <v>3</v>
      </c>
      <c r="AV132" s="11"/>
      <c r="AW132" s="11"/>
      <c r="AX132" s="11">
        <v>3</v>
      </c>
      <c r="AY132" s="11">
        <v>3</v>
      </c>
      <c r="AZ132" s="11">
        <v>3</v>
      </c>
      <c r="BA132" s="11">
        <v>4</v>
      </c>
      <c r="BB132" s="11"/>
      <c r="BC132" s="11"/>
      <c r="BD132" s="11">
        <v>4</v>
      </c>
      <c r="BE132" s="11">
        <v>6</v>
      </c>
      <c r="BF132" s="11">
        <v>4</v>
      </c>
      <c r="BG132" s="11">
        <v>4</v>
      </c>
      <c r="BH132" s="11">
        <v>6</v>
      </c>
      <c r="BI132" s="11">
        <v>6</v>
      </c>
      <c r="BJ132" s="11">
        <v>6</v>
      </c>
      <c r="BK132" s="11">
        <v>6</v>
      </c>
      <c r="BL132" s="11">
        <v>4</v>
      </c>
    </row>
    <row r="133" spans="1:129" ht="13.2">
      <c r="A133" s="15"/>
      <c r="B133" s="31" t="s">
        <v>161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spans="1:129" ht="13.2">
      <c r="A134" s="15"/>
      <c r="B134" s="15" t="s">
        <v>162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</row>
    <row r="135" spans="1:129" ht="13.2">
      <c r="A135" s="15"/>
      <c r="B135" s="15" t="s">
        <v>163</v>
      </c>
      <c r="C135" s="15">
        <v>25</v>
      </c>
      <c r="D135" s="15">
        <v>40</v>
      </c>
      <c r="E135" s="15">
        <v>30</v>
      </c>
      <c r="F135" s="15">
        <v>10</v>
      </c>
      <c r="G135" s="15">
        <v>1</v>
      </c>
      <c r="H135" s="15">
        <v>1</v>
      </c>
      <c r="I135" s="15">
        <v>1</v>
      </c>
      <c r="J135" s="15">
        <v>1</v>
      </c>
      <c r="K135" s="15">
        <v>1</v>
      </c>
      <c r="L135" s="15">
        <v>1</v>
      </c>
      <c r="M135" s="15">
        <v>1</v>
      </c>
      <c r="N135" s="15">
        <v>1</v>
      </c>
      <c r="O135" s="15">
        <v>1</v>
      </c>
      <c r="P135" s="15">
        <v>1</v>
      </c>
      <c r="Q135" s="15"/>
      <c r="R135" s="15">
        <v>30</v>
      </c>
      <c r="S135" s="15">
        <v>20</v>
      </c>
      <c r="T135" s="15">
        <v>80</v>
      </c>
      <c r="U135" s="15">
        <v>30</v>
      </c>
      <c r="V135" s="15">
        <v>5</v>
      </c>
      <c r="W135" s="15">
        <v>50</v>
      </c>
      <c r="X135" s="15">
        <v>50</v>
      </c>
      <c r="Y135" s="15">
        <v>20</v>
      </c>
      <c r="Z135" s="15">
        <v>90</v>
      </c>
      <c r="AA135" s="15">
        <v>70</v>
      </c>
      <c r="AB135" s="15">
        <v>80</v>
      </c>
      <c r="AC135" s="15">
        <v>80</v>
      </c>
      <c r="AD135" s="15">
        <v>80</v>
      </c>
      <c r="AE135" s="15">
        <v>90</v>
      </c>
      <c r="AF135" s="15">
        <v>80</v>
      </c>
      <c r="AG135" s="15">
        <v>90</v>
      </c>
      <c r="AH135" s="15">
        <v>90</v>
      </c>
      <c r="AI135" s="15">
        <v>1</v>
      </c>
      <c r="AJ135" s="15">
        <v>10</v>
      </c>
      <c r="AK135" s="15">
        <v>1</v>
      </c>
      <c r="AL135" s="15">
        <v>1</v>
      </c>
      <c r="AM135" s="15">
        <v>1</v>
      </c>
      <c r="AN135" s="15">
        <v>1</v>
      </c>
      <c r="AO135" s="15">
        <v>60</v>
      </c>
      <c r="AP135" s="15">
        <v>1</v>
      </c>
      <c r="AQ135" s="15">
        <v>1</v>
      </c>
      <c r="AR135" s="15">
        <v>1</v>
      </c>
      <c r="AS135" s="15">
        <v>1</v>
      </c>
      <c r="AT135" s="15">
        <v>30</v>
      </c>
      <c r="AU135" s="15">
        <v>1</v>
      </c>
      <c r="AV135" s="15">
        <v>1</v>
      </c>
      <c r="AW135" s="15">
        <v>70</v>
      </c>
      <c r="AX135" s="15">
        <v>1</v>
      </c>
      <c r="AY135" s="15">
        <v>1</v>
      </c>
      <c r="AZ135" s="15">
        <v>1</v>
      </c>
      <c r="BA135" s="15"/>
      <c r="BB135" s="15"/>
      <c r="BC135" s="15"/>
      <c r="BD135" s="15">
        <v>1</v>
      </c>
      <c r="BE135" s="15">
        <v>40</v>
      </c>
      <c r="BF135" s="15">
        <v>1</v>
      </c>
      <c r="BG135" s="15">
        <v>1</v>
      </c>
      <c r="BH135" s="15">
        <v>80</v>
      </c>
      <c r="BI135" s="15">
        <v>80</v>
      </c>
      <c r="BJ135" s="15">
        <v>20</v>
      </c>
      <c r="BK135" s="15">
        <v>80</v>
      </c>
      <c r="BL135" s="15">
        <v>80</v>
      </c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40"/>
      <c r="DW135" s="40"/>
      <c r="DX135" s="36"/>
      <c r="DY135" s="37"/>
    </row>
    <row r="136" spans="1:129" ht="13.2">
      <c r="A136" s="15"/>
      <c r="B136" s="15" t="s">
        <v>164</v>
      </c>
      <c r="C136" s="15">
        <v>25</v>
      </c>
      <c r="D136" s="15">
        <v>16</v>
      </c>
      <c r="E136" s="15">
        <v>25</v>
      </c>
      <c r="F136" s="15">
        <v>10</v>
      </c>
      <c r="G136" s="15">
        <v>1</v>
      </c>
      <c r="H136" s="15"/>
      <c r="I136" s="15"/>
      <c r="J136" s="15"/>
      <c r="K136" s="15"/>
      <c r="L136" s="15"/>
      <c r="M136" s="15"/>
      <c r="N136" s="15"/>
      <c r="O136" s="15"/>
      <c r="P136" s="15">
        <v>1</v>
      </c>
      <c r="Q136" s="15"/>
      <c r="R136" s="15"/>
      <c r="S136" s="15">
        <v>20</v>
      </c>
      <c r="T136" s="15">
        <v>5</v>
      </c>
      <c r="U136" s="15">
        <v>15</v>
      </c>
      <c r="V136" s="15">
        <v>5</v>
      </c>
      <c r="W136" s="15">
        <v>10</v>
      </c>
      <c r="X136" s="15">
        <v>20</v>
      </c>
      <c r="Y136" s="15">
        <v>10</v>
      </c>
      <c r="Z136" s="15"/>
      <c r="AA136" s="15">
        <v>5</v>
      </c>
      <c r="AB136" s="15"/>
      <c r="AC136" s="15"/>
      <c r="AD136" s="15">
        <v>5</v>
      </c>
      <c r="AE136" s="15"/>
      <c r="AF136" s="15"/>
      <c r="AG136" s="15">
        <v>10</v>
      </c>
      <c r="AH136" s="15"/>
      <c r="AI136" s="15"/>
      <c r="AJ136" s="15"/>
      <c r="AK136" s="15"/>
      <c r="AL136" s="15">
        <v>1</v>
      </c>
      <c r="AM136" s="15"/>
      <c r="AN136" s="15">
        <v>1</v>
      </c>
      <c r="AO136" s="15">
        <v>10</v>
      </c>
      <c r="AP136" s="15">
        <v>1</v>
      </c>
      <c r="AQ136" s="15">
        <v>1</v>
      </c>
      <c r="AR136" s="15"/>
      <c r="AS136" s="15"/>
      <c r="AT136" s="15">
        <v>10</v>
      </c>
      <c r="AU136" s="15"/>
      <c r="AV136" s="15">
        <v>1</v>
      </c>
      <c r="AW136" s="15">
        <v>10</v>
      </c>
      <c r="AX136" s="15"/>
      <c r="AY136" s="15">
        <v>1</v>
      </c>
      <c r="AZ136" s="15">
        <v>1</v>
      </c>
      <c r="BA136" s="15">
        <v>1</v>
      </c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40"/>
      <c r="DW136" s="40"/>
      <c r="DX136" s="36"/>
      <c r="DY136" s="37"/>
    </row>
    <row r="137" spans="1:129" ht="13.2">
      <c r="A137" s="15"/>
      <c r="B137" s="15" t="s">
        <v>165</v>
      </c>
      <c r="C137" s="15">
        <v>25</v>
      </c>
      <c r="D137" s="15">
        <v>28</v>
      </c>
      <c r="E137" s="15">
        <v>25</v>
      </c>
      <c r="F137" s="15">
        <v>70</v>
      </c>
      <c r="G137" s="15"/>
      <c r="H137" s="15">
        <v>1</v>
      </c>
      <c r="I137" s="15">
        <v>1</v>
      </c>
      <c r="J137" s="15">
        <v>1</v>
      </c>
      <c r="K137" s="15">
        <v>1</v>
      </c>
      <c r="L137" s="15"/>
      <c r="M137" s="15"/>
      <c r="N137" s="15"/>
      <c r="O137" s="15"/>
      <c r="P137" s="15">
        <v>1</v>
      </c>
      <c r="Q137" s="15"/>
      <c r="R137" s="15"/>
      <c r="S137" s="15">
        <v>60</v>
      </c>
      <c r="T137" s="15">
        <v>5</v>
      </c>
      <c r="U137" s="15">
        <v>10</v>
      </c>
      <c r="V137" s="15">
        <v>80</v>
      </c>
      <c r="W137" s="15">
        <v>40</v>
      </c>
      <c r="X137" s="15">
        <v>20</v>
      </c>
      <c r="Y137" s="15">
        <v>50</v>
      </c>
      <c r="Z137" s="15">
        <v>10</v>
      </c>
      <c r="AA137" s="15">
        <v>15</v>
      </c>
      <c r="AB137" s="15">
        <v>20</v>
      </c>
      <c r="AC137" s="15">
        <v>20</v>
      </c>
      <c r="AD137" s="15">
        <v>10</v>
      </c>
      <c r="AE137" s="15">
        <v>10</v>
      </c>
      <c r="AF137" s="15">
        <v>20</v>
      </c>
      <c r="AG137" s="15"/>
      <c r="AH137" s="15">
        <v>10</v>
      </c>
      <c r="AI137" s="15">
        <v>1</v>
      </c>
      <c r="AJ137" s="15">
        <v>90</v>
      </c>
      <c r="AK137" s="15"/>
      <c r="AL137" s="15">
        <v>1</v>
      </c>
      <c r="AM137" s="15"/>
      <c r="AN137" s="15">
        <v>1</v>
      </c>
      <c r="AO137" s="15">
        <v>10</v>
      </c>
      <c r="AP137" s="15">
        <v>1</v>
      </c>
      <c r="AQ137" s="15">
        <v>1</v>
      </c>
      <c r="AR137" s="15">
        <v>1</v>
      </c>
      <c r="AS137" s="15"/>
      <c r="AT137" s="15">
        <v>30</v>
      </c>
      <c r="AU137" s="15">
        <v>1</v>
      </c>
      <c r="AV137" s="15">
        <v>1</v>
      </c>
      <c r="AW137" s="15">
        <v>10</v>
      </c>
      <c r="AX137" s="15"/>
      <c r="AY137" s="15">
        <v>1</v>
      </c>
      <c r="AZ137" s="15"/>
      <c r="BA137" s="15"/>
      <c r="BB137" s="15"/>
      <c r="BC137" s="15"/>
      <c r="BD137" s="15">
        <v>1</v>
      </c>
      <c r="BE137" s="15">
        <v>60</v>
      </c>
      <c r="BF137" s="15">
        <v>1</v>
      </c>
      <c r="BG137" s="15">
        <v>1</v>
      </c>
      <c r="BH137" s="15">
        <v>20</v>
      </c>
      <c r="BI137" s="15">
        <v>20</v>
      </c>
      <c r="BJ137" s="15">
        <v>80</v>
      </c>
      <c r="BK137" s="15">
        <v>20</v>
      </c>
      <c r="BL137" s="15">
        <v>20</v>
      </c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40"/>
      <c r="DW137" s="40"/>
      <c r="DX137" s="36"/>
      <c r="DY137" s="37"/>
    </row>
    <row r="138" spans="1:129" ht="13.2">
      <c r="A138" s="15"/>
      <c r="B138" s="15" t="s">
        <v>166</v>
      </c>
      <c r="C138" s="15"/>
      <c r="D138" s="15">
        <v>2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>
        <v>20</v>
      </c>
      <c r="S138" s="15"/>
      <c r="T138" s="15">
        <v>5</v>
      </c>
      <c r="U138" s="15">
        <v>15</v>
      </c>
      <c r="V138" s="15">
        <v>5</v>
      </c>
      <c r="W138" s="15"/>
      <c r="X138" s="15"/>
      <c r="Y138" s="15">
        <v>10</v>
      </c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>
        <v>1</v>
      </c>
      <c r="AM138" s="15"/>
      <c r="AN138" s="15"/>
      <c r="AO138" s="15">
        <v>10</v>
      </c>
      <c r="AP138" s="15">
        <v>1</v>
      </c>
      <c r="AQ138" s="15"/>
      <c r="AR138" s="15"/>
      <c r="AS138" s="15"/>
      <c r="AT138" s="15"/>
      <c r="AU138" s="15"/>
      <c r="AV138" s="15"/>
      <c r="AW138" s="15"/>
      <c r="AX138" s="15">
        <v>1</v>
      </c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40"/>
      <c r="DW138" s="40"/>
      <c r="DX138" s="36"/>
      <c r="DY138" s="37"/>
    </row>
    <row r="139" spans="1:129" ht="13.2">
      <c r="A139" s="15"/>
      <c r="B139" s="15" t="s">
        <v>167</v>
      </c>
      <c r="C139" s="15">
        <v>25</v>
      </c>
      <c r="D139" s="15">
        <v>5</v>
      </c>
      <c r="E139" s="15">
        <v>10</v>
      </c>
      <c r="F139" s="15">
        <v>5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>
        <v>20</v>
      </c>
      <c r="S139" s="15"/>
      <c r="T139" s="15">
        <v>5</v>
      </c>
      <c r="U139" s="15">
        <v>15</v>
      </c>
      <c r="V139" s="15">
        <v>5</v>
      </c>
      <c r="W139" s="15"/>
      <c r="X139" s="15">
        <v>10</v>
      </c>
      <c r="Y139" s="15">
        <v>10</v>
      </c>
      <c r="Z139" s="15"/>
      <c r="AA139" s="15">
        <v>10</v>
      </c>
      <c r="AB139" s="15"/>
      <c r="AC139" s="15"/>
      <c r="AD139" s="15">
        <v>5</v>
      </c>
      <c r="AE139" s="15"/>
      <c r="AF139" s="15"/>
      <c r="AG139" s="15"/>
      <c r="AH139" s="15"/>
      <c r="AI139" s="15">
        <v>1</v>
      </c>
      <c r="AJ139" s="15"/>
      <c r="AK139" s="15"/>
      <c r="AL139" s="15">
        <v>1</v>
      </c>
      <c r="AM139" s="15"/>
      <c r="AN139" s="15"/>
      <c r="AO139" s="15">
        <v>10</v>
      </c>
      <c r="AP139" s="15">
        <v>1</v>
      </c>
      <c r="AQ139" s="15"/>
      <c r="AR139" s="15"/>
      <c r="AS139" s="15"/>
      <c r="AT139" s="15">
        <v>10</v>
      </c>
      <c r="AU139" s="15"/>
      <c r="AV139" s="15"/>
      <c r="AW139" s="15">
        <v>10</v>
      </c>
      <c r="AX139" s="15">
        <v>1</v>
      </c>
      <c r="AY139" s="15"/>
      <c r="AZ139" s="15">
        <v>1</v>
      </c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40"/>
      <c r="DW139" s="40"/>
      <c r="DX139" s="36"/>
      <c r="DY139" s="37"/>
    </row>
    <row r="140" spans="1:129" ht="13.2">
      <c r="A140" s="15"/>
      <c r="B140" s="15" t="s">
        <v>168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>
        <v>5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>
        <v>1</v>
      </c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40"/>
      <c r="DW140" s="40"/>
      <c r="DX140" s="36"/>
      <c r="DY140" s="37"/>
    </row>
    <row r="141" spans="1:129" ht="13.2">
      <c r="A141" s="15"/>
      <c r="B141" s="15" t="s">
        <v>169</v>
      </c>
      <c r="C141" s="15"/>
      <c r="D141" s="15">
        <v>2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>
        <v>5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40"/>
      <c r="DW141" s="40"/>
      <c r="DX141" s="36"/>
      <c r="DY141" s="37"/>
    </row>
    <row r="142" spans="1:129" ht="13.2">
      <c r="A142" s="15"/>
      <c r="B142" s="15" t="s">
        <v>170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40"/>
      <c r="DW142" s="40"/>
      <c r="DX142" s="36"/>
      <c r="DY142" s="37"/>
    </row>
    <row r="143" spans="1:129" ht="13.2">
      <c r="A143" s="15"/>
      <c r="B143" s="15" t="s">
        <v>171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>
        <v>30</v>
      </c>
      <c r="S143" s="15"/>
      <c r="T143" s="15"/>
      <c r="U143" s="15">
        <v>5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40"/>
      <c r="DW143" s="40"/>
      <c r="DX143" s="36"/>
      <c r="DY143" s="37"/>
    </row>
    <row r="144" spans="1:129" ht="13.2">
      <c r="A144" s="15"/>
      <c r="B144" s="15" t="s">
        <v>172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>
        <v>1</v>
      </c>
      <c r="AJ144" s="15"/>
      <c r="AK144" s="15"/>
      <c r="AL144" s="15"/>
      <c r="AM144" s="15"/>
      <c r="AN144" s="15"/>
      <c r="AO144" s="15"/>
      <c r="AP144" s="15"/>
      <c r="AQ144" s="15"/>
      <c r="AR144" s="15">
        <v>1</v>
      </c>
      <c r="AS144" s="15">
        <v>1</v>
      </c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40"/>
      <c r="DW144" s="40"/>
      <c r="DX144" s="36"/>
      <c r="DY144" s="37"/>
    </row>
    <row r="145" spans="1:129" ht="13.2">
      <c r="A145" s="15"/>
      <c r="B145" s="15" t="s">
        <v>173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40"/>
      <c r="DW145" s="40"/>
      <c r="DX145" s="36"/>
      <c r="DY145" s="37"/>
    </row>
    <row r="146" spans="1:129" ht="13.2">
      <c r="A146" s="15"/>
      <c r="B146" s="15" t="s">
        <v>174</v>
      </c>
      <c r="C146" s="15"/>
      <c r="D146" s="15">
        <v>3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40"/>
      <c r="DW146" s="40"/>
      <c r="DX146" s="36"/>
      <c r="DY146" s="37"/>
    </row>
    <row r="147" spans="1:129" ht="13.2">
      <c r="A147" s="15"/>
      <c r="B147" s="15" t="s">
        <v>175</v>
      </c>
      <c r="C147" s="15"/>
      <c r="D147" s="15">
        <v>4</v>
      </c>
      <c r="E147" s="15"/>
      <c r="F147" s="15">
        <v>5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>
        <v>1</v>
      </c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40"/>
      <c r="DW147" s="40"/>
      <c r="DX147" s="36"/>
      <c r="DY147" s="37"/>
    </row>
    <row r="148" spans="1:129" ht="13.2">
      <c r="A148" s="15"/>
      <c r="B148" s="15" t="s">
        <v>210</v>
      </c>
      <c r="C148" s="15">
        <f>SUM(C135:C147)</f>
        <v>100</v>
      </c>
      <c r="D148" s="15">
        <f>SUM(D135:D147)</f>
        <v>100</v>
      </c>
      <c r="E148" s="15">
        <f t="shared" ref="E148:BL148" si="3">SUM(E135:E147)</f>
        <v>90</v>
      </c>
      <c r="F148" s="15">
        <f t="shared" si="3"/>
        <v>100</v>
      </c>
      <c r="G148" s="15">
        <f t="shared" si="3"/>
        <v>2</v>
      </c>
      <c r="H148" s="15">
        <f t="shared" si="3"/>
        <v>2</v>
      </c>
      <c r="I148" s="15">
        <f t="shared" si="3"/>
        <v>2</v>
      </c>
      <c r="J148" s="15">
        <f t="shared" si="3"/>
        <v>2</v>
      </c>
      <c r="K148" s="15">
        <f t="shared" si="3"/>
        <v>2</v>
      </c>
      <c r="L148" s="15">
        <f t="shared" si="3"/>
        <v>1</v>
      </c>
      <c r="M148" s="15">
        <f t="shared" si="3"/>
        <v>1</v>
      </c>
      <c r="N148" s="15">
        <f t="shared" si="3"/>
        <v>1</v>
      </c>
      <c r="O148" s="15">
        <f t="shared" si="3"/>
        <v>1</v>
      </c>
      <c r="P148" s="15">
        <f t="shared" si="3"/>
        <v>3</v>
      </c>
      <c r="Q148" s="15">
        <f t="shared" si="3"/>
        <v>0</v>
      </c>
      <c r="R148" s="15">
        <f t="shared" si="3"/>
        <v>100</v>
      </c>
      <c r="S148" s="15">
        <f t="shared" si="3"/>
        <v>100</v>
      </c>
      <c r="T148" s="15">
        <f t="shared" si="3"/>
        <v>100</v>
      </c>
      <c r="U148" s="15">
        <f t="shared" si="3"/>
        <v>100</v>
      </c>
      <c r="V148" s="15">
        <f t="shared" si="3"/>
        <v>100</v>
      </c>
      <c r="W148" s="15">
        <f t="shared" si="3"/>
        <v>100</v>
      </c>
      <c r="X148" s="15">
        <f t="shared" si="3"/>
        <v>100</v>
      </c>
      <c r="Y148" s="15">
        <f t="shared" si="3"/>
        <v>100</v>
      </c>
      <c r="Z148" s="15">
        <f t="shared" si="3"/>
        <v>100</v>
      </c>
      <c r="AA148" s="15">
        <f t="shared" si="3"/>
        <v>100</v>
      </c>
      <c r="AB148" s="15">
        <f t="shared" si="3"/>
        <v>100</v>
      </c>
      <c r="AC148" s="15">
        <f t="shared" si="3"/>
        <v>100</v>
      </c>
      <c r="AD148" s="15">
        <f t="shared" si="3"/>
        <v>100</v>
      </c>
      <c r="AE148" s="15">
        <f t="shared" si="3"/>
        <v>100</v>
      </c>
      <c r="AF148" s="15">
        <f t="shared" si="3"/>
        <v>100</v>
      </c>
      <c r="AG148" s="15">
        <f t="shared" si="3"/>
        <v>100</v>
      </c>
      <c r="AH148" s="15">
        <f t="shared" si="3"/>
        <v>100</v>
      </c>
      <c r="AI148" s="15">
        <f t="shared" si="3"/>
        <v>4</v>
      </c>
      <c r="AJ148" s="15">
        <f t="shared" si="3"/>
        <v>100</v>
      </c>
      <c r="AK148" s="15">
        <f t="shared" si="3"/>
        <v>1</v>
      </c>
      <c r="AL148" s="15">
        <f t="shared" si="3"/>
        <v>6</v>
      </c>
      <c r="AM148" s="15">
        <f t="shared" si="3"/>
        <v>1</v>
      </c>
      <c r="AN148" s="15">
        <f t="shared" si="3"/>
        <v>3</v>
      </c>
      <c r="AO148" s="15">
        <f t="shared" si="3"/>
        <v>100</v>
      </c>
      <c r="AP148" s="15">
        <f t="shared" si="3"/>
        <v>5</v>
      </c>
      <c r="AQ148" s="15">
        <f t="shared" si="3"/>
        <v>3</v>
      </c>
      <c r="AR148" s="15">
        <f t="shared" si="3"/>
        <v>4</v>
      </c>
      <c r="AS148" s="15">
        <f t="shared" si="3"/>
        <v>2</v>
      </c>
      <c r="AT148" s="15">
        <f t="shared" si="3"/>
        <v>80</v>
      </c>
      <c r="AU148" s="15">
        <f t="shared" si="3"/>
        <v>2</v>
      </c>
      <c r="AV148" s="15">
        <f t="shared" si="3"/>
        <v>3</v>
      </c>
      <c r="AW148" s="15">
        <f t="shared" si="3"/>
        <v>100</v>
      </c>
      <c r="AX148" s="15">
        <f t="shared" si="3"/>
        <v>3</v>
      </c>
      <c r="AY148" s="15">
        <f t="shared" si="3"/>
        <v>3</v>
      </c>
      <c r="AZ148" s="15">
        <f t="shared" si="3"/>
        <v>3</v>
      </c>
      <c r="BA148" s="15">
        <f t="shared" si="3"/>
        <v>1</v>
      </c>
      <c r="BB148" s="15">
        <f t="shared" si="3"/>
        <v>0</v>
      </c>
      <c r="BC148" s="15">
        <f t="shared" si="3"/>
        <v>0</v>
      </c>
      <c r="BD148" s="15">
        <f t="shared" si="3"/>
        <v>2</v>
      </c>
      <c r="BE148" s="15">
        <f t="shared" si="3"/>
        <v>100</v>
      </c>
      <c r="BF148" s="15">
        <f t="shared" si="3"/>
        <v>2</v>
      </c>
      <c r="BG148" s="15">
        <f t="shared" si="3"/>
        <v>2</v>
      </c>
      <c r="BH148" s="15">
        <f t="shared" si="3"/>
        <v>100</v>
      </c>
      <c r="BI148" s="15">
        <f t="shared" si="3"/>
        <v>100</v>
      </c>
      <c r="BJ148" s="15">
        <f t="shared" si="3"/>
        <v>100</v>
      </c>
      <c r="BK148" s="15">
        <f t="shared" si="3"/>
        <v>100</v>
      </c>
      <c r="BL148" s="15">
        <f t="shared" si="3"/>
        <v>100</v>
      </c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41"/>
      <c r="DW148" s="41"/>
      <c r="DX148" s="36"/>
      <c r="DY148" s="37"/>
    </row>
    <row r="149" spans="1:129" ht="13.2">
      <c r="A149" s="15"/>
      <c r="B149" s="15" t="s">
        <v>176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40"/>
      <c r="DW149" s="40"/>
      <c r="DX149" s="37"/>
      <c r="DY149" s="37"/>
    </row>
    <row r="150" spans="1:129" ht="13.2">
      <c r="A150" s="15"/>
      <c r="B150" s="15" t="s">
        <v>163</v>
      </c>
      <c r="C150" s="15">
        <v>100</v>
      </c>
      <c r="D150" s="15">
        <v>70</v>
      </c>
      <c r="E150" s="15">
        <v>80</v>
      </c>
      <c r="F150" s="15">
        <v>95</v>
      </c>
      <c r="G150" s="15">
        <v>1</v>
      </c>
      <c r="H150" s="15">
        <v>1</v>
      </c>
      <c r="I150" s="15">
        <v>1</v>
      </c>
      <c r="J150" s="15">
        <v>1</v>
      </c>
      <c r="K150" s="15">
        <v>1</v>
      </c>
      <c r="L150" s="15">
        <v>1</v>
      </c>
      <c r="M150" s="15">
        <v>1</v>
      </c>
      <c r="N150" s="15">
        <v>1</v>
      </c>
      <c r="O150" s="15">
        <v>1</v>
      </c>
      <c r="P150" s="15">
        <v>1</v>
      </c>
      <c r="Q150" s="15">
        <v>1</v>
      </c>
      <c r="R150" s="15">
        <v>90</v>
      </c>
      <c r="S150" s="15">
        <v>90</v>
      </c>
      <c r="T150" s="15">
        <v>80</v>
      </c>
      <c r="U150" s="15">
        <v>80</v>
      </c>
      <c r="V150" s="15">
        <v>80</v>
      </c>
      <c r="W150" s="15">
        <v>100</v>
      </c>
      <c r="X150" s="15">
        <v>80</v>
      </c>
      <c r="Y150" s="15">
        <v>80</v>
      </c>
      <c r="Z150" s="15">
        <v>100</v>
      </c>
      <c r="AA150" s="15">
        <v>70</v>
      </c>
      <c r="AB150" s="15">
        <v>100</v>
      </c>
      <c r="AC150" s="15">
        <v>100</v>
      </c>
      <c r="AD150" s="15">
        <v>100</v>
      </c>
      <c r="AE150" s="15">
        <v>100</v>
      </c>
      <c r="AF150" s="15"/>
      <c r="AG150" s="15">
        <v>100</v>
      </c>
      <c r="AH150" s="15">
        <v>100</v>
      </c>
      <c r="AI150" s="15">
        <v>1</v>
      </c>
      <c r="AJ150" s="15">
        <v>10</v>
      </c>
      <c r="AK150" s="15">
        <v>1</v>
      </c>
      <c r="AL150" s="15">
        <v>1</v>
      </c>
      <c r="AM150" s="15">
        <v>1</v>
      </c>
      <c r="AN150" s="15">
        <v>1</v>
      </c>
      <c r="AO150" s="15">
        <v>80</v>
      </c>
      <c r="AP150" s="15">
        <v>1</v>
      </c>
      <c r="AQ150" s="15">
        <v>1</v>
      </c>
      <c r="AR150" s="15">
        <v>1</v>
      </c>
      <c r="AS150" s="15">
        <v>1</v>
      </c>
      <c r="AT150" s="15">
        <v>100</v>
      </c>
      <c r="AU150" s="15">
        <v>1</v>
      </c>
      <c r="AV150" s="15">
        <v>1</v>
      </c>
      <c r="AW150" s="15">
        <v>100</v>
      </c>
      <c r="AX150" s="15">
        <v>1</v>
      </c>
      <c r="AY150" s="15">
        <v>1</v>
      </c>
      <c r="AZ150" s="15">
        <v>1</v>
      </c>
      <c r="BA150" s="15">
        <v>1</v>
      </c>
      <c r="BB150" s="15"/>
      <c r="BC150" s="15"/>
      <c r="BD150" s="15">
        <v>1</v>
      </c>
      <c r="BE150" s="15">
        <v>60</v>
      </c>
      <c r="BF150" s="15">
        <v>1</v>
      </c>
      <c r="BG150" s="15">
        <v>1</v>
      </c>
      <c r="BH150" s="15">
        <v>80</v>
      </c>
      <c r="BI150" s="15">
        <v>80</v>
      </c>
      <c r="BJ150" s="15">
        <v>80</v>
      </c>
      <c r="BK150" s="15">
        <v>80</v>
      </c>
      <c r="BL150" s="15">
        <v>80</v>
      </c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40"/>
      <c r="DW150" s="40"/>
      <c r="DX150" s="36"/>
      <c r="DY150" s="37"/>
    </row>
    <row r="151" spans="1:129" ht="13.2">
      <c r="A151" s="15"/>
      <c r="B151" s="15" t="s">
        <v>164</v>
      </c>
      <c r="C151" s="15"/>
      <c r="D151" s="15">
        <v>10</v>
      </c>
      <c r="E151" s="15"/>
      <c r="F151" s="15">
        <v>5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1</v>
      </c>
      <c r="Q151" s="15"/>
      <c r="R151" s="15"/>
      <c r="S151" s="15">
        <v>2</v>
      </c>
      <c r="T151" s="15">
        <v>5</v>
      </c>
      <c r="U151" s="15"/>
      <c r="V151" s="15">
        <v>5</v>
      </c>
      <c r="W151" s="15"/>
      <c r="X151" s="15"/>
      <c r="Y151" s="15"/>
      <c r="Z151" s="15"/>
      <c r="AA151" s="15">
        <v>5</v>
      </c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>
        <v>1</v>
      </c>
      <c r="AM151" s="15"/>
      <c r="AN151" s="15"/>
      <c r="AO151" s="15">
        <v>10</v>
      </c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>
        <v>1</v>
      </c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40"/>
      <c r="DW151" s="40"/>
      <c r="DX151" s="36"/>
      <c r="DY151" s="37"/>
    </row>
    <row r="152" spans="1:129" ht="13.2">
      <c r="A152" s="15"/>
      <c r="B152" s="15" t="s">
        <v>165</v>
      </c>
      <c r="C152" s="15"/>
      <c r="D152" s="15">
        <v>20</v>
      </c>
      <c r="E152" s="15">
        <v>15</v>
      </c>
      <c r="F152" s="15"/>
      <c r="G152" s="15"/>
      <c r="H152" s="15">
        <v>1</v>
      </c>
      <c r="I152" s="15"/>
      <c r="J152" s="15"/>
      <c r="K152" s="15"/>
      <c r="L152" s="15"/>
      <c r="M152" s="15">
        <v>1</v>
      </c>
      <c r="N152" s="15"/>
      <c r="O152" s="15"/>
      <c r="P152" s="15">
        <v>1</v>
      </c>
      <c r="Q152" s="15"/>
      <c r="R152" s="15"/>
      <c r="S152" s="15">
        <v>2</v>
      </c>
      <c r="T152" s="15">
        <v>5</v>
      </c>
      <c r="U152" s="15">
        <v>5</v>
      </c>
      <c r="V152" s="15">
        <v>5</v>
      </c>
      <c r="W152" s="15"/>
      <c r="X152" s="15">
        <v>10</v>
      </c>
      <c r="Y152" s="15">
        <v>20</v>
      </c>
      <c r="Z152" s="15"/>
      <c r="AA152" s="15">
        <v>15</v>
      </c>
      <c r="AB152" s="15"/>
      <c r="AC152" s="15"/>
      <c r="AD152" s="15"/>
      <c r="AE152" s="15"/>
      <c r="AF152" s="15"/>
      <c r="AG152" s="15"/>
      <c r="AH152" s="15"/>
      <c r="AI152" s="15">
        <v>1</v>
      </c>
      <c r="AJ152" s="15">
        <v>90</v>
      </c>
      <c r="AK152" s="15"/>
      <c r="AL152" s="15">
        <v>1</v>
      </c>
      <c r="AM152" s="15"/>
      <c r="AN152" s="15"/>
      <c r="AO152" s="15">
        <v>10</v>
      </c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>
        <v>1</v>
      </c>
      <c r="BE152" s="15">
        <v>40</v>
      </c>
      <c r="BF152" s="15"/>
      <c r="BG152" s="15">
        <v>1</v>
      </c>
      <c r="BH152" s="15">
        <v>20</v>
      </c>
      <c r="BI152" s="15">
        <v>20</v>
      </c>
      <c r="BJ152" s="15">
        <v>20</v>
      </c>
      <c r="BK152" s="15">
        <v>20</v>
      </c>
      <c r="BL152" s="15">
        <v>20</v>
      </c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40"/>
      <c r="DW152" s="40"/>
      <c r="DX152" s="36"/>
      <c r="DY152" s="37"/>
    </row>
    <row r="153" spans="1:129" ht="13.2">
      <c r="A153" s="15"/>
      <c r="B153" s="15" t="s">
        <v>166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>
        <v>1</v>
      </c>
      <c r="N153" s="15"/>
      <c r="O153" s="15"/>
      <c r="P153" s="15"/>
      <c r="Q153" s="15"/>
      <c r="R153" s="15"/>
      <c r="S153" s="15"/>
      <c r="T153" s="15">
        <v>5</v>
      </c>
      <c r="U153" s="15">
        <v>5</v>
      </c>
      <c r="V153" s="15">
        <v>5</v>
      </c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>
        <v>1</v>
      </c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40"/>
      <c r="DW153" s="40"/>
      <c r="DX153" s="36"/>
      <c r="DY153" s="37"/>
    </row>
    <row r="154" spans="1:129" ht="13.2">
      <c r="A154" s="15"/>
      <c r="B154" s="15" t="s">
        <v>167</v>
      </c>
      <c r="C154" s="15"/>
      <c r="D154" s="15"/>
      <c r="E154" s="15">
        <v>5</v>
      </c>
      <c r="F154" s="15"/>
      <c r="G154" s="15"/>
      <c r="H154" s="15"/>
      <c r="I154" s="15">
        <v>1</v>
      </c>
      <c r="J154" s="15"/>
      <c r="K154" s="15"/>
      <c r="L154" s="15"/>
      <c r="M154" s="15">
        <v>1</v>
      </c>
      <c r="N154" s="15"/>
      <c r="O154" s="15"/>
      <c r="P154" s="15"/>
      <c r="Q154" s="15"/>
      <c r="R154" s="15">
        <v>10</v>
      </c>
      <c r="S154" s="15">
        <v>2</v>
      </c>
      <c r="T154" s="15">
        <v>5</v>
      </c>
      <c r="U154" s="15">
        <v>5</v>
      </c>
      <c r="V154" s="15">
        <v>5</v>
      </c>
      <c r="W154" s="15"/>
      <c r="X154" s="15">
        <v>10</v>
      </c>
      <c r="Y154" s="15"/>
      <c r="Z154" s="15"/>
      <c r="AA154" s="15">
        <v>10</v>
      </c>
      <c r="AB154" s="15"/>
      <c r="AC154" s="15"/>
      <c r="AD154" s="15"/>
      <c r="AE154" s="15"/>
      <c r="AF154" s="15"/>
      <c r="AG154" s="15"/>
      <c r="AH154" s="15"/>
      <c r="AI154" s="15">
        <v>1</v>
      </c>
      <c r="AJ154" s="15"/>
      <c r="AK154" s="15"/>
      <c r="AL154" s="15">
        <v>1</v>
      </c>
      <c r="AM154" s="15"/>
      <c r="AN154" s="15"/>
      <c r="AO154" s="15"/>
      <c r="AP154" s="15"/>
      <c r="AQ154" s="15"/>
      <c r="AR154" s="15"/>
      <c r="AS154" s="15"/>
      <c r="AT154" s="15"/>
      <c r="AU154" s="15">
        <v>1</v>
      </c>
      <c r="AV154" s="15"/>
      <c r="AW154" s="15"/>
      <c r="AX154" s="15">
        <v>1</v>
      </c>
      <c r="AY154" s="15">
        <v>1</v>
      </c>
      <c r="AZ154" s="15">
        <v>1</v>
      </c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40"/>
      <c r="DW154" s="40"/>
      <c r="DX154" s="36"/>
      <c r="DY154" s="37"/>
    </row>
    <row r="155" spans="1:129" ht="13.2">
      <c r="A155" s="15"/>
      <c r="B155" s="15" t="s">
        <v>168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>
        <v>1</v>
      </c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40"/>
      <c r="DW155" s="40"/>
      <c r="DX155" s="36"/>
      <c r="DY155" s="37"/>
    </row>
    <row r="156" spans="1:129" ht="13.2">
      <c r="A156" s="15"/>
      <c r="B156" s="15" t="s">
        <v>169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40"/>
      <c r="DW156" s="40"/>
      <c r="DX156" s="36"/>
      <c r="DY156" s="37"/>
    </row>
    <row r="157" spans="1:129" ht="13.2">
      <c r="A157" s="15"/>
      <c r="B157" s="15" t="s">
        <v>170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40"/>
      <c r="DW157" s="40"/>
      <c r="DX157" s="36"/>
      <c r="DY157" s="37"/>
    </row>
    <row r="158" spans="1:129" ht="13.2">
      <c r="A158" s="15"/>
      <c r="B158" s="15" t="s">
        <v>171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>
        <v>5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40"/>
      <c r="DW158" s="40"/>
      <c r="DX158" s="36"/>
      <c r="DY158" s="37"/>
    </row>
    <row r="159" spans="1:129" ht="13.2">
      <c r="A159" s="15"/>
      <c r="B159" s="15" t="s">
        <v>172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>
        <v>2</v>
      </c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40"/>
      <c r="DW159" s="40"/>
      <c r="DX159" s="36"/>
      <c r="DY159" s="37"/>
    </row>
    <row r="160" spans="1:129" ht="13.2">
      <c r="A160" s="15"/>
      <c r="B160" s="15" t="s">
        <v>173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40"/>
      <c r="DW160" s="40"/>
      <c r="DX160" s="36"/>
      <c r="DY160" s="37"/>
    </row>
    <row r="161" spans="1:129" ht="13.2">
      <c r="A161" s="15"/>
      <c r="B161" s="15" t="s">
        <v>174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>
        <v>2</v>
      </c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40"/>
      <c r="DW161" s="40"/>
      <c r="DX161" s="36"/>
      <c r="DY161" s="37"/>
    </row>
    <row r="162" spans="1:129" ht="13.2">
      <c r="A162" s="15"/>
      <c r="B162" s="15" t="s">
        <v>175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40"/>
      <c r="DW162" s="40"/>
      <c r="DX162" s="36"/>
      <c r="DY162" s="37"/>
    </row>
    <row r="163" spans="1:129" ht="13.2">
      <c r="A163" s="15"/>
      <c r="B163" s="15" t="s">
        <v>210</v>
      </c>
      <c r="C163" s="15">
        <f>SUM(C150:C162)</f>
        <v>100</v>
      </c>
      <c r="D163" s="15">
        <f t="shared" ref="D163:BL163" si="4">SUM(D150:D162)</f>
        <v>100</v>
      </c>
      <c r="E163" s="15">
        <f t="shared" si="4"/>
        <v>100</v>
      </c>
      <c r="F163" s="15">
        <f t="shared" si="4"/>
        <v>100</v>
      </c>
      <c r="G163" s="15">
        <f t="shared" si="4"/>
        <v>1</v>
      </c>
      <c r="H163" s="15">
        <f t="shared" si="4"/>
        <v>2</v>
      </c>
      <c r="I163" s="15">
        <f t="shared" si="4"/>
        <v>2</v>
      </c>
      <c r="J163" s="15">
        <f t="shared" si="4"/>
        <v>1</v>
      </c>
      <c r="K163" s="15">
        <f t="shared" si="4"/>
        <v>1</v>
      </c>
      <c r="L163" s="15">
        <f t="shared" si="4"/>
        <v>1</v>
      </c>
      <c r="M163" s="15">
        <f t="shared" si="4"/>
        <v>4</v>
      </c>
      <c r="N163" s="15">
        <f t="shared" si="4"/>
        <v>1</v>
      </c>
      <c r="O163" s="15">
        <f t="shared" si="4"/>
        <v>1</v>
      </c>
      <c r="P163" s="15">
        <f t="shared" si="4"/>
        <v>3</v>
      </c>
      <c r="Q163" s="15">
        <f t="shared" si="4"/>
        <v>1</v>
      </c>
      <c r="R163" s="15">
        <f t="shared" si="4"/>
        <v>100</v>
      </c>
      <c r="S163" s="15">
        <f t="shared" si="4"/>
        <v>100</v>
      </c>
      <c r="T163" s="15">
        <f t="shared" si="4"/>
        <v>100</v>
      </c>
      <c r="U163" s="15">
        <f t="shared" si="4"/>
        <v>100</v>
      </c>
      <c r="V163" s="15">
        <f t="shared" si="4"/>
        <v>100</v>
      </c>
      <c r="W163" s="15">
        <f t="shared" si="4"/>
        <v>100</v>
      </c>
      <c r="X163" s="15">
        <f t="shared" si="4"/>
        <v>100</v>
      </c>
      <c r="Y163" s="15">
        <f t="shared" si="4"/>
        <v>100</v>
      </c>
      <c r="Z163" s="15">
        <f t="shared" si="4"/>
        <v>100</v>
      </c>
      <c r="AA163" s="15">
        <f t="shared" si="4"/>
        <v>100</v>
      </c>
      <c r="AB163" s="15">
        <f t="shared" si="4"/>
        <v>100</v>
      </c>
      <c r="AC163" s="15">
        <f t="shared" si="4"/>
        <v>100</v>
      </c>
      <c r="AD163" s="15">
        <f t="shared" si="4"/>
        <v>100</v>
      </c>
      <c r="AE163" s="15">
        <f t="shared" si="4"/>
        <v>100</v>
      </c>
      <c r="AF163" s="15">
        <f t="shared" si="4"/>
        <v>0</v>
      </c>
      <c r="AG163" s="15">
        <f t="shared" si="4"/>
        <v>100</v>
      </c>
      <c r="AH163" s="15">
        <f t="shared" si="4"/>
        <v>100</v>
      </c>
      <c r="AI163" s="15">
        <f t="shared" si="4"/>
        <v>3</v>
      </c>
      <c r="AJ163" s="15">
        <f t="shared" si="4"/>
        <v>100</v>
      </c>
      <c r="AK163" s="15">
        <f t="shared" si="4"/>
        <v>1</v>
      </c>
      <c r="AL163" s="15">
        <f t="shared" si="4"/>
        <v>6</v>
      </c>
      <c r="AM163" s="15">
        <f t="shared" si="4"/>
        <v>1</v>
      </c>
      <c r="AN163" s="15">
        <f t="shared" si="4"/>
        <v>1</v>
      </c>
      <c r="AO163" s="15">
        <f t="shared" si="4"/>
        <v>100</v>
      </c>
      <c r="AP163" s="15">
        <f t="shared" si="4"/>
        <v>1</v>
      </c>
      <c r="AQ163" s="15">
        <f t="shared" si="4"/>
        <v>1</v>
      </c>
      <c r="AR163" s="15">
        <f t="shared" si="4"/>
        <v>1</v>
      </c>
      <c r="AS163" s="15">
        <f t="shared" si="4"/>
        <v>1</v>
      </c>
      <c r="AT163" s="15">
        <f t="shared" si="4"/>
        <v>100</v>
      </c>
      <c r="AU163" s="15">
        <f t="shared" si="4"/>
        <v>2</v>
      </c>
      <c r="AV163" s="15">
        <f t="shared" si="4"/>
        <v>1</v>
      </c>
      <c r="AW163" s="15">
        <f t="shared" si="4"/>
        <v>100</v>
      </c>
      <c r="AX163" s="15">
        <f t="shared" si="4"/>
        <v>2</v>
      </c>
      <c r="AY163" s="15">
        <f t="shared" si="4"/>
        <v>2</v>
      </c>
      <c r="AZ163" s="15">
        <f t="shared" si="4"/>
        <v>2</v>
      </c>
      <c r="BA163" s="15">
        <f t="shared" si="4"/>
        <v>2</v>
      </c>
      <c r="BB163" s="15">
        <f t="shared" si="4"/>
        <v>0</v>
      </c>
      <c r="BC163" s="15">
        <f t="shared" si="4"/>
        <v>0</v>
      </c>
      <c r="BD163" s="15">
        <f t="shared" si="4"/>
        <v>2</v>
      </c>
      <c r="BE163" s="15">
        <f t="shared" si="4"/>
        <v>100</v>
      </c>
      <c r="BF163" s="15">
        <f t="shared" si="4"/>
        <v>1</v>
      </c>
      <c r="BG163" s="15">
        <f t="shared" si="4"/>
        <v>2</v>
      </c>
      <c r="BH163" s="15">
        <f t="shared" si="4"/>
        <v>100</v>
      </c>
      <c r="BI163" s="15">
        <f t="shared" si="4"/>
        <v>100</v>
      </c>
      <c r="BJ163" s="15">
        <f t="shared" si="4"/>
        <v>100</v>
      </c>
      <c r="BK163" s="15">
        <f t="shared" si="4"/>
        <v>100</v>
      </c>
      <c r="BL163" s="15">
        <f t="shared" si="4"/>
        <v>100</v>
      </c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41"/>
      <c r="DW163" s="41"/>
      <c r="DX163" s="36"/>
      <c r="DY163" s="37"/>
    </row>
    <row r="164" spans="1:129" ht="13.2">
      <c r="A164" s="15"/>
      <c r="B164" s="15" t="s">
        <v>177</v>
      </c>
      <c r="C164" s="15">
        <v>3</v>
      </c>
      <c r="D164" s="15">
        <v>2</v>
      </c>
      <c r="E164" s="15">
        <v>1</v>
      </c>
      <c r="F164" s="15">
        <v>1</v>
      </c>
      <c r="G164" s="15">
        <v>6</v>
      </c>
      <c r="H164" s="15">
        <v>6</v>
      </c>
      <c r="I164" s="15">
        <v>5</v>
      </c>
      <c r="J164" s="15">
        <v>3</v>
      </c>
      <c r="K164" s="15"/>
      <c r="L164" s="15">
        <v>6</v>
      </c>
      <c r="M164" s="15">
        <v>3</v>
      </c>
      <c r="N164" s="15">
        <v>6</v>
      </c>
      <c r="O164" s="15">
        <v>4</v>
      </c>
      <c r="P164" s="15">
        <v>5</v>
      </c>
      <c r="Q164" s="15">
        <v>2</v>
      </c>
      <c r="R164" s="15">
        <v>6</v>
      </c>
      <c r="S164" s="15">
        <v>6</v>
      </c>
      <c r="T164" s="15">
        <v>6</v>
      </c>
      <c r="U164" s="15">
        <v>5</v>
      </c>
      <c r="V164" s="15">
        <v>6</v>
      </c>
      <c r="W164" s="15">
        <v>3</v>
      </c>
      <c r="X164" s="15">
        <v>3</v>
      </c>
      <c r="Y164" s="15">
        <v>4</v>
      </c>
      <c r="Z164" s="15">
        <v>5</v>
      </c>
      <c r="AA164" s="15">
        <v>2</v>
      </c>
      <c r="AB164" s="15">
        <v>4</v>
      </c>
      <c r="AC164" s="15">
        <v>4</v>
      </c>
      <c r="AD164" s="15">
        <v>3</v>
      </c>
      <c r="AE164" s="15">
        <v>6</v>
      </c>
      <c r="AF164" s="15"/>
      <c r="AG164" s="15">
        <v>3</v>
      </c>
      <c r="AH164" s="15">
        <v>5</v>
      </c>
      <c r="AI164" s="15">
        <v>5</v>
      </c>
      <c r="AJ164" s="15">
        <v>6</v>
      </c>
      <c r="AK164" s="15">
        <v>6</v>
      </c>
      <c r="AL164" s="15">
        <v>6</v>
      </c>
      <c r="AM164" s="15">
        <v>6</v>
      </c>
      <c r="AN164" s="15">
        <v>6</v>
      </c>
      <c r="AO164" s="15">
        <v>4</v>
      </c>
      <c r="AP164" s="15">
        <v>6</v>
      </c>
      <c r="AQ164" s="15">
        <v>4</v>
      </c>
      <c r="AR164" s="15">
        <v>6</v>
      </c>
      <c r="AS164" s="15">
        <v>6</v>
      </c>
      <c r="AT164" s="15">
        <v>4</v>
      </c>
      <c r="AU164" s="15">
        <v>5</v>
      </c>
      <c r="AV164" s="15">
        <v>4</v>
      </c>
      <c r="AW164" s="15">
        <v>6</v>
      </c>
      <c r="AX164" s="15">
        <v>4</v>
      </c>
      <c r="AY164" s="15">
        <v>5</v>
      </c>
      <c r="AZ164" s="15">
        <v>5</v>
      </c>
      <c r="BA164" s="15">
        <v>4</v>
      </c>
      <c r="BB164" s="15">
        <v>4</v>
      </c>
      <c r="BC164" s="15"/>
      <c r="BD164" s="15">
        <v>6</v>
      </c>
      <c r="BE164" s="15">
        <v>6</v>
      </c>
      <c r="BF164" s="15">
        <v>5</v>
      </c>
      <c r="BG164" s="15">
        <v>6</v>
      </c>
      <c r="BH164" s="15">
        <v>6</v>
      </c>
      <c r="BI164" s="15">
        <v>6</v>
      </c>
      <c r="BJ164" s="15">
        <v>6</v>
      </c>
      <c r="BK164" s="15">
        <v>6</v>
      </c>
      <c r="BL164" s="15">
        <v>6</v>
      </c>
    </row>
    <row r="165" spans="1:129" ht="13.2">
      <c r="A165" s="15"/>
      <c r="B165" s="15" t="s">
        <v>178</v>
      </c>
      <c r="C165" s="15">
        <v>0</v>
      </c>
      <c r="D165" s="15">
        <v>1</v>
      </c>
      <c r="E165" s="15">
        <v>1</v>
      </c>
      <c r="F165" s="15">
        <v>1</v>
      </c>
      <c r="G165" s="15">
        <v>4</v>
      </c>
      <c r="H165" s="15">
        <v>6</v>
      </c>
      <c r="I165" s="15">
        <v>2</v>
      </c>
      <c r="J165" s="15">
        <v>0</v>
      </c>
      <c r="K165" s="15">
        <v>0</v>
      </c>
      <c r="L165" s="15">
        <v>6</v>
      </c>
      <c r="M165" s="15">
        <v>3</v>
      </c>
      <c r="N165" s="15">
        <v>6</v>
      </c>
      <c r="O165" s="15">
        <v>3</v>
      </c>
      <c r="P165" s="15">
        <v>4</v>
      </c>
      <c r="Q165" s="15">
        <v>5</v>
      </c>
      <c r="R165" s="15">
        <v>4</v>
      </c>
      <c r="S165" s="15">
        <v>4</v>
      </c>
      <c r="T165" s="15">
        <v>4</v>
      </c>
      <c r="U165" s="15">
        <v>4</v>
      </c>
      <c r="V165" s="15">
        <v>4</v>
      </c>
      <c r="W165" s="15">
        <v>1</v>
      </c>
      <c r="X165" s="15">
        <v>1</v>
      </c>
      <c r="Y165" s="15">
        <v>4</v>
      </c>
      <c r="Z165" s="15">
        <v>2</v>
      </c>
      <c r="AA165" s="15">
        <v>3</v>
      </c>
      <c r="AB165" s="15">
        <v>3</v>
      </c>
      <c r="AC165" s="15">
        <v>4</v>
      </c>
      <c r="AD165" s="15">
        <v>2</v>
      </c>
      <c r="AE165" s="15">
        <v>1</v>
      </c>
      <c r="AF165" s="15"/>
      <c r="AG165" s="15">
        <v>2</v>
      </c>
      <c r="AH165" s="15">
        <v>2</v>
      </c>
      <c r="AI165" s="15">
        <v>3</v>
      </c>
      <c r="AJ165" s="15"/>
      <c r="AK165" s="15">
        <v>3</v>
      </c>
      <c r="AL165" s="15">
        <v>5</v>
      </c>
      <c r="AM165" s="15">
        <v>4</v>
      </c>
      <c r="AN165" s="15">
        <v>6</v>
      </c>
      <c r="AO165" s="15">
        <v>1</v>
      </c>
      <c r="AP165" s="15">
        <v>2</v>
      </c>
      <c r="AQ165" s="15">
        <v>4</v>
      </c>
      <c r="AR165" s="15">
        <v>6</v>
      </c>
      <c r="AS165" s="15">
        <v>5</v>
      </c>
      <c r="AT165" s="15">
        <v>0</v>
      </c>
      <c r="AU165" s="15">
        <v>2</v>
      </c>
      <c r="AV165" s="15">
        <v>0</v>
      </c>
      <c r="AW165" s="15">
        <v>5</v>
      </c>
      <c r="AX165" s="15">
        <v>2</v>
      </c>
      <c r="AY165" s="15">
        <v>2</v>
      </c>
      <c r="AZ165" s="15">
        <v>2</v>
      </c>
      <c r="BA165" s="15">
        <v>0</v>
      </c>
      <c r="BB165" s="15">
        <v>1</v>
      </c>
      <c r="BC165" s="15"/>
      <c r="BD165" s="15">
        <v>6</v>
      </c>
      <c r="BE165" s="15">
        <v>6</v>
      </c>
      <c r="BF165" s="15">
        <v>5</v>
      </c>
      <c r="BG165" s="15">
        <v>3</v>
      </c>
      <c r="BH165" s="15">
        <v>6</v>
      </c>
      <c r="BI165" s="15">
        <v>6</v>
      </c>
      <c r="BJ165" s="15">
        <v>6</v>
      </c>
      <c r="BK165" s="15">
        <v>6</v>
      </c>
      <c r="BL165" s="15">
        <v>6</v>
      </c>
    </row>
    <row r="166" spans="1:129" ht="13.2">
      <c r="A166" s="15"/>
      <c r="B166" s="15" t="s">
        <v>179</v>
      </c>
      <c r="C166" s="15">
        <v>6</v>
      </c>
      <c r="D166" s="15">
        <v>6</v>
      </c>
      <c r="E166" s="15">
        <v>4</v>
      </c>
      <c r="F166" s="15">
        <v>6</v>
      </c>
      <c r="G166" s="15">
        <v>6</v>
      </c>
      <c r="H166" s="15">
        <v>6</v>
      </c>
      <c r="I166" s="15">
        <v>6</v>
      </c>
      <c r="J166" s="15">
        <v>6</v>
      </c>
      <c r="K166" s="15">
        <v>6</v>
      </c>
      <c r="L166" s="15">
        <v>6</v>
      </c>
      <c r="M166" s="15">
        <v>6</v>
      </c>
      <c r="N166" s="15">
        <v>6</v>
      </c>
      <c r="O166" s="15">
        <v>6</v>
      </c>
      <c r="P166" s="15">
        <v>6</v>
      </c>
      <c r="Q166" s="15">
        <v>6</v>
      </c>
      <c r="R166" s="15">
        <v>6</v>
      </c>
      <c r="S166" s="15">
        <v>6</v>
      </c>
      <c r="T166" s="15">
        <v>6</v>
      </c>
      <c r="U166" s="15">
        <v>6</v>
      </c>
      <c r="V166" s="15">
        <v>6</v>
      </c>
      <c r="W166" s="15">
        <v>6</v>
      </c>
      <c r="X166" s="15">
        <v>4</v>
      </c>
      <c r="Y166" s="15">
        <v>6</v>
      </c>
      <c r="Z166" s="15">
        <v>5</v>
      </c>
      <c r="AA166" s="15">
        <v>6</v>
      </c>
      <c r="AB166" s="15">
        <v>6</v>
      </c>
      <c r="AC166" s="15">
        <v>6</v>
      </c>
      <c r="AD166" s="15">
        <v>6</v>
      </c>
      <c r="AE166" s="15">
        <v>6</v>
      </c>
      <c r="AF166" s="15"/>
      <c r="AG166" s="15">
        <v>5</v>
      </c>
      <c r="AH166" s="15">
        <v>5</v>
      </c>
      <c r="AI166" s="15">
        <v>6</v>
      </c>
      <c r="AJ166" s="15">
        <v>6</v>
      </c>
      <c r="AK166" s="15">
        <v>6</v>
      </c>
      <c r="AL166" s="15">
        <v>6</v>
      </c>
      <c r="AM166" s="15">
        <v>6</v>
      </c>
      <c r="AN166" s="15">
        <v>6</v>
      </c>
      <c r="AO166" s="15">
        <v>6</v>
      </c>
      <c r="AP166" s="15">
        <v>6</v>
      </c>
      <c r="AQ166" s="15">
        <v>6</v>
      </c>
      <c r="AR166" s="15">
        <v>6</v>
      </c>
      <c r="AS166" s="15">
        <v>6</v>
      </c>
      <c r="AT166" s="15">
        <v>6</v>
      </c>
      <c r="AU166" s="15">
        <v>6</v>
      </c>
      <c r="AV166" s="15">
        <v>6</v>
      </c>
      <c r="AW166" s="15">
        <v>6</v>
      </c>
      <c r="AX166" s="15">
        <v>5</v>
      </c>
      <c r="AY166" s="15">
        <v>6</v>
      </c>
      <c r="AZ166" s="15">
        <v>6</v>
      </c>
      <c r="BA166" s="15">
        <v>6</v>
      </c>
      <c r="BB166" s="15">
        <v>6</v>
      </c>
      <c r="BC166" s="15"/>
      <c r="BD166" s="15">
        <v>6</v>
      </c>
      <c r="BE166" s="15">
        <v>6</v>
      </c>
      <c r="BF166" s="15">
        <v>5</v>
      </c>
      <c r="BG166" s="15">
        <v>6</v>
      </c>
      <c r="BH166" s="15">
        <v>6</v>
      </c>
      <c r="BI166" s="15">
        <v>6</v>
      </c>
      <c r="BJ166" s="15">
        <v>6</v>
      </c>
      <c r="BK166" s="15">
        <v>6</v>
      </c>
      <c r="BL166" s="15">
        <v>6</v>
      </c>
    </row>
    <row r="167" spans="1:129" ht="13.2">
      <c r="A167" s="2"/>
      <c r="B167" s="21"/>
    </row>
    <row r="168" spans="1:129" ht="13.2">
      <c r="A168" s="2"/>
      <c r="B168" s="21"/>
    </row>
    <row r="169" spans="1:129" ht="13.2">
      <c r="A169" s="2"/>
      <c r="B169" s="21"/>
    </row>
    <row r="170" spans="1:129" ht="13.2">
      <c r="A170" s="2"/>
      <c r="B170" s="21"/>
    </row>
    <row r="171" spans="1:129" ht="13.2">
      <c r="A171" s="2"/>
      <c r="B171" s="21"/>
    </row>
    <row r="172" spans="1:129" ht="13.2">
      <c r="A172" s="2"/>
      <c r="B172" s="21"/>
    </row>
    <row r="173" spans="1:129" ht="13.2">
      <c r="A173" s="2"/>
      <c r="B173" s="21"/>
    </row>
    <row r="174" spans="1:129" ht="13.2">
      <c r="A174" s="2"/>
      <c r="B174" s="21"/>
    </row>
    <row r="175" spans="1:129" ht="13.2">
      <c r="A175" s="2"/>
      <c r="B175" s="21"/>
    </row>
    <row r="176" spans="1:129" ht="13.2">
      <c r="A176" s="2"/>
      <c r="B176" s="21"/>
    </row>
    <row r="177" spans="1:2" ht="13.2">
      <c r="A177" s="2"/>
      <c r="B177" s="21"/>
    </row>
    <row r="178" spans="1:2" ht="13.2">
      <c r="A178" s="2"/>
      <c r="B178" s="21"/>
    </row>
    <row r="179" spans="1:2" ht="13.2">
      <c r="A179" s="2"/>
    </row>
    <row r="180" spans="1:2" ht="13.2">
      <c r="A180" s="2"/>
    </row>
    <row r="181" spans="1:2" ht="13.2">
      <c r="A181" s="2"/>
    </row>
    <row r="182" spans="1:2" ht="13.2">
      <c r="A182" s="2"/>
    </row>
    <row r="183" spans="1:2" ht="13.2">
      <c r="A183" s="2"/>
    </row>
    <row r="184" spans="1:2" ht="13.2">
      <c r="A184" s="2"/>
    </row>
    <row r="185" spans="1:2" ht="13.2">
      <c r="A185" s="2"/>
    </row>
    <row r="186" spans="1:2" ht="13.2">
      <c r="A186" s="2"/>
    </row>
    <row r="187" spans="1:2" ht="13.2">
      <c r="A187" s="2"/>
    </row>
    <row r="188" spans="1:2" ht="13.2">
      <c r="A188" s="2"/>
    </row>
    <row r="189" spans="1:2" ht="13.2">
      <c r="A189" s="2"/>
    </row>
    <row r="190" spans="1:2" ht="13.2">
      <c r="A190" s="2"/>
    </row>
    <row r="191" spans="1:2" ht="13.2">
      <c r="A191" s="2"/>
    </row>
    <row r="192" spans="1:2" ht="13.2">
      <c r="A192" s="2"/>
    </row>
    <row r="193" spans="1:1" ht="13.2">
      <c r="A193" s="2"/>
    </row>
    <row r="194" spans="1:1" ht="13.2">
      <c r="A194" s="2"/>
    </row>
    <row r="195" spans="1:1" ht="13.2">
      <c r="A195" s="2"/>
    </row>
    <row r="196" spans="1:1" ht="13.2">
      <c r="A196" s="2"/>
    </row>
    <row r="197" spans="1:1" ht="13.2">
      <c r="A197" s="2"/>
    </row>
    <row r="198" spans="1:1" ht="13.2">
      <c r="A198" s="2"/>
    </row>
    <row r="199" spans="1:1" ht="13.2">
      <c r="A199" s="2"/>
    </row>
    <row r="200" spans="1:1" ht="13.2">
      <c r="A200" s="2"/>
    </row>
    <row r="201" spans="1:1" ht="13.2">
      <c r="A201" s="2"/>
    </row>
    <row r="202" spans="1:1" ht="13.2">
      <c r="A202" s="2"/>
    </row>
    <row r="203" spans="1:1" ht="13.2">
      <c r="A203" s="2"/>
    </row>
    <row r="204" spans="1:1" ht="13.2">
      <c r="A204" s="2"/>
    </row>
    <row r="205" spans="1:1" ht="13.2">
      <c r="A205" s="2"/>
    </row>
    <row r="206" spans="1:1" ht="13.2">
      <c r="A206" s="2"/>
    </row>
    <row r="207" spans="1:1" ht="13.2">
      <c r="A207" s="2"/>
    </row>
    <row r="208" spans="1:1" ht="13.2">
      <c r="A208" s="2"/>
    </row>
    <row r="209" spans="1:1" ht="13.2">
      <c r="A209" s="2"/>
    </row>
    <row r="210" spans="1:1" ht="13.2">
      <c r="A210" s="2"/>
    </row>
    <row r="211" spans="1:1" ht="13.2">
      <c r="A211" s="2"/>
    </row>
    <row r="212" spans="1:1" ht="13.2">
      <c r="A212" s="2"/>
    </row>
    <row r="213" spans="1:1" ht="13.2">
      <c r="A213" s="2"/>
    </row>
    <row r="214" spans="1:1" ht="13.2">
      <c r="A214" s="2"/>
    </row>
    <row r="215" spans="1:1" ht="13.2">
      <c r="A215" s="2"/>
    </row>
    <row r="216" spans="1:1" ht="13.2">
      <c r="A216" s="2"/>
    </row>
    <row r="217" spans="1:1" ht="13.2">
      <c r="A217" s="2"/>
    </row>
    <row r="218" spans="1:1" ht="13.2">
      <c r="A218" s="2"/>
    </row>
    <row r="219" spans="1:1" ht="13.2">
      <c r="A219" s="2"/>
    </row>
    <row r="220" spans="1:1" ht="13.2">
      <c r="A220" s="2"/>
    </row>
    <row r="221" spans="1:1" ht="13.2">
      <c r="A221" s="2"/>
    </row>
    <row r="222" spans="1:1" ht="13.2">
      <c r="A222" s="2"/>
    </row>
    <row r="223" spans="1:1" ht="13.2">
      <c r="A223" s="2"/>
    </row>
    <row r="224" spans="1:1" ht="13.2">
      <c r="A224" s="2"/>
    </row>
    <row r="225" spans="1:1" ht="13.2">
      <c r="A225" s="2"/>
    </row>
    <row r="226" spans="1:1" ht="13.2">
      <c r="A226" s="2"/>
    </row>
    <row r="227" spans="1:1" ht="13.2">
      <c r="A227" s="2"/>
    </row>
    <row r="228" spans="1:1" ht="13.2">
      <c r="A228" s="2"/>
    </row>
    <row r="229" spans="1:1" ht="13.2">
      <c r="A229" s="2"/>
    </row>
    <row r="230" spans="1:1" ht="13.2">
      <c r="A230" s="2"/>
    </row>
    <row r="231" spans="1:1" ht="13.2">
      <c r="A231" s="2"/>
    </row>
    <row r="232" spans="1:1" ht="13.2">
      <c r="A232" s="2"/>
    </row>
    <row r="233" spans="1:1" ht="13.2">
      <c r="A233" s="2"/>
    </row>
    <row r="234" spans="1:1" ht="13.2">
      <c r="A234" s="2"/>
    </row>
    <row r="235" spans="1:1" ht="13.2">
      <c r="A235" s="2"/>
    </row>
    <row r="236" spans="1:1" ht="13.2">
      <c r="A236" s="2"/>
    </row>
    <row r="237" spans="1:1" ht="13.2">
      <c r="A237" s="2"/>
    </row>
    <row r="238" spans="1:1" ht="13.2">
      <c r="A238" s="2"/>
    </row>
    <row r="239" spans="1:1" ht="13.2">
      <c r="A239" s="2"/>
    </row>
    <row r="240" spans="1:1" ht="13.2">
      <c r="A240" s="2"/>
    </row>
    <row r="241" spans="1:1" ht="13.2">
      <c r="A241" s="2"/>
    </row>
    <row r="242" spans="1:1" ht="13.2">
      <c r="A242" s="2"/>
    </row>
    <row r="243" spans="1:1" ht="13.2">
      <c r="A243" s="2"/>
    </row>
    <row r="244" spans="1:1" ht="13.2">
      <c r="A244" s="2"/>
    </row>
    <row r="245" spans="1:1" ht="13.2">
      <c r="A245" s="2"/>
    </row>
    <row r="246" spans="1:1" ht="13.2">
      <c r="A246" s="2"/>
    </row>
    <row r="247" spans="1:1" ht="13.2">
      <c r="A247" s="2"/>
    </row>
    <row r="248" spans="1:1" ht="13.2">
      <c r="A248" s="2"/>
    </row>
    <row r="249" spans="1:1" ht="13.2">
      <c r="A249" s="2"/>
    </row>
    <row r="250" spans="1:1" ht="13.2">
      <c r="A250" s="2"/>
    </row>
    <row r="251" spans="1:1" ht="13.2">
      <c r="A251" s="2"/>
    </row>
    <row r="252" spans="1:1" ht="13.2">
      <c r="A252" s="2"/>
    </row>
    <row r="253" spans="1:1" ht="13.2">
      <c r="A253" s="2"/>
    </row>
    <row r="254" spans="1:1" ht="13.2">
      <c r="A254" s="2"/>
    </row>
    <row r="255" spans="1:1" ht="13.2">
      <c r="A255" s="2"/>
    </row>
    <row r="256" spans="1:1" ht="13.2">
      <c r="A256" s="2"/>
    </row>
    <row r="257" spans="1:1" ht="13.2">
      <c r="A257" s="2"/>
    </row>
    <row r="258" spans="1:1" ht="13.2">
      <c r="A258" s="2"/>
    </row>
    <row r="259" spans="1:1" ht="13.2">
      <c r="A259" s="2"/>
    </row>
    <row r="260" spans="1:1" ht="13.2">
      <c r="A260" s="2"/>
    </row>
    <row r="261" spans="1:1" ht="13.2">
      <c r="A261" s="2"/>
    </row>
    <row r="262" spans="1:1" ht="13.2">
      <c r="A262" s="2"/>
    </row>
    <row r="263" spans="1:1" ht="13.2">
      <c r="A263" s="2"/>
    </row>
    <row r="264" spans="1:1" ht="13.2">
      <c r="A264" s="2"/>
    </row>
    <row r="265" spans="1:1" ht="13.2">
      <c r="A265" s="2"/>
    </row>
    <row r="266" spans="1:1" ht="13.2">
      <c r="A266" s="2"/>
    </row>
    <row r="267" spans="1:1" ht="13.2">
      <c r="A267" s="2"/>
    </row>
    <row r="268" spans="1:1" ht="13.2">
      <c r="A268" s="2"/>
    </row>
    <row r="269" spans="1:1" ht="13.2">
      <c r="A269" s="2"/>
    </row>
    <row r="270" spans="1:1" ht="13.2">
      <c r="A270" s="2"/>
    </row>
    <row r="271" spans="1:1" ht="13.2">
      <c r="A271" s="2"/>
    </row>
    <row r="272" spans="1:1" ht="13.2">
      <c r="A272" s="2"/>
    </row>
    <row r="273" spans="1:1" ht="13.2">
      <c r="A273" s="2"/>
    </row>
    <row r="274" spans="1:1" ht="13.2">
      <c r="A274" s="2"/>
    </row>
    <row r="275" spans="1:1" ht="13.2">
      <c r="A275" s="2"/>
    </row>
    <row r="276" spans="1:1" ht="13.2">
      <c r="A276" s="2"/>
    </row>
    <row r="277" spans="1:1" ht="13.2">
      <c r="A277" s="2"/>
    </row>
    <row r="278" spans="1:1" ht="13.2">
      <c r="A278" s="2"/>
    </row>
    <row r="279" spans="1:1" ht="13.2">
      <c r="A279" s="2"/>
    </row>
    <row r="280" spans="1:1" ht="13.2">
      <c r="A280" s="2"/>
    </row>
    <row r="281" spans="1:1" ht="13.2">
      <c r="A281" s="2"/>
    </row>
    <row r="282" spans="1:1" ht="13.2">
      <c r="A282" s="2"/>
    </row>
    <row r="283" spans="1:1" ht="13.2">
      <c r="A283" s="2"/>
    </row>
    <row r="284" spans="1:1" ht="13.2">
      <c r="A284" s="2"/>
    </row>
    <row r="285" spans="1:1" ht="13.2">
      <c r="A285" s="2"/>
    </row>
    <row r="286" spans="1:1" ht="13.2">
      <c r="A286" s="2"/>
    </row>
    <row r="287" spans="1:1" ht="13.2">
      <c r="A287" s="2"/>
    </row>
    <row r="288" spans="1:1" ht="13.2">
      <c r="A288" s="2"/>
    </row>
    <row r="289" spans="1:1" ht="13.2">
      <c r="A289" s="2"/>
    </row>
    <row r="290" spans="1:1" ht="13.2">
      <c r="A290" s="2"/>
    </row>
    <row r="291" spans="1:1" ht="13.2">
      <c r="A291" s="2"/>
    </row>
    <row r="292" spans="1:1" ht="13.2">
      <c r="A292" s="2"/>
    </row>
    <row r="293" spans="1:1" ht="13.2">
      <c r="A293" s="2"/>
    </row>
    <row r="294" spans="1:1" ht="13.2">
      <c r="A294" s="2"/>
    </row>
    <row r="295" spans="1:1" ht="13.2">
      <c r="A295" s="2"/>
    </row>
    <row r="296" spans="1:1" ht="13.2">
      <c r="A296" s="2"/>
    </row>
    <row r="297" spans="1:1" ht="13.2">
      <c r="A297" s="2"/>
    </row>
    <row r="298" spans="1:1" ht="13.2">
      <c r="A298" s="2"/>
    </row>
    <row r="299" spans="1:1" ht="13.2">
      <c r="A299" s="2"/>
    </row>
    <row r="300" spans="1:1" ht="13.2">
      <c r="A300" s="2"/>
    </row>
    <row r="301" spans="1:1" ht="13.2">
      <c r="A301" s="2"/>
    </row>
    <row r="302" spans="1:1" ht="13.2">
      <c r="A302" s="2"/>
    </row>
    <row r="303" spans="1:1" ht="13.2">
      <c r="A303" s="2"/>
    </row>
    <row r="304" spans="1:1" ht="13.2">
      <c r="A304" s="2"/>
    </row>
    <row r="305" spans="1:1" ht="13.2">
      <c r="A305" s="2"/>
    </row>
    <row r="306" spans="1:1" ht="13.2">
      <c r="A306" s="2"/>
    </row>
    <row r="307" spans="1:1" ht="13.2">
      <c r="A307" s="2"/>
    </row>
    <row r="308" spans="1:1" ht="13.2">
      <c r="A308" s="2"/>
    </row>
    <row r="309" spans="1:1" ht="13.2">
      <c r="A309" s="2"/>
    </row>
    <row r="310" spans="1:1" ht="13.2">
      <c r="A310" s="2"/>
    </row>
    <row r="311" spans="1:1" ht="13.2">
      <c r="A311" s="2"/>
    </row>
    <row r="312" spans="1:1" ht="13.2">
      <c r="A312" s="2"/>
    </row>
    <row r="313" spans="1:1" ht="13.2">
      <c r="A313" s="2"/>
    </row>
    <row r="314" spans="1:1" ht="13.2">
      <c r="A314" s="2"/>
    </row>
    <row r="315" spans="1:1" ht="13.2">
      <c r="A315" s="2"/>
    </row>
    <row r="316" spans="1:1" ht="13.2">
      <c r="A316" s="2"/>
    </row>
    <row r="317" spans="1:1" ht="13.2">
      <c r="A317" s="2"/>
    </row>
    <row r="318" spans="1:1" ht="13.2">
      <c r="A318" s="2"/>
    </row>
    <row r="319" spans="1:1" ht="13.2">
      <c r="A319" s="2"/>
    </row>
    <row r="320" spans="1:1" ht="13.2">
      <c r="A320" s="2"/>
    </row>
    <row r="321" spans="1:1" ht="13.2">
      <c r="A321" s="2"/>
    </row>
    <row r="322" spans="1:1" ht="13.2">
      <c r="A322" s="2"/>
    </row>
    <row r="323" spans="1:1" ht="13.2">
      <c r="A323" s="2"/>
    </row>
    <row r="324" spans="1:1" ht="13.2">
      <c r="A324" s="2"/>
    </row>
    <row r="325" spans="1:1" ht="13.2">
      <c r="A325" s="2"/>
    </row>
    <row r="326" spans="1:1" ht="13.2">
      <c r="A326" s="2"/>
    </row>
    <row r="327" spans="1:1" ht="13.2">
      <c r="A327" s="2"/>
    </row>
    <row r="328" spans="1:1" ht="13.2">
      <c r="A328" s="2"/>
    </row>
    <row r="329" spans="1:1" ht="13.2">
      <c r="A329" s="2"/>
    </row>
    <row r="330" spans="1:1" ht="13.2">
      <c r="A330" s="2"/>
    </row>
    <row r="331" spans="1:1" ht="13.2">
      <c r="A331" s="2"/>
    </row>
    <row r="332" spans="1:1" ht="13.2">
      <c r="A332" s="2"/>
    </row>
    <row r="333" spans="1:1" ht="13.2">
      <c r="A333" s="2"/>
    </row>
    <row r="334" spans="1:1" ht="13.2">
      <c r="A334" s="2"/>
    </row>
    <row r="335" spans="1:1" ht="13.2">
      <c r="A335" s="2"/>
    </row>
    <row r="336" spans="1:1" ht="13.2">
      <c r="A336" s="2"/>
    </row>
    <row r="337" spans="1:1" ht="13.2">
      <c r="A337" s="2"/>
    </row>
    <row r="338" spans="1:1" ht="13.2">
      <c r="A338" s="2"/>
    </row>
    <row r="339" spans="1:1" ht="13.2">
      <c r="A339" s="2"/>
    </row>
    <row r="340" spans="1:1" ht="13.2">
      <c r="A340" s="2"/>
    </row>
    <row r="341" spans="1:1" ht="13.2">
      <c r="A341" s="2"/>
    </row>
    <row r="342" spans="1:1" ht="13.2">
      <c r="A342" s="2"/>
    </row>
    <row r="343" spans="1:1" ht="13.2">
      <c r="A343" s="2"/>
    </row>
    <row r="344" spans="1:1" ht="13.2">
      <c r="A344" s="2"/>
    </row>
    <row r="345" spans="1:1" ht="13.2">
      <c r="A345" s="2"/>
    </row>
    <row r="346" spans="1:1" ht="13.2">
      <c r="A346" s="2"/>
    </row>
    <row r="347" spans="1:1" ht="13.2">
      <c r="A347" s="2"/>
    </row>
    <row r="348" spans="1:1" ht="13.2">
      <c r="A348" s="2"/>
    </row>
    <row r="349" spans="1:1" ht="13.2">
      <c r="A349" s="2"/>
    </row>
    <row r="350" spans="1:1" ht="13.2">
      <c r="A350" s="2"/>
    </row>
    <row r="351" spans="1:1" ht="13.2">
      <c r="A351" s="2"/>
    </row>
    <row r="352" spans="1:1" ht="13.2">
      <c r="A352" s="2"/>
    </row>
    <row r="353" spans="1:1" ht="13.2">
      <c r="A353" s="2"/>
    </row>
    <row r="354" spans="1:1" ht="13.2">
      <c r="A354" s="2"/>
    </row>
    <row r="355" spans="1:1" ht="13.2">
      <c r="A355" s="2"/>
    </row>
    <row r="356" spans="1:1" ht="13.2">
      <c r="A356" s="2"/>
    </row>
    <row r="357" spans="1:1" ht="13.2">
      <c r="A357" s="2"/>
    </row>
    <row r="358" spans="1:1" ht="13.2">
      <c r="A358" s="2"/>
    </row>
    <row r="359" spans="1:1" ht="13.2">
      <c r="A359" s="2"/>
    </row>
    <row r="360" spans="1:1" ht="13.2">
      <c r="A360" s="2"/>
    </row>
    <row r="361" spans="1:1" ht="13.2">
      <c r="A361" s="2"/>
    </row>
    <row r="362" spans="1:1" ht="13.2">
      <c r="A362" s="2"/>
    </row>
    <row r="363" spans="1:1" ht="13.2">
      <c r="A363" s="2"/>
    </row>
    <row r="364" spans="1:1" ht="13.2">
      <c r="A364" s="2"/>
    </row>
    <row r="365" spans="1:1" ht="13.2">
      <c r="A365" s="2"/>
    </row>
    <row r="366" spans="1:1" ht="13.2">
      <c r="A366" s="2"/>
    </row>
    <row r="367" spans="1:1" ht="13.2">
      <c r="A367" s="2"/>
    </row>
    <row r="368" spans="1:1" ht="13.2">
      <c r="A368" s="2"/>
    </row>
    <row r="369" spans="1:1" ht="13.2">
      <c r="A369" s="2"/>
    </row>
    <row r="370" spans="1:1" ht="13.2">
      <c r="A370" s="2"/>
    </row>
    <row r="371" spans="1:1" ht="13.2">
      <c r="A371" s="2"/>
    </row>
    <row r="372" spans="1:1" ht="13.2">
      <c r="A372" s="2"/>
    </row>
    <row r="373" spans="1:1" ht="13.2">
      <c r="A373" s="2"/>
    </row>
    <row r="374" spans="1:1" ht="13.2">
      <c r="A374" s="2"/>
    </row>
    <row r="375" spans="1:1" ht="13.2">
      <c r="A375" s="2"/>
    </row>
    <row r="376" spans="1:1" ht="13.2">
      <c r="A376" s="2"/>
    </row>
    <row r="377" spans="1:1" ht="13.2">
      <c r="A377" s="2"/>
    </row>
    <row r="378" spans="1:1" ht="13.2">
      <c r="A378" s="2"/>
    </row>
    <row r="379" spans="1:1" ht="13.2">
      <c r="A379" s="2"/>
    </row>
    <row r="380" spans="1:1" ht="13.2">
      <c r="A380" s="2"/>
    </row>
    <row r="381" spans="1:1" ht="13.2">
      <c r="A381" s="2"/>
    </row>
    <row r="382" spans="1:1" ht="13.2">
      <c r="A382" s="2"/>
    </row>
    <row r="383" spans="1:1" ht="13.2">
      <c r="A383" s="2"/>
    </row>
    <row r="384" spans="1:1" ht="13.2">
      <c r="A384" s="2"/>
    </row>
    <row r="385" spans="1:1" ht="13.2">
      <c r="A385" s="2"/>
    </row>
    <row r="386" spans="1:1" ht="13.2">
      <c r="A386" s="2"/>
    </row>
    <row r="387" spans="1:1" ht="13.2">
      <c r="A387" s="2"/>
    </row>
    <row r="388" spans="1:1" ht="13.2">
      <c r="A388" s="2"/>
    </row>
    <row r="389" spans="1:1" ht="13.2">
      <c r="A389" s="2"/>
    </row>
    <row r="390" spans="1:1" ht="13.2">
      <c r="A390" s="2"/>
    </row>
    <row r="391" spans="1:1" ht="13.2">
      <c r="A391" s="2"/>
    </row>
    <row r="392" spans="1:1" ht="13.2">
      <c r="A392" s="2"/>
    </row>
    <row r="393" spans="1:1" ht="13.2">
      <c r="A393" s="2"/>
    </row>
    <row r="394" spans="1:1" ht="13.2">
      <c r="A394" s="2"/>
    </row>
    <row r="395" spans="1:1" ht="13.2">
      <c r="A395" s="2"/>
    </row>
    <row r="396" spans="1:1" ht="13.2">
      <c r="A396" s="2"/>
    </row>
    <row r="397" spans="1:1" ht="13.2">
      <c r="A397" s="2"/>
    </row>
    <row r="398" spans="1:1" ht="13.2">
      <c r="A398" s="2"/>
    </row>
    <row r="399" spans="1:1" ht="13.2">
      <c r="A399" s="2"/>
    </row>
    <row r="400" spans="1:1" ht="13.2">
      <c r="A400" s="2"/>
    </row>
    <row r="401" spans="1:1" ht="13.2">
      <c r="A401" s="2"/>
    </row>
    <row r="402" spans="1:1" ht="13.2">
      <c r="A402" s="2"/>
    </row>
    <row r="403" spans="1:1" ht="13.2">
      <c r="A403" s="2"/>
    </row>
    <row r="404" spans="1:1" ht="13.2">
      <c r="A404" s="2"/>
    </row>
    <row r="405" spans="1:1" ht="13.2">
      <c r="A405" s="2"/>
    </row>
    <row r="406" spans="1:1" ht="13.2">
      <c r="A406" s="2"/>
    </row>
    <row r="407" spans="1:1" ht="13.2">
      <c r="A407" s="2"/>
    </row>
    <row r="408" spans="1:1" ht="13.2">
      <c r="A408" s="2"/>
    </row>
    <row r="409" spans="1:1" ht="13.2">
      <c r="A409" s="2"/>
    </row>
    <row r="410" spans="1:1" ht="13.2">
      <c r="A410" s="2"/>
    </row>
    <row r="411" spans="1:1" ht="13.2">
      <c r="A411" s="2"/>
    </row>
    <row r="412" spans="1:1" ht="13.2">
      <c r="A412" s="2"/>
    </row>
    <row r="413" spans="1:1" ht="13.2">
      <c r="A413" s="2"/>
    </row>
    <row r="414" spans="1:1" ht="13.2">
      <c r="A414" s="2"/>
    </row>
    <row r="415" spans="1:1" ht="13.2">
      <c r="A415" s="2"/>
    </row>
    <row r="416" spans="1:1" ht="13.2">
      <c r="A416" s="2"/>
    </row>
    <row r="417" spans="1:1" ht="13.2">
      <c r="A417" s="2"/>
    </row>
    <row r="418" spans="1:1" ht="13.2">
      <c r="A418" s="2"/>
    </row>
    <row r="419" spans="1:1" ht="13.2">
      <c r="A419" s="2"/>
    </row>
    <row r="420" spans="1:1" ht="13.2">
      <c r="A420" s="2"/>
    </row>
    <row r="421" spans="1:1" ht="13.2">
      <c r="A421" s="2"/>
    </row>
    <row r="422" spans="1:1" ht="13.2">
      <c r="A422" s="2"/>
    </row>
    <row r="423" spans="1:1" ht="13.2">
      <c r="A423" s="2"/>
    </row>
    <row r="424" spans="1:1" ht="13.2">
      <c r="A424" s="2"/>
    </row>
    <row r="425" spans="1:1" ht="13.2">
      <c r="A425" s="2"/>
    </row>
    <row r="426" spans="1:1" ht="13.2">
      <c r="A426" s="2"/>
    </row>
    <row r="427" spans="1:1" ht="13.2">
      <c r="A427" s="2"/>
    </row>
    <row r="428" spans="1:1" ht="13.2">
      <c r="A428" s="2"/>
    </row>
    <row r="429" spans="1:1" ht="13.2">
      <c r="A429" s="2"/>
    </row>
    <row r="430" spans="1:1" ht="13.2">
      <c r="A430" s="2"/>
    </row>
    <row r="431" spans="1:1" ht="13.2">
      <c r="A431" s="2"/>
    </row>
    <row r="432" spans="1:1" ht="13.2">
      <c r="A432" s="2"/>
    </row>
    <row r="433" spans="1:1" ht="13.2">
      <c r="A433" s="2"/>
    </row>
    <row r="434" spans="1:1" ht="13.2">
      <c r="A434" s="2"/>
    </row>
    <row r="435" spans="1:1" ht="13.2">
      <c r="A435" s="2"/>
    </row>
    <row r="436" spans="1:1" ht="13.2">
      <c r="A436" s="2"/>
    </row>
    <row r="437" spans="1:1" ht="13.2">
      <c r="A437" s="2"/>
    </row>
    <row r="438" spans="1:1" ht="13.2">
      <c r="A438" s="2"/>
    </row>
    <row r="439" spans="1:1" ht="13.2">
      <c r="A439" s="2"/>
    </row>
    <row r="440" spans="1:1" ht="13.2">
      <c r="A440" s="2"/>
    </row>
    <row r="441" spans="1:1" ht="13.2">
      <c r="A441" s="2"/>
    </row>
    <row r="442" spans="1:1" ht="13.2">
      <c r="A442" s="2"/>
    </row>
    <row r="443" spans="1:1" ht="13.2">
      <c r="A443" s="2"/>
    </row>
    <row r="444" spans="1:1" ht="13.2">
      <c r="A444" s="2"/>
    </row>
    <row r="445" spans="1:1" ht="13.2">
      <c r="A445" s="2"/>
    </row>
    <row r="446" spans="1:1" ht="13.2">
      <c r="A446" s="2"/>
    </row>
    <row r="447" spans="1:1" ht="13.2">
      <c r="A447" s="2"/>
    </row>
    <row r="448" spans="1:1" ht="13.2">
      <c r="A448" s="2"/>
    </row>
    <row r="449" spans="1:1" ht="13.2">
      <c r="A449" s="2"/>
    </row>
    <row r="450" spans="1:1" ht="13.2">
      <c r="A450" s="2"/>
    </row>
    <row r="451" spans="1:1" ht="13.2">
      <c r="A451" s="2"/>
    </row>
    <row r="452" spans="1:1" ht="13.2">
      <c r="A452" s="2"/>
    </row>
    <row r="453" spans="1:1" ht="13.2">
      <c r="A453" s="2"/>
    </row>
    <row r="454" spans="1:1" ht="13.2">
      <c r="A454" s="2"/>
    </row>
    <row r="455" spans="1:1" ht="13.2">
      <c r="A455" s="2"/>
    </row>
    <row r="456" spans="1:1" ht="13.2">
      <c r="A456" s="2"/>
    </row>
    <row r="457" spans="1:1" ht="13.2">
      <c r="A457" s="2"/>
    </row>
    <row r="458" spans="1:1" ht="13.2">
      <c r="A458" s="2"/>
    </row>
    <row r="459" spans="1:1" ht="13.2">
      <c r="A459" s="2"/>
    </row>
    <row r="460" spans="1:1" ht="13.2">
      <c r="A460" s="2"/>
    </row>
    <row r="461" spans="1:1" ht="13.2">
      <c r="A461" s="2"/>
    </row>
    <row r="462" spans="1:1" ht="13.2">
      <c r="A462" s="2"/>
    </row>
    <row r="463" spans="1:1" ht="13.2">
      <c r="A463" s="2"/>
    </row>
    <row r="464" spans="1:1" ht="13.2">
      <c r="A464" s="2"/>
    </row>
    <row r="465" spans="1:1" ht="13.2">
      <c r="A465" s="2"/>
    </row>
    <row r="466" spans="1:1" ht="13.2">
      <c r="A466" s="2"/>
    </row>
    <row r="467" spans="1:1" ht="13.2">
      <c r="A467" s="2"/>
    </row>
    <row r="468" spans="1:1" ht="13.2">
      <c r="A468" s="2"/>
    </row>
    <row r="469" spans="1:1" ht="13.2">
      <c r="A469" s="2"/>
    </row>
    <row r="470" spans="1:1" ht="13.2">
      <c r="A470" s="2"/>
    </row>
    <row r="471" spans="1:1" ht="13.2">
      <c r="A471" s="2"/>
    </row>
    <row r="472" spans="1:1" ht="13.2">
      <c r="A472" s="2"/>
    </row>
    <row r="473" spans="1:1" ht="13.2">
      <c r="A473" s="2"/>
    </row>
    <row r="474" spans="1:1" ht="13.2">
      <c r="A474" s="2"/>
    </row>
    <row r="475" spans="1:1" ht="13.2">
      <c r="A475" s="2"/>
    </row>
    <row r="476" spans="1:1" ht="13.2">
      <c r="A476" s="2"/>
    </row>
    <row r="477" spans="1:1" ht="13.2">
      <c r="A477" s="2"/>
    </row>
    <row r="478" spans="1:1" ht="13.2">
      <c r="A478" s="2"/>
    </row>
    <row r="479" spans="1:1" ht="13.2">
      <c r="A479" s="2"/>
    </row>
    <row r="480" spans="1:1" ht="13.2">
      <c r="A480" s="2"/>
    </row>
    <row r="481" spans="1:1" ht="13.2">
      <c r="A481" s="2"/>
    </row>
    <row r="482" spans="1:1" ht="13.2">
      <c r="A482" s="2"/>
    </row>
    <row r="483" spans="1:1" ht="13.2">
      <c r="A483" s="2"/>
    </row>
    <row r="484" spans="1:1" ht="13.2">
      <c r="A484" s="2"/>
    </row>
    <row r="485" spans="1:1" ht="13.2">
      <c r="A485" s="2"/>
    </row>
    <row r="486" spans="1:1" ht="13.2">
      <c r="A486" s="2"/>
    </row>
    <row r="487" spans="1:1" ht="13.2">
      <c r="A487" s="2"/>
    </row>
    <row r="488" spans="1:1" ht="13.2">
      <c r="A488" s="2"/>
    </row>
    <row r="489" spans="1:1" ht="13.2">
      <c r="A489" s="2"/>
    </row>
    <row r="490" spans="1:1" ht="13.2">
      <c r="A490" s="2"/>
    </row>
    <row r="491" spans="1:1" ht="13.2">
      <c r="A491" s="2"/>
    </row>
    <row r="492" spans="1:1" ht="13.2">
      <c r="A492" s="2"/>
    </row>
    <row r="493" spans="1:1" ht="13.2">
      <c r="A493" s="2"/>
    </row>
    <row r="494" spans="1:1" ht="13.2">
      <c r="A494" s="2"/>
    </row>
    <row r="495" spans="1:1" ht="13.2">
      <c r="A495" s="2"/>
    </row>
    <row r="496" spans="1:1" ht="13.2">
      <c r="A496" s="2"/>
    </row>
    <row r="497" spans="1:1" ht="13.2">
      <c r="A497" s="2"/>
    </row>
    <row r="498" spans="1:1" ht="13.2">
      <c r="A498" s="2"/>
    </row>
    <row r="499" spans="1:1" ht="13.2">
      <c r="A499" s="2"/>
    </row>
    <row r="500" spans="1:1" ht="13.2">
      <c r="A500" s="2"/>
    </row>
    <row r="501" spans="1:1" ht="13.2">
      <c r="A501" s="2"/>
    </row>
    <row r="502" spans="1:1" ht="13.2">
      <c r="A502" s="2"/>
    </row>
    <row r="503" spans="1:1" ht="13.2">
      <c r="A503" s="2"/>
    </row>
    <row r="504" spans="1:1" ht="13.2">
      <c r="A504" s="2"/>
    </row>
    <row r="505" spans="1:1" ht="13.2">
      <c r="A505" s="2"/>
    </row>
    <row r="506" spans="1:1" ht="13.2">
      <c r="A506" s="2"/>
    </row>
    <row r="507" spans="1:1" ht="13.2">
      <c r="A507" s="2"/>
    </row>
    <row r="508" spans="1:1" ht="13.2">
      <c r="A508" s="2"/>
    </row>
    <row r="509" spans="1:1" ht="13.2">
      <c r="A509" s="2"/>
    </row>
    <row r="510" spans="1:1" ht="13.2">
      <c r="A510" s="2"/>
    </row>
    <row r="511" spans="1:1" ht="13.2">
      <c r="A511" s="2"/>
    </row>
    <row r="512" spans="1:1" ht="13.2">
      <c r="A512" s="2"/>
    </row>
    <row r="513" spans="1:1" ht="13.2">
      <c r="A513" s="2"/>
    </row>
    <row r="514" spans="1:1" ht="13.2">
      <c r="A514" s="2"/>
    </row>
    <row r="515" spans="1:1" ht="13.2">
      <c r="A515" s="2"/>
    </row>
    <row r="516" spans="1:1" ht="13.2">
      <c r="A516" s="2"/>
    </row>
    <row r="517" spans="1:1" ht="13.2">
      <c r="A517" s="2"/>
    </row>
    <row r="518" spans="1:1" ht="13.2">
      <c r="A518" s="2"/>
    </row>
    <row r="519" spans="1:1" ht="13.2">
      <c r="A519" s="2"/>
    </row>
    <row r="520" spans="1:1" ht="13.2">
      <c r="A520" s="2"/>
    </row>
    <row r="521" spans="1:1" ht="13.2">
      <c r="A521" s="2"/>
    </row>
    <row r="522" spans="1:1" ht="13.2">
      <c r="A522" s="2"/>
    </row>
    <row r="523" spans="1:1" ht="13.2">
      <c r="A523" s="2"/>
    </row>
    <row r="524" spans="1:1" ht="13.2">
      <c r="A524" s="2"/>
    </row>
    <row r="525" spans="1:1" ht="13.2">
      <c r="A525" s="2"/>
    </row>
    <row r="526" spans="1:1" ht="13.2">
      <c r="A526" s="2"/>
    </row>
    <row r="527" spans="1:1" ht="13.2">
      <c r="A527" s="2"/>
    </row>
    <row r="528" spans="1:1" ht="13.2">
      <c r="A528" s="2"/>
    </row>
    <row r="529" spans="1:1" ht="13.2">
      <c r="A529" s="2"/>
    </row>
    <row r="530" spans="1:1" ht="13.2">
      <c r="A530" s="2"/>
    </row>
    <row r="531" spans="1:1" ht="13.2">
      <c r="A531" s="2"/>
    </row>
    <row r="532" spans="1:1" ht="13.2">
      <c r="A532" s="2"/>
    </row>
    <row r="533" spans="1:1" ht="13.2">
      <c r="A533" s="2"/>
    </row>
    <row r="534" spans="1:1" ht="13.2">
      <c r="A534" s="2"/>
    </row>
    <row r="535" spans="1:1" ht="13.2">
      <c r="A535" s="2"/>
    </row>
    <row r="536" spans="1:1" ht="13.2">
      <c r="A536" s="2"/>
    </row>
    <row r="537" spans="1:1" ht="13.2">
      <c r="A537" s="2"/>
    </row>
    <row r="538" spans="1:1" ht="13.2">
      <c r="A538" s="2"/>
    </row>
    <row r="539" spans="1:1" ht="13.2">
      <c r="A539" s="2"/>
    </row>
    <row r="540" spans="1:1" ht="13.2">
      <c r="A540" s="2"/>
    </row>
    <row r="541" spans="1:1" ht="13.2">
      <c r="A541" s="2"/>
    </row>
    <row r="542" spans="1:1" ht="13.2">
      <c r="A542" s="2"/>
    </row>
    <row r="543" spans="1:1" ht="13.2">
      <c r="A543" s="2"/>
    </row>
    <row r="544" spans="1:1" ht="13.2">
      <c r="A544" s="2"/>
    </row>
    <row r="545" spans="1:1" ht="13.2">
      <c r="A545" s="2"/>
    </row>
    <row r="546" spans="1:1" ht="13.2">
      <c r="A546" s="2"/>
    </row>
    <row r="547" spans="1:1" ht="13.2">
      <c r="A547" s="2"/>
    </row>
    <row r="548" spans="1:1" ht="13.2">
      <c r="A548" s="2"/>
    </row>
    <row r="549" spans="1:1" ht="13.2">
      <c r="A549" s="2"/>
    </row>
    <row r="550" spans="1:1" ht="13.2">
      <c r="A550" s="2"/>
    </row>
    <row r="551" spans="1:1" ht="13.2">
      <c r="A551" s="2"/>
    </row>
    <row r="552" spans="1:1" ht="13.2">
      <c r="A552" s="2"/>
    </row>
    <row r="553" spans="1:1" ht="13.2">
      <c r="A553" s="2"/>
    </row>
    <row r="554" spans="1:1" ht="13.2">
      <c r="A554" s="2"/>
    </row>
    <row r="555" spans="1:1" ht="13.2">
      <c r="A555" s="2"/>
    </row>
    <row r="556" spans="1:1" ht="13.2">
      <c r="A556" s="2"/>
    </row>
    <row r="557" spans="1:1" ht="13.2">
      <c r="A557" s="2"/>
    </row>
    <row r="558" spans="1:1" ht="13.2">
      <c r="A558" s="2"/>
    </row>
    <row r="559" spans="1:1" ht="13.2">
      <c r="A559" s="2"/>
    </row>
    <row r="560" spans="1:1" ht="13.2">
      <c r="A560" s="2"/>
    </row>
    <row r="561" spans="1:1" ht="13.2">
      <c r="A561" s="2"/>
    </row>
    <row r="562" spans="1:1" ht="13.2">
      <c r="A562" s="2"/>
    </row>
    <row r="563" spans="1:1" ht="13.2">
      <c r="A563" s="2"/>
    </row>
    <row r="564" spans="1:1" ht="13.2">
      <c r="A564" s="2"/>
    </row>
    <row r="565" spans="1:1" ht="13.2">
      <c r="A565" s="2"/>
    </row>
    <row r="566" spans="1:1" ht="13.2">
      <c r="A566" s="2"/>
    </row>
    <row r="567" spans="1:1" ht="13.2">
      <c r="A567" s="2"/>
    </row>
    <row r="568" spans="1:1" ht="13.2">
      <c r="A568" s="2"/>
    </row>
    <row r="569" spans="1:1" ht="13.2">
      <c r="A569" s="2"/>
    </row>
    <row r="570" spans="1:1" ht="13.2">
      <c r="A570" s="2"/>
    </row>
    <row r="571" spans="1:1" ht="13.2">
      <c r="A571" s="2"/>
    </row>
    <row r="572" spans="1:1" ht="13.2">
      <c r="A572" s="2"/>
    </row>
    <row r="573" spans="1:1" ht="13.2">
      <c r="A573" s="2"/>
    </row>
    <row r="574" spans="1:1" ht="13.2">
      <c r="A574" s="2"/>
    </row>
    <row r="575" spans="1:1" ht="13.2">
      <c r="A575" s="2"/>
    </row>
    <row r="576" spans="1:1" ht="13.2">
      <c r="A576" s="2"/>
    </row>
    <row r="577" spans="1:1" ht="13.2">
      <c r="A577" s="2"/>
    </row>
    <row r="578" spans="1:1" ht="13.2">
      <c r="A578" s="2"/>
    </row>
    <row r="579" spans="1:1" ht="13.2">
      <c r="A579" s="2"/>
    </row>
    <row r="580" spans="1:1" ht="13.2">
      <c r="A580" s="2"/>
    </row>
    <row r="581" spans="1:1" ht="13.2">
      <c r="A581" s="2"/>
    </row>
    <row r="582" spans="1:1" ht="13.2">
      <c r="A582" s="2"/>
    </row>
    <row r="583" spans="1:1" ht="13.2">
      <c r="A583" s="2"/>
    </row>
    <row r="584" spans="1:1" ht="13.2">
      <c r="A584" s="2"/>
    </row>
    <row r="585" spans="1:1" ht="13.2">
      <c r="A585" s="2"/>
    </row>
    <row r="586" spans="1:1" ht="13.2">
      <c r="A586" s="2"/>
    </row>
    <row r="587" spans="1:1" ht="13.2">
      <c r="A587" s="2"/>
    </row>
    <row r="588" spans="1:1" ht="13.2">
      <c r="A588" s="2"/>
    </row>
    <row r="589" spans="1:1" ht="13.2">
      <c r="A589" s="2"/>
    </row>
    <row r="590" spans="1:1" ht="13.2">
      <c r="A590" s="2"/>
    </row>
    <row r="591" spans="1:1" ht="13.2">
      <c r="A591" s="2"/>
    </row>
    <row r="592" spans="1:1" ht="13.2">
      <c r="A592" s="2"/>
    </row>
    <row r="593" spans="1:1" ht="13.2">
      <c r="A593" s="2"/>
    </row>
    <row r="594" spans="1:1" ht="13.2">
      <c r="A594" s="2"/>
    </row>
    <row r="595" spans="1:1" ht="13.2">
      <c r="A595" s="2"/>
    </row>
    <row r="596" spans="1:1" ht="13.2">
      <c r="A596" s="2"/>
    </row>
    <row r="597" spans="1:1" ht="13.2">
      <c r="A597" s="2"/>
    </row>
    <row r="598" spans="1:1" ht="13.2">
      <c r="A598" s="2"/>
    </row>
    <row r="599" spans="1:1" ht="13.2">
      <c r="A599" s="2"/>
    </row>
    <row r="600" spans="1:1" ht="13.2">
      <c r="A600" s="2"/>
    </row>
    <row r="601" spans="1:1" ht="13.2">
      <c r="A601" s="2"/>
    </row>
    <row r="602" spans="1:1" ht="13.2">
      <c r="A602" s="2"/>
    </row>
    <row r="603" spans="1:1" ht="13.2">
      <c r="A603" s="2"/>
    </row>
    <row r="604" spans="1:1" ht="13.2">
      <c r="A604" s="2"/>
    </row>
    <row r="605" spans="1:1" ht="13.2">
      <c r="A605" s="2"/>
    </row>
    <row r="606" spans="1:1" ht="13.2">
      <c r="A606" s="2"/>
    </row>
    <row r="607" spans="1:1" ht="13.2">
      <c r="A607" s="2"/>
    </row>
    <row r="608" spans="1:1" ht="13.2">
      <c r="A608" s="2"/>
    </row>
    <row r="609" spans="1:1" ht="13.2">
      <c r="A609" s="2"/>
    </row>
    <row r="610" spans="1:1" ht="13.2">
      <c r="A610" s="2"/>
    </row>
    <row r="611" spans="1:1" ht="13.2">
      <c r="A611" s="2"/>
    </row>
    <row r="612" spans="1:1" ht="13.2">
      <c r="A612" s="2"/>
    </row>
    <row r="613" spans="1:1" ht="13.2">
      <c r="A613" s="2"/>
    </row>
    <row r="614" spans="1:1" ht="13.2">
      <c r="A614" s="2"/>
    </row>
    <row r="615" spans="1:1" ht="13.2">
      <c r="A615" s="2"/>
    </row>
    <row r="616" spans="1:1" ht="13.2">
      <c r="A616" s="2"/>
    </row>
    <row r="617" spans="1:1" ht="13.2">
      <c r="A617" s="2"/>
    </row>
    <row r="618" spans="1:1" ht="13.2">
      <c r="A618" s="2"/>
    </row>
    <row r="619" spans="1:1" ht="13.2">
      <c r="A619" s="2"/>
    </row>
    <row r="620" spans="1:1" ht="13.2">
      <c r="A620" s="2"/>
    </row>
    <row r="621" spans="1:1" ht="13.2">
      <c r="A621" s="2"/>
    </row>
    <row r="622" spans="1:1" ht="13.2">
      <c r="A622" s="2"/>
    </row>
    <row r="623" spans="1:1" ht="13.2">
      <c r="A623" s="2"/>
    </row>
    <row r="624" spans="1:1" ht="13.2">
      <c r="A624" s="2"/>
    </row>
    <row r="625" spans="1:1" ht="13.2">
      <c r="A625" s="2"/>
    </row>
    <row r="626" spans="1:1" ht="13.2">
      <c r="A626" s="2"/>
    </row>
    <row r="627" spans="1:1" ht="13.2">
      <c r="A627" s="2"/>
    </row>
    <row r="628" spans="1:1" ht="13.2">
      <c r="A628" s="2"/>
    </row>
    <row r="629" spans="1:1" ht="13.2">
      <c r="A629" s="2"/>
    </row>
    <row r="630" spans="1:1" ht="13.2">
      <c r="A630" s="2"/>
    </row>
    <row r="631" spans="1:1" ht="13.2">
      <c r="A631" s="2"/>
    </row>
    <row r="632" spans="1:1" ht="13.2">
      <c r="A632" s="2"/>
    </row>
    <row r="633" spans="1:1" ht="13.2">
      <c r="A633" s="2"/>
    </row>
    <row r="634" spans="1:1" ht="13.2">
      <c r="A634" s="2"/>
    </row>
    <row r="635" spans="1:1" ht="13.2">
      <c r="A635" s="2"/>
    </row>
    <row r="636" spans="1:1" ht="13.2">
      <c r="A636" s="2"/>
    </row>
    <row r="637" spans="1:1" ht="13.2">
      <c r="A637" s="2"/>
    </row>
    <row r="638" spans="1:1" ht="13.2">
      <c r="A638" s="2"/>
    </row>
    <row r="639" spans="1:1" ht="13.2">
      <c r="A639" s="2"/>
    </row>
    <row r="640" spans="1:1" ht="13.2">
      <c r="A640" s="2"/>
    </row>
    <row r="641" spans="1:1" ht="13.2">
      <c r="A641" s="2"/>
    </row>
    <row r="642" spans="1:1" ht="13.2">
      <c r="A642" s="2"/>
    </row>
    <row r="643" spans="1:1" ht="13.2">
      <c r="A643" s="2"/>
    </row>
    <row r="644" spans="1:1" ht="13.2">
      <c r="A644" s="2"/>
    </row>
    <row r="645" spans="1:1" ht="13.2">
      <c r="A645" s="2"/>
    </row>
    <row r="646" spans="1:1" ht="13.2">
      <c r="A646" s="2"/>
    </row>
    <row r="647" spans="1:1" ht="13.2">
      <c r="A647" s="2"/>
    </row>
    <row r="648" spans="1:1" ht="13.2">
      <c r="A648" s="2"/>
    </row>
    <row r="649" spans="1:1" ht="13.2">
      <c r="A649" s="2"/>
    </row>
    <row r="650" spans="1:1" ht="13.2">
      <c r="A650" s="2"/>
    </row>
    <row r="651" spans="1:1" ht="13.2">
      <c r="A651" s="2"/>
    </row>
    <row r="652" spans="1:1" ht="13.2">
      <c r="A652" s="2"/>
    </row>
    <row r="653" spans="1:1" ht="13.2">
      <c r="A653" s="2"/>
    </row>
    <row r="654" spans="1:1" ht="13.2">
      <c r="A654" s="2"/>
    </row>
    <row r="655" spans="1:1" ht="13.2">
      <c r="A655" s="2"/>
    </row>
    <row r="656" spans="1:1" ht="13.2">
      <c r="A656" s="2"/>
    </row>
    <row r="657" spans="1:1" ht="13.2">
      <c r="A657" s="2"/>
    </row>
    <row r="658" spans="1:1" ht="13.2">
      <c r="A658" s="2"/>
    </row>
    <row r="659" spans="1:1" ht="13.2">
      <c r="A659" s="2"/>
    </row>
    <row r="660" spans="1:1" ht="13.2">
      <c r="A660" s="2"/>
    </row>
    <row r="661" spans="1:1" ht="13.2">
      <c r="A661" s="2"/>
    </row>
    <row r="662" spans="1:1" ht="13.2">
      <c r="A662" s="2"/>
    </row>
    <row r="663" spans="1:1" ht="13.2">
      <c r="A663" s="2"/>
    </row>
    <row r="664" spans="1:1" ht="13.2">
      <c r="A664" s="2"/>
    </row>
    <row r="665" spans="1:1" ht="13.2">
      <c r="A665" s="2"/>
    </row>
    <row r="666" spans="1:1" ht="13.2">
      <c r="A666" s="2"/>
    </row>
    <row r="667" spans="1:1" ht="13.2">
      <c r="A667" s="2"/>
    </row>
    <row r="668" spans="1:1" ht="13.2">
      <c r="A668" s="2"/>
    </row>
    <row r="669" spans="1:1" ht="13.2">
      <c r="A669" s="2"/>
    </row>
    <row r="670" spans="1:1" ht="13.2">
      <c r="A670" s="2"/>
    </row>
    <row r="671" spans="1:1" ht="13.2">
      <c r="A671" s="2"/>
    </row>
    <row r="672" spans="1:1" ht="13.2">
      <c r="A672" s="2"/>
    </row>
    <row r="673" spans="1:1" ht="13.2">
      <c r="A673" s="2"/>
    </row>
    <row r="674" spans="1:1" ht="13.2">
      <c r="A674" s="2"/>
    </row>
    <row r="675" spans="1:1" ht="13.2">
      <c r="A675" s="2"/>
    </row>
    <row r="676" spans="1:1" ht="13.2">
      <c r="A676" s="2"/>
    </row>
    <row r="677" spans="1:1" ht="13.2">
      <c r="A677" s="2"/>
    </row>
    <row r="678" spans="1:1" ht="13.2">
      <c r="A678" s="2"/>
    </row>
    <row r="679" spans="1:1" ht="13.2">
      <c r="A679" s="2"/>
    </row>
    <row r="680" spans="1:1" ht="13.2">
      <c r="A680" s="2"/>
    </row>
    <row r="681" spans="1:1" ht="13.2">
      <c r="A681" s="2"/>
    </row>
    <row r="682" spans="1:1" ht="13.2">
      <c r="A682" s="2"/>
    </row>
    <row r="683" spans="1:1" ht="13.2">
      <c r="A683" s="2"/>
    </row>
    <row r="684" spans="1:1" ht="13.2">
      <c r="A684" s="2"/>
    </row>
    <row r="685" spans="1:1" ht="13.2">
      <c r="A685" s="2"/>
    </row>
    <row r="686" spans="1:1" ht="13.2">
      <c r="A686" s="2"/>
    </row>
    <row r="687" spans="1:1" ht="13.2">
      <c r="A687" s="2"/>
    </row>
    <row r="688" spans="1:1" ht="13.2">
      <c r="A688" s="2"/>
    </row>
    <row r="689" spans="1:1" ht="13.2">
      <c r="A689" s="2"/>
    </row>
    <row r="690" spans="1:1" ht="13.2">
      <c r="A690" s="2"/>
    </row>
    <row r="691" spans="1:1" ht="13.2">
      <c r="A691" s="2"/>
    </row>
    <row r="692" spans="1:1" ht="13.2">
      <c r="A692" s="2"/>
    </row>
    <row r="693" spans="1:1" ht="13.2">
      <c r="A693" s="2"/>
    </row>
    <row r="694" spans="1:1" ht="13.2">
      <c r="A694" s="2"/>
    </row>
    <row r="695" spans="1:1" ht="13.2">
      <c r="A695" s="2"/>
    </row>
    <row r="696" spans="1:1" ht="13.2">
      <c r="A696" s="2"/>
    </row>
    <row r="697" spans="1:1" ht="13.2">
      <c r="A697" s="2"/>
    </row>
    <row r="698" spans="1:1" ht="13.2">
      <c r="A698" s="2"/>
    </row>
    <row r="699" spans="1:1" ht="13.2">
      <c r="A699" s="2"/>
    </row>
    <row r="700" spans="1:1" ht="13.2">
      <c r="A700" s="2"/>
    </row>
    <row r="701" spans="1:1" ht="13.2">
      <c r="A701" s="2"/>
    </row>
    <row r="702" spans="1:1" ht="13.2">
      <c r="A702" s="2"/>
    </row>
    <row r="703" spans="1:1" ht="13.2">
      <c r="A703" s="2"/>
    </row>
    <row r="704" spans="1:1" ht="13.2">
      <c r="A704" s="2"/>
    </row>
    <row r="705" spans="1:1" ht="13.2">
      <c r="A705" s="2"/>
    </row>
    <row r="706" spans="1:1" ht="13.2">
      <c r="A706" s="2"/>
    </row>
    <row r="707" spans="1:1" ht="13.2">
      <c r="A707" s="2"/>
    </row>
    <row r="708" spans="1:1" ht="13.2">
      <c r="A708" s="2"/>
    </row>
    <row r="709" spans="1:1" ht="13.2">
      <c r="A709" s="2"/>
    </row>
    <row r="710" spans="1:1" ht="13.2">
      <c r="A710" s="2"/>
    </row>
    <row r="711" spans="1:1" ht="13.2">
      <c r="A711" s="2"/>
    </row>
    <row r="712" spans="1:1" ht="13.2">
      <c r="A712" s="2"/>
    </row>
    <row r="713" spans="1:1" ht="13.2">
      <c r="A713" s="2"/>
    </row>
    <row r="714" spans="1:1" ht="13.2">
      <c r="A714" s="2"/>
    </row>
    <row r="715" spans="1:1" ht="13.2">
      <c r="A715" s="2"/>
    </row>
    <row r="716" spans="1:1" ht="13.2">
      <c r="A716" s="2"/>
    </row>
    <row r="717" spans="1:1" ht="13.2">
      <c r="A717" s="2"/>
    </row>
    <row r="718" spans="1:1" ht="13.2">
      <c r="A718" s="2"/>
    </row>
    <row r="719" spans="1:1" ht="13.2">
      <c r="A719" s="2"/>
    </row>
    <row r="720" spans="1:1" ht="13.2">
      <c r="A720" s="2"/>
    </row>
    <row r="721" spans="1:1" ht="13.2">
      <c r="A721" s="2"/>
    </row>
    <row r="722" spans="1:1" ht="13.2">
      <c r="A722" s="2"/>
    </row>
    <row r="723" spans="1:1" ht="13.2">
      <c r="A723" s="2"/>
    </row>
    <row r="724" spans="1:1" ht="13.2">
      <c r="A724" s="2"/>
    </row>
    <row r="725" spans="1:1" ht="13.2">
      <c r="A725" s="2"/>
    </row>
    <row r="726" spans="1:1" ht="13.2">
      <c r="A726" s="2"/>
    </row>
    <row r="727" spans="1:1" ht="13.2">
      <c r="A727" s="2"/>
    </row>
    <row r="728" spans="1:1" ht="13.2">
      <c r="A728" s="2"/>
    </row>
    <row r="729" spans="1:1" ht="13.2">
      <c r="A729" s="2"/>
    </row>
    <row r="730" spans="1:1" ht="13.2">
      <c r="A730" s="2"/>
    </row>
    <row r="731" spans="1:1" ht="13.2">
      <c r="A731" s="2"/>
    </row>
    <row r="732" spans="1:1" ht="13.2">
      <c r="A732" s="2"/>
    </row>
    <row r="733" spans="1:1" ht="13.2">
      <c r="A733" s="2"/>
    </row>
    <row r="734" spans="1:1" ht="13.2">
      <c r="A734" s="2"/>
    </row>
    <row r="735" spans="1:1" ht="13.2">
      <c r="A735" s="2"/>
    </row>
    <row r="736" spans="1:1" ht="13.2">
      <c r="A736" s="2"/>
    </row>
    <row r="737" spans="1:1" ht="13.2">
      <c r="A737" s="2"/>
    </row>
    <row r="738" spans="1:1" ht="13.2">
      <c r="A738" s="2"/>
    </row>
    <row r="739" spans="1:1" ht="13.2">
      <c r="A739" s="2"/>
    </row>
    <row r="740" spans="1:1" ht="13.2">
      <c r="A740" s="2"/>
    </row>
    <row r="741" spans="1:1" ht="13.2">
      <c r="A741" s="2"/>
    </row>
    <row r="742" spans="1:1" ht="13.2">
      <c r="A742" s="2"/>
    </row>
    <row r="743" spans="1:1" ht="13.2">
      <c r="A743" s="2"/>
    </row>
    <row r="744" spans="1:1" ht="13.2">
      <c r="A744" s="2"/>
    </row>
    <row r="745" spans="1:1" ht="13.2">
      <c r="A745" s="2"/>
    </row>
    <row r="746" spans="1:1" ht="13.2">
      <c r="A746" s="2"/>
    </row>
    <row r="747" spans="1:1" ht="13.2">
      <c r="A747" s="2"/>
    </row>
    <row r="748" spans="1:1" ht="13.2">
      <c r="A748" s="2"/>
    </row>
    <row r="749" spans="1:1" ht="13.2">
      <c r="A749" s="2"/>
    </row>
    <row r="750" spans="1:1" ht="13.2">
      <c r="A750" s="2"/>
    </row>
    <row r="751" spans="1:1" ht="13.2">
      <c r="A751" s="2"/>
    </row>
    <row r="752" spans="1:1" ht="13.2">
      <c r="A752" s="2"/>
    </row>
    <row r="753" spans="1:1" ht="13.2">
      <c r="A753" s="2"/>
    </row>
    <row r="754" spans="1:1" ht="13.2">
      <c r="A754" s="2"/>
    </row>
    <row r="755" spans="1:1" ht="13.2">
      <c r="A755" s="2"/>
    </row>
    <row r="756" spans="1:1" ht="13.2">
      <c r="A756" s="2"/>
    </row>
    <row r="757" spans="1:1" ht="13.2">
      <c r="A757" s="2"/>
    </row>
    <row r="758" spans="1:1" ht="13.2">
      <c r="A758" s="2"/>
    </row>
    <row r="759" spans="1:1" ht="13.2">
      <c r="A759" s="2"/>
    </row>
    <row r="760" spans="1:1" ht="13.2">
      <c r="A760" s="2"/>
    </row>
    <row r="761" spans="1:1" ht="13.2">
      <c r="A761" s="2"/>
    </row>
    <row r="762" spans="1:1" ht="13.2">
      <c r="A762" s="2"/>
    </row>
    <row r="763" spans="1:1" ht="13.2">
      <c r="A763" s="2"/>
    </row>
    <row r="764" spans="1:1" ht="13.2">
      <c r="A764" s="2"/>
    </row>
    <row r="765" spans="1:1" ht="13.2">
      <c r="A765" s="2"/>
    </row>
    <row r="766" spans="1:1" ht="13.2">
      <c r="A766" s="2"/>
    </row>
    <row r="767" spans="1:1" ht="13.2">
      <c r="A767" s="2"/>
    </row>
    <row r="768" spans="1:1" ht="13.2">
      <c r="A768" s="2"/>
    </row>
    <row r="769" spans="1:1" ht="13.2">
      <c r="A769" s="2"/>
    </row>
    <row r="770" spans="1:1" ht="13.2">
      <c r="A770" s="2"/>
    </row>
    <row r="771" spans="1:1" ht="13.2">
      <c r="A771" s="2"/>
    </row>
    <row r="772" spans="1:1" ht="13.2">
      <c r="A772" s="2"/>
    </row>
    <row r="773" spans="1:1" ht="13.2">
      <c r="A773" s="2"/>
    </row>
    <row r="774" spans="1:1" ht="13.2">
      <c r="A774" s="2"/>
    </row>
    <row r="775" spans="1:1" ht="13.2">
      <c r="A775" s="2"/>
    </row>
    <row r="776" spans="1:1" ht="13.2">
      <c r="A776" s="2"/>
    </row>
    <row r="777" spans="1:1" ht="13.2">
      <c r="A777" s="2"/>
    </row>
    <row r="778" spans="1:1" ht="13.2">
      <c r="A778" s="2"/>
    </row>
    <row r="779" spans="1:1" ht="13.2">
      <c r="A779" s="2"/>
    </row>
    <row r="780" spans="1:1" ht="13.2">
      <c r="A780" s="2"/>
    </row>
    <row r="781" spans="1:1" ht="13.2">
      <c r="A781" s="2"/>
    </row>
    <row r="782" spans="1:1" ht="13.2">
      <c r="A782" s="2"/>
    </row>
    <row r="783" spans="1:1" ht="13.2">
      <c r="A783" s="2"/>
    </row>
    <row r="784" spans="1:1" ht="13.2">
      <c r="A784" s="2"/>
    </row>
    <row r="785" spans="1:1" ht="13.2">
      <c r="A785" s="2"/>
    </row>
    <row r="786" spans="1:1" ht="13.2">
      <c r="A786" s="2"/>
    </row>
    <row r="787" spans="1:1" ht="13.2">
      <c r="A787" s="2"/>
    </row>
    <row r="788" spans="1:1" ht="13.2">
      <c r="A788" s="2"/>
    </row>
    <row r="789" spans="1:1" ht="13.2">
      <c r="A789" s="2"/>
    </row>
    <row r="790" spans="1:1" ht="13.2">
      <c r="A790" s="2"/>
    </row>
    <row r="791" spans="1:1" ht="13.2">
      <c r="A791" s="2"/>
    </row>
    <row r="792" spans="1:1" ht="13.2">
      <c r="A792" s="2"/>
    </row>
    <row r="793" spans="1:1" ht="13.2">
      <c r="A793" s="2"/>
    </row>
    <row r="794" spans="1:1" ht="13.2">
      <c r="A794" s="2"/>
    </row>
    <row r="795" spans="1:1" ht="13.2">
      <c r="A795" s="2"/>
    </row>
    <row r="796" spans="1:1" ht="13.2">
      <c r="A796" s="2"/>
    </row>
    <row r="797" spans="1:1" ht="13.2">
      <c r="A797" s="2"/>
    </row>
    <row r="798" spans="1:1" ht="13.2">
      <c r="A798" s="2"/>
    </row>
    <row r="799" spans="1:1" ht="13.2">
      <c r="A799" s="2"/>
    </row>
    <row r="800" spans="1:1" ht="13.2">
      <c r="A800" s="2"/>
    </row>
    <row r="801" spans="1:1" ht="13.2">
      <c r="A801" s="2"/>
    </row>
    <row r="802" spans="1:1" ht="13.2">
      <c r="A802" s="2"/>
    </row>
    <row r="803" spans="1:1" ht="13.2">
      <c r="A803" s="2"/>
    </row>
    <row r="804" spans="1:1" ht="13.2">
      <c r="A804" s="2"/>
    </row>
    <row r="805" spans="1:1" ht="13.2">
      <c r="A805" s="2"/>
    </row>
    <row r="806" spans="1:1" ht="13.2">
      <c r="A806" s="2"/>
    </row>
    <row r="807" spans="1:1" ht="13.2">
      <c r="A807" s="2"/>
    </row>
    <row r="808" spans="1:1" ht="13.2">
      <c r="A808" s="2"/>
    </row>
    <row r="809" spans="1:1" ht="13.2">
      <c r="A809" s="2"/>
    </row>
    <row r="810" spans="1:1" ht="13.2">
      <c r="A810" s="2"/>
    </row>
    <row r="811" spans="1:1" ht="13.2">
      <c r="A811" s="2"/>
    </row>
    <row r="812" spans="1:1" ht="13.2">
      <c r="A812" s="2"/>
    </row>
    <row r="813" spans="1:1" ht="13.2">
      <c r="A813" s="2"/>
    </row>
    <row r="814" spans="1:1" ht="13.2">
      <c r="A814" s="2"/>
    </row>
    <row r="815" spans="1:1" ht="13.2">
      <c r="A815" s="2"/>
    </row>
    <row r="816" spans="1:1" ht="13.2">
      <c r="A816" s="2"/>
    </row>
    <row r="817" spans="1:1" ht="13.2">
      <c r="A817" s="2"/>
    </row>
    <row r="818" spans="1:1" ht="13.2">
      <c r="A818" s="2"/>
    </row>
    <row r="819" spans="1:1" ht="13.2">
      <c r="A819" s="2"/>
    </row>
    <row r="820" spans="1:1" ht="13.2">
      <c r="A820" s="2"/>
    </row>
    <row r="821" spans="1:1" ht="13.2">
      <c r="A821" s="2"/>
    </row>
    <row r="822" spans="1:1" ht="13.2">
      <c r="A822" s="2"/>
    </row>
    <row r="823" spans="1:1" ht="13.2">
      <c r="A823" s="2"/>
    </row>
    <row r="824" spans="1:1" ht="13.2">
      <c r="A824" s="2"/>
    </row>
    <row r="825" spans="1:1" ht="13.2">
      <c r="A825" s="2"/>
    </row>
    <row r="826" spans="1:1" ht="13.2">
      <c r="A826" s="2"/>
    </row>
    <row r="827" spans="1:1" ht="13.2">
      <c r="A827" s="2"/>
    </row>
    <row r="828" spans="1:1" ht="13.2">
      <c r="A828" s="2"/>
    </row>
    <row r="829" spans="1:1" ht="13.2">
      <c r="A829" s="2"/>
    </row>
    <row r="830" spans="1:1" ht="13.2">
      <c r="A830" s="2"/>
    </row>
    <row r="831" spans="1:1" ht="13.2">
      <c r="A831" s="2"/>
    </row>
    <row r="832" spans="1:1" ht="13.2">
      <c r="A832" s="2"/>
    </row>
    <row r="833" spans="1:1" ht="13.2">
      <c r="A833" s="2"/>
    </row>
    <row r="834" spans="1:1" ht="13.2">
      <c r="A834" s="2"/>
    </row>
    <row r="835" spans="1:1" ht="13.2">
      <c r="A835" s="2"/>
    </row>
    <row r="836" spans="1:1" ht="13.2">
      <c r="A836" s="2"/>
    </row>
    <row r="837" spans="1:1" ht="13.2">
      <c r="A837" s="2"/>
    </row>
    <row r="838" spans="1:1" ht="13.2">
      <c r="A838" s="2"/>
    </row>
    <row r="839" spans="1:1" ht="13.2">
      <c r="A839" s="2"/>
    </row>
    <row r="840" spans="1:1" ht="13.2">
      <c r="A840" s="2"/>
    </row>
    <row r="841" spans="1:1" ht="13.2">
      <c r="A841" s="2"/>
    </row>
    <row r="842" spans="1:1" ht="13.2">
      <c r="A842" s="2"/>
    </row>
    <row r="843" spans="1:1" ht="13.2">
      <c r="A843" s="2"/>
    </row>
    <row r="844" spans="1:1" ht="13.2">
      <c r="A844" s="2"/>
    </row>
    <row r="845" spans="1:1" ht="13.2">
      <c r="A845" s="2"/>
    </row>
    <row r="846" spans="1:1" ht="13.2">
      <c r="A846" s="2"/>
    </row>
    <row r="847" spans="1:1" ht="13.2">
      <c r="A847" s="2"/>
    </row>
    <row r="848" spans="1:1" ht="13.2">
      <c r="A848" s="2"/>
    </row>
    <row r="849" spans="1:1" ht="13.2">
      <c r="A849" s="2"/>
    </row>
    <row r="850" spans="1:1" ht="13.2">
      <c r="A850" s="2"/>
    </row>
    <row r="851" spans="1:1" ht="13.2">
      <c r="A851" s="2"/>
    </row>
    <row r="852" spans="1:1" ht="13.2">
      <c r="A852" s="2"/>
    </row>
    <row r="853" spans="1:1" ht="13.2">
      <c r="A853" s="2"/>
    </row>
    <row r="854" spans="1:1" ht="13.2">
      <c r="A854" s="2"/>
    </row>
    <row r="855" spans="1:1" ht="13.2">
      <c r="A855" s="2"/>
    </row>
    <row r="856" spans="1:1" ht="13.2">
      <c r="A856" s="2"/>
    </row>
    <row r="857" spans="1:1" ht="13.2">
      <c r="A857" s="2"/>
    </row>
    <row r="858" spans="1:1" ht="13.2">
      <c r="A858" s="2"/>
    </row>
    <row r="859" spans="1:1" ht="13.2">
      <c r="A859" s="2"/>
    </row>
    <row r="860" spans="1:1" ht="13.2">
      <c r="A860" s="2"/>
    </row>
    <row r="861" spans="1:1" ht="13.2">
      <c r="A861" s="2"/>
    </row>
    <row r="862" spans="1:1" ht="13.2">
      <c r="A862" s="2"/>
    </row>
    <row r="863" spans="1:1" ht="13.2">
      <c r="A863" s="2"/>
    </row>
    <row r="864" spans="1:1" ht="13.2">
      <c r="A864" s="2"/>
    </row>
    <row r="865" spans="1:1" ht="13.2">
      <c r="A865" s="2"/>
    </row>
    <row r="866" spans="1:1" ht="13.2">
      <c r="A866" s="2"/>
    </row>
    <row r="867" spans="1:1" ht="13.2">
      <c r="A867" s="2"/>
    </row>
    <row r="868" spans="1:1" ht="13.2">
      <c r="A868" s="2"/>
    </row>
    <row r="869" spans="1:1" ht="13.2">
      <c r="A869" s="2"/>
    </row>
    <row r="870" spans="1:1" ht="13.2">
      <c r="A870" s="2"/>
    </row>
    <row r="871" spans="1:1" ht="13.2">
      <c r="A871" s="2"/>
    </row>
    <row r="872" spans="1:1" ht="13.2">
      <c r="A872" s="2"/>
    </row>
    <row r="873" spans="1:1" ht="13.2">
      <c r="A873" s="2"/>
    </row>
    <row r="874" spans="1:1" ht="13.2">
      <c r="A874" s="2"/>
    </row>
    <row r="875" spans="1:1" ht="13.2">
      <c r="A875" s="2"/>
    </row>
    <row r="876" spans="1:1" ht="13.2">
      <c r="A876" s="2"/>
    </row>
    <row r="877" spans="1:1" ht="13.2">
      <c r="A877" s="2"/>
    </row>
    <row r="878" spans="1:1" ht="13.2">
      <c r="A878" s="2"/>
    </row>
    <row r="879" spans="1:1" ht="13.2">
      <c r="A879" s="2"/>
    </row>
    <row r="880" spans="1:1" ht="13.2">
      <c r="A880" s="2"/>
    </row>
    <row r="881" spans="1:1" ht="13.2">
      <c r="A881" s="2"/>
    </row>
    <row r="882" spans="1:1" ht="13.2">
      <c r="A882" s="2"/>
    </row>
    <row r="883" spans="1:1" ht="13.2">
      <c r="A883" s="2"/>
    </row>
    <row r="884" spans="1:1" ht="13.2">
      <c r="A884" s="2"/>
    </row>
    <row r="885" spans="1:1" ht="13.2">
      <c r="A885" s="2"/>
    </row>
    <row r="886" spans="1:1" ht="13.2">
      <c r="A886" s="2"/>
    </row>
    <row r="887" spans="1:1" ht="13.2">
      <c r="A887" s="2"/>
    </row>
    <row r="888" spans="1:1" ht="13.2">
      <c r="A888" s="2"/>
    </row>
    <row r="889" spans="1:1" ht="13.2">
      <c r="A889" s="2"/>
    </row>
    <row r="890" spans="1:1" ht="13.2">
      <c r="A890" s="2"/>
    </row>
    <row r="891" spans="1:1" ht="13.2">
      <c r="A891" s="2"/>
    </row>
    <row r="892" spans="1:1" ht="13.2">
      <c r="A892" s="2"/>
    </row>
    <row r="893" spans="1:1" ht="13.2">
      <c r="A893" s="2"/>
    </row>
    <row r="894" spans="1:1" ht="13.2">
      <c r="A894" s="2"/>
    </row>
    <row r="895" spans="1:1" ht="13.2">
      <c r="A895" s="2"/>
    </row>
    <row r="896" spans="1:1" ht="13.2">
      <c r="A896" s="2"/>
    </row>
    <row r="897" spans="1:1" ht="13.2">
      <c r="A897" s="2"/>
    </row>
    <row r="898" spans="1:1" ht="13.2">
      <c r="A898" s="2"/>
    </row>
    <row r="899" spans="1:1" ht="13.2">
      <c r="A899" s="2"/>
    </row>
    <row r="900" spans="1:1" ht="13.2">
      <c r="A900" s="2"/>
    </row>
    <row r="901" spans="1:1" ht="13.2">
      <c r="A901" s="2"/>
    </row>
    <row r="902" spans="1:1" ht="13.2">
      <c r="A902" s="2"/>
    </row>
    <row r="903" spans="1:1" ht="13.2">
      <c r="A903" s="2"/>
    </row>
    <row r="904" spans="1:1" ht="13.2">
      <c r="A904" s="2"/>
    </row>
    <row r="905" spans="1:1" ht="13.2">
      <c r="A905" s="2"/>
    </row>
    <row r="906" spans="1:1" ht="13.2">
      <c r="A906" s="2"/>
    </row>
    <row r="907" spans="1:1" ht="13.2">
      <c r="A907" s="2"/>
    </row>
    <row r="908" spans="1:1" ht="13.2">
      <c r="A908" s="2"/>
    </row>
    <row r="909" spans="1:1" ht="13.2">
      <c r="A909" s="2"/>
    </row>
    <row r="910" spans="1:1" ht="13.2">
      <c r="A910" s="2"/>
    </row>
    <row r="911" spans="1:1" ht="13.2">
      <c r="A911" s="2"/>
    </row>
    <row r="912" spans="1:1" ht="13.2">
      <c r="A912" s="2"/>
    </row>
    <row r="913" spans="1:1" ht="13.2">
      <c r="A913" s="2"/>
    </row>
    <row r="914" spans="1:1" ht="13.2">
      <c r="A914" s="2"/>
    </row>
    <row r="915" spans="1:1" ht="13.2">
      <c r="A915" s="2"/>
    </row>
    <row r="916" spans="1:1" ht="13.2">
      <c r="A916" s="2"/>
    </row>
    <row r="917" spans="1:1" ht="13.2">
      <c r="A917" s="2"/>
    </row>
    <row r="918" spans="1:1" ht="13.2">
      <c r="A918" s="2"/>
    </row>
    <row r="919" spans="1:1" ht="13.2">
      <c r="A919" s="2"/>
    </row>
    <row r="920" spans="1:1" ht="13.2">
      <c r="A920" s="2"/>
    </row>
    <row r="921" spans="1:1" ht="13.2">
      <c r="A921" s="2"/>
    </row>
    <row r="922" spans="1:1" ht="13.2">
      <c r="A922" s="2"/>
    </row>
    <row r="923" spans="1:1" ht="13.2">
      <c r="A923" s="2"/>
    </row>
    <row r="924" spans="1:1" ht="13.2">
      <c r="A924" s="2"/>
    </row>
    <row r="925" spans="1:1" ht="13.2">
      <c r="A925" s="2"/>
    </row>
    <row r="926" spans="1:1" ht="13.2">
      <c r="A926" s="2"/>
    </row>
    <row r="927" spans="1:1" ht="13.2">
      <c r="A927" s="2"/>
    </row>
    <row r="928" spans="1:1" ht="13.2">
      <c r="A928" s="2"/>
    </row>
    <row r="929" spans="1:1" ht="13.2">
      <c r="A929" s="2"/>
    </row>
    <row r="930" spans="1:1" ht="13.2">
      <c r="A930" s="2"/>
    </row>
    <row r="931" spans="1:1" ht="13.2">
      <c r="A931" s="2"/>
    </row>
    <row r="932" spans="1:1" ht="13.2">
      <c r="A932" s="2"/>
    </row>
    <row r="933" spans="1:1" ht="13.2">
      <c r="A933" s="2"/>
    </row>
    <row r="934" spans="1:1" ht="13.2">
      <c r="A934" s="2"/>
    </row>
    <row r="935" spans="1:1" ht="13.2">
      <c r="A935" s="2"/>
    </row>
    <row r="936" spans="1:1" ht="13.2">
      <c r="A936" s="2"/>
    </row>
    <row r="937" spans="1:1" ht="13.2">
      <c r="A937" s="2"/>
    </row>
    <row r="938" spans="1:1" ht="13.2">
      <c r="A938" s="2"/>
    </row>
    <row r="939" spans="1:1" ht="13.2">
      <c r="A939" s="2"/>
    </row>
    <row r="940" spans="1:1" ht="13.2">
      <c r="A940" s="2"/>
    </row>
    <row r="941" spans="1:1" ht="13.2">
      <c r="A941" s="2"/>
    </row>
    <row r="942" spans="1:1" ht="13.2">
      <c r="A942" s="2"/>
    </row>
    <row r="943" spans="1:1" ht="13.2">
      <c r="A943" s="2"/>
    </row>
    <row r="944" spans="1:1" ht="13.2">
      <c r="A944" s="2"/>
    </row>
    <row r="945" spans="1:1" ht="13.2">
      <c r="A945" s="2"/>
    </row>
    <row r="946" spans="1:1" ht="13.2">
      <c r="A946" s="2"/>
    </row>
    <row r="947" spans="1:1" ht="13.2">
      <c r="A947" s="2"/>
    </row>
    <row r="948" spans="1:1" ht="13.2">
      <c r="A948" s="2"/>
    </row>
    <row r="949" spans="1:1" ht="13.2">
      <c r="A949" s="2"/>
    </row>
    <row r="950" spans="1:1" ht="13.2">
      <c r="A950" s="2"/>
    </row>
    <row r="951" spans="1:1" ht="13.2">
      <c r="A951" s="2"/>
    </row>
    <row r="952" spans="1:1" ht="13.2">
      <c r="A952" s="2"/>
    </row>
    <row r="953" spans="1:1" ht="13.2">
      <c r="A953" s="2"/>
    </row>
    <row r="954" spans="1:1" ht="13.2">
      <c r="A954" s="2"/>
    </row>
    <row r="955" spans="1:1" ht="13.2">
      <c r="A955" s="2"/>
    </row>
    <row r="956" spans="1:1" ht="13.2">
      <c r="A956" s="2"/>
    </row>
    <row r="957" spans="1:1" ht="13.2">
      <c r="A957" s="2"/>
    </row>
    <row r="958" spans="1:1" ht="13.2">
      <c r="A958" s="2"/>
    </row>
    <row r="959" spans="1:1" ht="13.2">
      <c r="A959" s="2"/>
    </row>
    <row r="960" spans="1:1" ht="13.2">
      <c r="A960" s="2"/>
    </row>
    <row r="961" spans="1:1" ht="13.2">
      <c r="A961" s="2"/>
    </row>
    <row r="962" spans="1:1" ht="13.2">
      <c r="A962" s="2"/>
    </row>
    <row r="963" spans="1:1" ht="13.2">
      <c r="A963" s="2"/>
    </row>
    <row r="964" spans="1:1" ht="13.2">
      <c r="A964" s="2"/>
    </row>
    <row r="965" spans="1:1" ht="13.2">
      <c r="A965" s="2"/>
    </row>
    <row r="966" spans="1:1" ht="13.2">
      <c r="A966" s="2"/>
    </row>
    <row r="967" spans="1:1" ht="13.2">
      <c r="A967" s="2"/>
    </row>
    <row r="968" spans="1:1" ht="13.2">
      <c r="A968" s="2"/>
    </row>
    <row r="969" spans="1:1" ht="13.2">
      <c r="A969" s="2"/>
    </row>
    <row r="970" spans="1:1" ht="13.2">
      <c r="A970" s="2"/>
    </row>
    <row r="971" spans="1:1" ht="13.2">
      <c r="A971" s="2"/>
    </row>
    <row r="972" spans="1:1" ht="13.2">
      <c r="A972" s="2"/>
    </row>
    <row r="973" spans="1:1" ht="13.2">
      <c r="A973" s="2"/>
    </row>
    <row r="974" spans="1:1" ht="13.2">
      <c r="A974" s="2"/>
    </row>
    <row r="975" spans="1:1" ht="13.2">
      <c r="A975" s="2"/>
    </row>
    <row r="976" spans="1:1" ht="13.2">
      <c r="A976" s="2"/>
    </row>
    <row r="977" spans="1:1" ht="13.2">
      <c r="A977" s="2"/>
    </row>
    <row r="978" spans="1:1" ht="13.2">
      <c r="A978" s="2"/>
    </row>
    <row r="979" spans="1:1" ht="13.2">
      <c r="A979" s="2"/>
    </row>
    <row r="980" spans="1:1" ht="13.2">
      <c r="A980" s="2"/>
    </row>
    <row r="981" spans="1:1" ht="13.2">
      <c r="A981" s="2"/>
    </row>
    <row r="982" spans="1:1" ht="13.2">
      <c r="A982" s="2"/>
    </row>
    <row r="983" spans="1:1" ht="13.2">
      <c r="A983" s="2"/>
    </row>
    <row r="984" spans="1:1" ht="13.2">
      <c r="A984" s="2"/>
    </row>
    <row r="985" spans="1:1" ht="13.2">
      <c r="A985" s="2"/>
    </row>
    <row r="986" spans="1:1" ht="13.2">
      <c r="A986" s="2"/>
    </row>
    <row r="987" spans="1:1" ht="13.2">
      <c r="A987" s="2"/>
    </row>
    <row r="988" spans="1:1" ht="13.2">
      <c r="A988" s="2"/>
    </row>
    <row r="989" spans="1:1" ht="13.2">
      <c r="A989" s="2"/>
    </row>
    <row r="990" spans="1:1" ht="13.2">
      <c r="A990" s="2"/>
    </row>
    <row r="991" spans="1:1" ht="13.2">
      <c r="A991" s="2"/>
    </row>
    <row r="992" spans="1:1" ht="13.2">
      <c r="A992" s="2"/>
    </row>
    <row r="993" spans="1:1" ht="13.2">
      <c r="A993" s="2"/>
    </row>
    <row r="994" spans="1:1" ht="13.2">
      <c r="A994" s="2"/>
    </row>
    <row r="995" spans="1:1" ht="13.2">
      <c r="A995" s="2"/>
    </row>
    <row r="996" spans="1:1" ht="13.2">
      <c r="A996" s="2"/>
    </row>
    <row r="997" spans="1:1" ht="13.2">
      <c r="A99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1026"/>
  <sheetViews>
    <sheetView zoomScale="53" workbookViewId="0">
      <selection activeCell="C2" sqref="C2:AV2"/>
    </sheetView>
  </sheetViews>
  <sheetFormatPr defaultColWidth="12.5546875" defaultRowHeight="15.75" customHeight="1"/>
  <cols>
    <col min="1" max="1" width="35.88671875" customWidth="1"/>
    <col min="2" max="2" width="72.44140625" customWidth="1"/>
  </cols>
  <sheetData>
    <row r="1" spans="1:48">
      <c r="A1" s="1" t="s">
        <v>0</v>
      </c>
      <c r="B1" s="32" t="s">
        <v>3</v>
      </c>
      <c r="C1" s="21">
        <v>1</v>
      </c>
      <c r="D1" s="21">
        <v>2</v>
      </c>
      <c r="E1" s="21">
        <v>3</v>
      </c>
      <c r="F1" s="21">
        <v>4</v>
      </c>
      <c r="G1" s="21">
        <v>5</v>
      </c>
      <c r="H1" s="21">
        <v>6</v>
      </c>
      <c r="I1" s="21">
        <v>7</v>
      </c>
      <c r="J1" s="21">
        <v>8</v>
      </c>
      <c r="K1" s="21">
        <v>9</v>
      </c>
      <c r="L1" s="21">
        <v>10</v>
      </c>
      <c r="M1" s="21">
        <v>11</v>
      </c>
      <c r="N1" s="21">
        <v>12</v>
      </c>
      <c r="O1" s="21">
        <v>13</v>
      </c>
      <c r="P1" s="21">
        <v>14</v>
      </c>
      <c r="Q1" s="21">
        <v>15</v>
      </c>
      <c r="R1" s="21">
        <v>16</v>
      </c>
      <c r="S1" s="21">
        <v>17</v>
      </c>
      <c r="T1" s="21">
        <v>18</v>
      </c>
      <c r="U1" s="21">
        <v>19</v>
      </c>
      <c r="V1" s="21">
        <v>20</v>
      </c>
      <c r="W1" s="21">
        <v>21</v>
      </c>
      <c r="X1" s="21">
        <v>22</v>
      </c>
      <c r="Y1" s="21">
        <v>23</v>
      </c>
      <c r="Z1" s="21">
        <v>24</v>
      </c>
      <c r="AA1" s="21">
        <v>25</v>
      </c>
      <c r="AB1" s="21">
        <v>26</v>
      </c>
      <c r="AC1" s="21">
        <v>27</v>
      </c>
      <c r="AD1" s="21">
        <v>28</v>
      </c>
      <c r="AE1" s="21">
        <v>29</v>
      </c>
      <c r="AF1" s="21">
        <v>30</v>
      </c>
      <c r="AG1" s="21">
        <v>31</v>
      </c>
      <c r="AH1" s="21">
        <v>32</v>
      </c>
      <c r="AI1" s="21">
        <v>33</v>
      </c>
      <c r="AJ1" s="21">
        <v>34</v>
      </c>
      <c r="AK1" s="21">
        <v>35</v>
      </c>
      <c r="AL1" s="21">
        <v>36</v>
      </c>
      <c r="AM1" s="21">
        <v>37</v>
      </c>
      <c r="AN1" s="21">
        <v>38</v>
      </c>
      <c r="AO1" s="21">
        <v>39</v>
      </c>
      <c r="AP1" s="21">
        <v>40</v>
      </c>
      <c r="AQ1" s="21">
        <v>41</v>
      </c>
      <c r="AR1" s="21">
        <v>42</v>
      </c>
      <c r="AS1" s="21">
        <v>43</v>
      </c>
      <c r="AT1" s="21">
        <v>44</v>
      </c>
      <c r="AU1" s="21">
        <v>45</v>
      </c>
      <c r="AV1" s="21">
        <v>46</v>
      </c>
    </row>
    <row r="2" spans="1:48">
      <c r="A2" s="3" t="s">
        <v>2</v>
      </c>
      <c r="B2" s="3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>
      <c r="A3" s="3"/>
      <c r="B3" s="3" t="s">
        <v>180</v>
      </c>
      <c r="C3" s="3">
        <v>2</v>
      </c>
      <c r="D3" s="3">
        <v>6</v>
      </c>
      <c r="E3" s="3">
        <v>7</v>
      </c>
      <c r="F3" s="3">
        <v>8</v>
      </c>
      <c r="G3" s="3">
        <v>14</v>
      </c>
      <c r="H3" s="3">
        <v>12</v>
      </c>
      <c r="I3" s="3">
        <v>14</v>
      </c>
      <c r="J3" s="3">
        <v>14</v>
      </c>
      <c r="K3" s="3">
        <v>8</v>
      </c>
      <c r="L3" s="3">
        <v>4</v>
      </c>
      <c r="M3" s="3">
        <v>6</v>
      </c>
      <c r="N3" s="3">
        <v>12</v>
      </c>
      <c r="O3" s="3">
        <v>13</v>
      </c>
      <c r="P3" s="3">
        <v>14</v>
      </c>
      <c r="Q3" s="3">
        <v>12</v>
      </c>
      <c r="R3" s="3">
        <v>3</v>
      </c>
      <c r="S3" s="3">
        <v>5</v>
      </c>
      <c r="T3" s="3">
        <v>15</v>
      </c>
      <c r="U3" s="3">
        <v>10</v>
      </c>
      <c r="V3" s="3">
        <v>6</v>
      </c>
      <c r="W3" s="3">
        <v>5</v>
      </c>
      <c r="X3" s="3">
        <v>15</v>
      </c>
      <c r="Y3" s="3">
        <v>15</v>
      </c>
      <c r="Z3" s="3">
        <v>11</v>
      </c>
      <c r="AA3" s="3">
        <v>3</v>
      </c>
      <c r="AB3" s="3">
        <v>3</v>
      </c>
      <c r="AC3" s="3">
        <v>8</v>
      </c>
      <c r="AD3" s="3">
        <v>9</v>
      </c>
      <c r="AE3" s="3">
        <v>13</v>
      </c>
      <c r="AF3" s="3">
        <v>15</v>
      </c>
      <c r="AG3" s="3">
        <v>13</v>
      </c>
      <c r="AH3" s="3">
        <v>12</v>
      </c>
      <c r="AI3" s="3">
        <v>8</v>
      </c>
      <c r="AJ3" s="3">
        <v>6</v>
      </c>
      <c r="AK3" s="3">
        <v>10</v>
      </c>
      <c r="AL3" s="3">
        <v>10</v>
      </c>
      <c r="AM3" s="3">
        <v>12</v>
      </c>
      <c r="AN3" s="3">
        <v>14</v>
      </c>
      <c r="AO3" s="3">
        <v>15</v>
      </c>
      <c r="AP3" s="3">
        <v>5</v>
      </c>
      <c r="AQ3" s="3">
        <v>8</v>
      </c>
      <c r="AR3" s="3">
        <v>10</v>
      </c>
      <c r="AS3" s="3">
        <v>5</v>
      </c>
      <c r="AT3" s="3">
        <v>8</v>
      </c>
      <c r="AU3" s="3">
        <v>6</v>
      </c>
      <c r="AV3" s="3">
        <v>12</v>
      </c>
    </row>
    <row r="4" spans="1:48">
      <c r="A4" s="3"/>
      <c r="B4" s="3" t="s">
        <v>6</v>
      </c>
      <c r="C4" s="3" t="s">
        <v>8</v>
      </c>
      <c r="D4" s="3" t="s">
        <v>8</v>
      </c>
      <c r="E4" s="3" t="s">
        <v>7</v>
      </c>
      <c r="F4" s="3" t="s">
        <v>8</v>
      </c>
      <c r="G4" s="3" t="s">
        <v>8</v>
      </c>
      <c r="H4" s="3" t="s">
        <v>7</v>
      </c>
      <c r="I4" s="3" t="s">
        <v>7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  <c r="O4" s="3" t="s">
        <v>7</v>
      </c>
      <c r="P4" s="3" t="s">
        <v>7</v>
      </c>
      <c r="Q4" s="3" t="s">
        <v>8</v>
      </c>
      <c r="R4" s="3" t="s">
        <v>8</v>
      </c>
      <c r="S4" s="3" t="s">
        <v>7</v>
      </c>
      <c r="T4" s="3" t="s">
        <v>7</v>
      </c>
      <c r="U4" s="3" t="s">
        <v>8</v>
      </c>
      <c r="V4" s="3" t="s">
        <v>8</v>
      </c>
      <c r="W4" s="3" t="s">
        <v>7</v>
      </c>
      <c r="X4" s="3" t="s">
        <v>7</v>
      </c>
      <c r="Y4" s="3" t="s">
        <v>8</v>
      </c>
      <c r="Z4" s="3" t="s">
        <v>7</v>
      </c>
      <c r="AA4" s="3" t="s">
        <v>8</v>
      </c>
      <c r="AB4" s="3" t="s">
        <v>7</v>
      </c>
      <c r="AC4" s="3" t="s">
        <v>7</v>
      </c>
      <c r="AD4" s="3" t="s">
        <v>8</v>
      </c>
      <c r="AE4" s="3" t="s">
        <v>8</v>
      </c>
      <c r="AF4" s="3" t="s">
        <v>8</v>
      </c>
      <c r="AG4" s="3" t="s">
        <v>7</v>
      </c>
      <c r="AH4" s="3" t="s">
        <v>8</v>
      </c>
      <c r="AI4" s="3" t="s">
        <v>8</v>
      </c>
      <c r="AJ4" s="3" t="s">
        <v>8</v>
      </c>
      <c r="AK4" s="3" t="s">
        <v>8</v>
      </c>
      <c r="AL4" s="3" t="s">
        <v>8</v>
      </c>
      <c r="AM4" s="3" t="s">
        <v>7</v>
      </c>
      <c r="AN4" s="3" t="s">
        <v>7</v>
      </c>
      <c r="AO4" s="3" t="s">
        <v>8</v>
      </c>
      <c r="AP4" s="3" t="s">
        <v>7</v>
      </c>
      <c r="AQ4" s="3" t="s">
        <v>7</v>
      </c>
      <c r="AR4" s="3" t="s">
        <v>7</v>
      </c>
      <c r="AS4" s="3" t="s">
        <v>8</v>
      </c>
      <c r="AT4" s="3" t="s">
        <v>8</v>
      </c>
      <c r="AU4" s="3" t="s">
        <v>8</v>
      </c>
      <c r="AV4" s="3" t="s">
        <v>8</v>
      </c>
    </row>
    <row r="5" spans="1:48">
      <c r="A5" s="3"/>
      <c r="B5" s="3" t="s">
        <v>9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13</v>
      </c>
      <c r="I5" s="3" t="s">
        <v>11</v>
      </c>
      <c r="J5" s="3" t="s">
        <v>10</v>
      </c>
      <c r="K5" s="3" t="s">
        <v>10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10</v>
      </c>
      <c r="Q5" s="3" t="s">
        <v>10</v>
      </c>
      <c r="R5" s="3" t="s">
        <v>13</v>
      </c>
      <c r="S5" s="3" t="s">
        <v>13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14</v>
      </c>
      <c r="AC5" s="3" t="s">
        <v>10</v>
      </c>
      <c r="AD5" s="3" t="s">
        <v>10</v>
      </c>
      <c r="AE5" s="3" t="s">
        <v>10</v>
      </c>
      <c r="AF5" s="3" t="s">
        <v>13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 t="s">
        <v>10</v>
      </c>
      <c r="AV5" s="3" t="s">
        <v>10</v>
      </c>
    </row>
    <row r="6" spans="1:48">
      <c r="A6" s="3"/>
      <c r="B6" s="3" t="s">
        <v>181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>
      <c r="A7" s="3"/>
      <c r="B7" s="33" t="s">
        <v>182</v>
      </c>
      <c r="C7" s="3" t="s">
        <v>183</v>
      </c>
      <c r="D7" s="3"/>
      <c r="E7" s="3" t="s">
        <v>184</v>
      </c>
      <c r="F7" s="3" t="s">
        <v>183</v>
      </c>
      <c r="G7" s="3" t="s">
        <v>183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>
      <c r="A8" s="3"/>
      <c r="B8" s="33" t="s">
        <v>185</v>
      </c>
      <c r="C8" s="3" t="s">
        <v>183</v>
      </c>
      <c r="D8" s="3"/>
      <c r="E8" s="3" t="s">
        <v>184</v>
      </c>
      <c r="F8" s="3" t="s">
        <v>183</v>
      </c>
      <c r="G8" s="3" t="s">
        <v>183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>
      <c r="A9" s="5" t="s">
        <v>186</v>
      </c>
      <c r="B9" s="6" t="s">
        <v>22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>
      <c r="A10" s="5" t="s">
        <v>187</v>
      </c>
      <c r="B10" s="7" t="s">
        <v>188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48">
      <c r="A11" s="5"/>
      <c r="B11" s="8" t="s">
        <v>26</v>
      </c>
      <c r="C11" s="7">
        <v>1</v>
      </c>
      <c r="D11" s="7">
        <v>1</v>
      </c>
      <c r="E11" s="7">
        <v>1</v>
      </c>
      <c r="F11" s="7">
        <v>1</v>
      </c>
      <c r="G11" s="7">
        <v>3</v>
      </c>
      <c r="H11" s="7">
        <v>1</v>
      </c>
      <c r="I11" s="7">
        <v>3</v>
      </c>
      <c r="J11" s="7">
        <v>3</v>
      </c>
      <c r="K11" s="7">
        <v>1</v>
      </c>
      <c r="L11" s="7">
        <v>1.5</v>
      </c>
      <c r="M11" s="7">
        <v>1.5</v>
      </c>
      <c r="N11" s="7">
        <v>1.5</v>
      </c>
      <c r="O11" s="7">
        <v>1.5</v>
      </c>
      <c r="P11" s="7">
        <v>12</v>
      </c>
      <c r="Q11" s="7">
        <v>2</v>
      </c>
      <c r="R11" s="7">
        <v>2</v>
      </c>
      <c r="S11" s="7">
        <v>2.5</v>
      </c>
      <c r="T11" s="7">
        <v>1</v>
      </c>
      <c r="U11" s="7">
        <v>1.5</v>
      </c>
      <c r="V11" s="7">
        <v>1</v>
      </c>
      <c r="W11" s="7">
        <v>1</v>
      </c>
      <c r="X11" s="7">
        <v>1</v>
      </c>
      <c r="Y11" s="7">
        <v>1.5</v>
      </c>
      <c r="Z11" s="7">
        <v>1</v>
      </c>
      <c r="AA11" s="7">
        <v>1.5</v>
      </c>
      <c r="AB11" s="7">
        <v>2</v>
      </c>
      <c r="AC11" s="7">
        <v>2.5</v>
      </c>
      <c r="AD11" s="7">
        <v>2</v>
      </c>
      <c r="AE11" s="7">
        <v>2</v>
      </c>
      <c r="AF11" s="7">
        <v>2</v>
      </c>
      <c r="AG11" s="7">
        <v>1</v>
      </c>
      <c r="AH11" s="7">
        <v>1</v>
      </c>
      <c r="AI11" s="7">
        <v>1</v>
      </c>
      <c r="AJ11" s="7">
        <v>2</v>
      </c>
      <c r="AK11" s="7">
        <v>2</v>
      </c>
      <c r="AL11" s="7">
        <v>2</v>
      </c>
      <c r="AM11" s="7">
        <v>2</v>
      </c>
      <c r="AN11" s="7">
        <v>2</v>
      </c>
      <c r="AO11" s="7">
        <v>3</v>
      </c>
      <c r="AP11" s="7">
        <v>2</v>
      </c>
      <c r="AQ11" s="7">
        <v>2</v>
      </c>
      <c r="AR11" s="7">
        <v>2</v>
      </c>
      <c r="AS11" s="7">
        <v>2</v>
      </c>
      <c r="AT11" s="7">
        <v>1</v>
      </c>
      <c r="AU11" s="7">
        <v>2</v>
      </c>
      <c r="AV11" s="7">
        <v>1</v>
      </c>
    </row>
    <row r="12" spans="1:48">
      <c r="A12" s="5"/>
      <c r="B12" s="8" t="s">
        <v>27</v>
      </c>
      <c r="C12" s="7">
        <v>1</v>
      </c>
      <c r="D12" s="7">
        <v>3</v>
      </c>
      <c r="E12" s="7"/>
      <c r="F12" s="7">
        <v>4</v>
      </c>
      <c r="G12" s="7">
        <v>6</v>
      </c>
      <c r="H12" s="7">
        <v>1</v>
      </c>
      <c r="I12" s="7">
        <v>2</v>
      </c>
      <c r="J12" s="7">
        <v>5</v>
      </c>
      <c r="K12" s="7">
        <v>5</v>
      </c>
      <c r="L12" s="7">
        <v>1.5</v>
      </c>
      <c r="M12" s="7">
        <v>1.5</v>
      </c>
      <c r="N12" s="7">
        <v>1.5</v>
      </c>
      <c r="O12" s="7">
        <v>1.5</v>
      </c>
      <c r="P12" s="7">
        <v>2</v>
      </c>
      <c r="Q12" s="7">
        <v>2</v>
      </c>
      <c r="R12" s="7">
        <v>2</v>
      </c>
      <c r="S12" s="7">
        <v>3</v>
      </c>
      <c r="T12" s="7">
        <v>2</v>
      </c>
      <c r="U12" s="7">
        <v>3</v>
      </c>
      <c r="V12" s="7">
        <v>5</v>
      </c>
      <c r="W12" s="7">
        <v>3</v>
      </c>
      <c r="X12" s="7">
        <v>5</v>
      </c>
      <c r="Y12" s="7">
        <v>3</v>
      </c>
      <c r="Z12" s="7">
        <v>2</v>
      </c>
      <c r="AA12" s="7">
        <v>1.5</v>
      </c>
      <c r="AB12" s="7">
        <v>2.5</v>
      </c>
      <c r="AC12" s="7">
        <v>3</v>
      </c>
      <c r="AD12" s="7">
        <v>4</v>
      </c>
      <c r="AE12" s="7">
        <v>7</v>
      </c>
      <c r="AF12" s="7">
        <v>5</v>
      </c>
      <c r="AG12" s="7">
        <v>1</v>
      </c>
      <c r="AH12" s="7"/>
      <c r="AI12" s="7">
        <v>1</v>
      </c>
      <c r="AJ12" s="7">
        <v>2</v>
      </c>
      <c r="AK12" s="7">
        <v>2</v>
      </c>
      <c r="AL12" s="7">
        <v>2</v>
      </c>
      <c r="AM12" s="7">
        <v>2</v>
      </c>
      <c r="AN12" s="7">
        <v>7</v>
      </c>
      <c r="AO12" s="7">
        <v>8</v>
      </c>
      <c r="AP12" s="7">
        <v>3</v>
      </c>
      <c r="AQ12" s="7">
        <v>3</v>
      </c>
      <c r="AR12" s="7">
        <v>3</v>
      </c>
      <c r="AS12" s="7">
        <v>2</v>
      </c>
      <c r="AT12" s="7">
        <v>1</v>
      </c>
      <c r="AU12" s="7">
        <v>3</v>
      </c>
      <c r="AV12" s="7">
        <v>2</v>
      </c>
    </row>
    <row r="13" spans="1:48">
      <c r="A13" s="5" t="s">
        <v>187</v>
      </c>
      <c r="B13" s="7" t="s">
        <v>189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spans="1:48">
      <c r="A14" s="5"/>
      <c r="B14" s="8" t="s">
        <v>26</v>
      </c>
      <c r="C14" s="7"/>
      <c r="D14" s="7">
        <v>3</v>
      </c>
      <c r="E14" s="7">
        <v>1</v>
      </c>
      <c r="F14" s="7"/>
      <c r="G14" s="7">
        <v>4</v>
      </c>
      <c r="H14" s="7">
        <v>3</v>
      </c>
      <c r="I14" s="7">
        <v>12</v>
      </c>
      <c r="J14" s="7">
        <v>6</v>
      </c>
      <c r="K14" s="7">
        <v>3</v>
      </c>
      <c r="L14" s="7">
        <v>2</v>
      </c>
      <c r="M14" s="7">
        <v>3</v>
      </c>
      <c r="N14" s="7">
        <v>2</v>
      </c>
      <c r="O14" s="7">
        <v>2</v>
      </c>
      <c r="P14" s="7">
        <v>12</v>
      </c>
      <c r="Q14" s="7">
        <v>6</v>
      </c>
      <c r="R14" s="7">
        <v>2.5</v>
      </c>
      <c r="S14" s="7">
        <v>3</v>
      </c>
      <c r="T14" s="7">
        <v>2</v>
      </c>
      <c r="U14" s="7">
        <v>2</v>
      </c>
      <c r="V14" s="7">
        <v>3</v>
      </c>
      <c r="W14" s="7">
        <v>3</v>
      </c>
      <c r="X14" s="7">
        <v>5</v>
      </c>
      <c r="Y14" s="7">
        <v>3</v>
      </c>
      <c r="Z14" s="7">
        <v>2</v>
      </c>
      <c r="AA14" s="7">
        <v>2</v>
      </c>
      <c r="AB14" s="7">
        <v>2.5</v>
      </c>
      <c r="AC14" s="7">
        <v>3</v>
      </c>
      <c r="AD14" s="7">
        <v>5</v>
      </c>
      <c r="AE14" s="7">
        <v>3</v>
      </c>
      <c r="AF14" s="7">
        <v>3</v>
      </c>
      <c r="AG14" s="7">
        <v>1</v>
      </c>
      <c r="AH14" s="7">
        <v>1</v>
      </c>
      <c r="AI14" s="7">
        <v>1</v>
      </c>
      <c r="AJ14" s="7">
        <v>4</v>
      </c>
      <c r="AK14" s="7">
        <v>4</v>
      </c>
      <c r="AL14" s="7">
        <v>4</v>
      </c>
      <c r="AM14" s="7">
        <v>4</v>
      </c>
      <c r="AN14" s="7">
        <v>5</v>
      </c>
      <c r="AO14" s="7">
        <v>6</v>
      </c>
      <c r="AP14" s="7">
        <v>3</v>
      </c>
      <c r="AQ14" s="7">
        <v>3</v>
      </c>
      <c r="AR14" s="7">
        <v>3</v>
      </c>
      <c r="AS14" s="7">
        <v>3</v>
      </c>
      <c r="AT14" s="7">
        <v>2</v>
      </c>
      <c r="AU14" s="7">
        <v>3</v>
      </c>
      <c r="AV14" s="7">
        <v>2</v>
      </c>
    </row>
    <row r="15" spans="1:48">
      <c r="A15" s="5"/>
      <c r="B15" s="8" t="s">
        <v>27</v>
      </c>
      <c r="C15" s="7"/>
      <c r="D15" s="7">
        <v>5</v>
      </c>
      <c r="E15" s="7"/>
      <c r="F15" s="7"/>
      <c r="G15" s="7">
        <v>7</v>
      </c>
      <c r="H15" s="7">
        <v>3</v>
      </c>
      <c r="I15" s="7">
        <v>2</v>
      </c>
      <c r="J15" s="7">
        <v>7</v>
      </c>
      <c r="K15" s="7">
        <v>7</v>
      </c>
      <c r="L15" s="7">
        <v>2</v>
      </c>
      <c r="M15" s="7">
        <v>2</v>
      </c>
      <c r="N15" s="7">
        <v>2</v>
      </c>
      <c r="O15" s="7">
        <v>2</v>
      </c>
      <c r="P15" s="7">
        <v>3</v>
      </c>
      <c r="Q15" s="7">
        <v>4</v>
      </c>
      <c r="R15" s="7">
        <v>2.5</v>
      </c>
      <c r="S15" s="7">
        <v>4</v>
      </c>
      <c r="T15" s="7">
        <v>6</v>
      </c>
      <c r="U15" s="7">
        <v>5</v>
      </c>
      <c r="V15" s="7">
        <v>5</v>
      </c>
      <c r="W15" s="7">
        <v>5</v>
      </c>
      <c r="X15" s="7">
        <v>6</v>
      </c>
      <c r="Y15" s="7">
        <v>3</v>
      </c>
      <c r="Z15" s="7">
        <v>2</v>
      </c>
      <c r="AA15" s="7">
        <v>2</v>
      </c>
      <c r="AB15" s="7">
        <v>3</v>
      </c>
      <c r="AC15" s="7">
        <v>4</v>
      </c>
      <c r="AD15" s="7">
        <v>5</v>
      </c>
      <c r="AE15" s="7">
        <v>7</v>
      </c>
      <c r="AF15" s="7">
        <v>5</v>
      </c>
      <c r="AG15" s="7">
        <v>1</v>
      </c>
      <c r="AH15" s="7"/>
      <c r="AI15" s="7">
        <v>1</v>
      </c>
      <c r="AJ15" s="7">
        <v>4</v>
      </c>
      <c r="AK15" s="7">
        <v>4</v>
      </c>
      <c r="AL15" s="7">
        <v>4</v>
      </c>
      <c r="AM15" s="7">
        <v>4</v>
      </c>
      <c r="AN15" s="7">
        <v>8</v>
      </c>
      <c r="AO15" s="7">
        <v>9</v>
      </c>
      <c r="AP15" s="7">
        <v>4</v>
      </c>
      <c r="AQ15" s="7">
        <v>4</v>
      </c>
      <c r="AR15" s="7">
        <v>4</v>
      </c>
      <c r="AS15" s="7">
        <v>3</v>
      </c>
      <c r="AT15" s="7">
        <v>2</v>
      </c>
      <c r="AU15" s="7">
        <v>5</v>
      </c>
      <c r="AV15" s="7">
        <v>3</v>
      </c>
    </row>
    <row r="16" spans="1:48">
      <c r="A16" s="5" t="s">
        <v>29</v>
      </c>
      <c r="B16" s="7" t="s">
        <v>190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1:48">
      <c r="A17" s="5"/>
      <c r="B17" s="8" t="s">
        <v>26</v>
      </c>
      <c r="C17" s="7">
        <v>2</v>
      </c>
      <c r="D17" s="7">
        <v>6</v>
      </c>
      <c r="E17" s="7">
        <v>7</v>
      </c>
      <c r="F17" s="7">
        <v>8</v>
      </c>
      <c r="G17" s="7">
        <v>14</v>
      </c>
      <c r="H17" s="7">
        <v>5</v>
      </c>
      <c r="I17" s="7">
        <v>1</v>
      </c>
      <c r="J17" s="7">
        <v>14</v>
      </c>
      <c r="K17" s="7">
        <v>8</v>
      </c>
      <c r="L17" s="7"/>
      <c r="M17" s="7"/>
      <c r="N17" s="7"/>
      <c r="O17" s="7"/>
      <c r="P17" s="7">
        <v>6</v>
      </c>
      <c r="Q17" s="7">
        <v>1</v>
      </c>
      <c r="R17" s="7">
        <v>3</v>
      </c>
      <c r="S17" s="7">
        <v>5</v>
      </c>
      <c r="T17" s="7">
        <v>15</v>
      </c>
      <c r="U17" s="7">
        <v>10</v>
      </c>
      <c r="V17" s="7">
        <v>6</v>
      </c>
      <c r="W17" s="7">
        <v>5</v>
      </c>
      <c r="X17" s="7">
        <v>15</v>
      </c>
      <c r="Y17" s="7">
        <v>15</v>
      </c>
      <c r="Z17" s="7">
        <v>11</v>
      </c>
      <c r="AA17" s="7">
        <v>3</v>
      </c>
      <c r="AB17" s="7">
        <v>3</v>
      </c>
      <c r="AC17" s="7">
        <v>8</v>
      </c>
      <c r="AD17" s="7">
        <v>9</v>
      </c>
      <c r="AE17" s="7">
        <v>13</v>
      </c>
      <c r="AF17" s="7">
        <v>15</v>
      </c>
      <c r="AG17" s="7">
        <v>13</v>
      </c>
      <c r="AH17" s="7">
        <v>12</v>
      </c>
      <c r="AI17" s="7">
        <v>8</v>
      </c>
      <c r="AJ17" s="7">
        <v>6</v>
      </c>
      <c r="AK17" s="7">
        <v>10</v>
      </c>
      <c r="AL17" s="7">
        <v>10</v>
      </c>
      <c r="AM17" s="7">
        <v>12</v>
      </c>
      <c r="AN17" s="7">
        <v>14</v>
      </c>
      <c r="AO17" s="7">
        <v>15</v>
      </c>
      <c r="AP17" s="7">
        <v>5</v>
      </c>
      <c r="AQ17" s="7">
        <v>8</v>
      </c>
      <c r="AR17" s="7">
        <v>10</v>
      </c>
      <c r="AS17" s="7">
        <v>5</v>
      </c>
      <c r="AT17" s="7">
        <v>8</v>
      </c>
      <c r="AU17" s="7">
        <v>6</v>
      </c>
      <c r="AV17" s="7">
        <v>12</v>
      </c>
    </row>
    <row r="18" spans="1:48">
      <c r="A18" s="5"/>
      <c r="B18" s="8" t="s">
        <v>27</v>
      </c>
      <c r="C18" s="7"/>
      <c r="D18" s="7">
        <v>6</v>
      </c>
      <c r="E18" s="7"/>
      <c r="F18" s="7"/>
      <c r="G18" s="7"/>
      <c r="H18" s="7">
        <v>8</v>
      </c>
      <c r="I18" s="7">
        <v>12</v>
      </c>
      <c r="J18" s="7"/>
      <c r="K18" s="7">
        <v>1</v>
      </c>
      <c r="L18" s="7"/>
      <c r="M18" s="7"/>
      <c r="N18" s="7"/>
      <c r="O18" s="7"/>
      <c r="P18" s="7">
        <v>14</v>
      </c>
      <c r="Q18" s="7">
        <v>11</v>
      </c>
      <c r="R18" s="7">
        <v>1</v>
      </c>
      <c r="S18" s="7"/>
      <c r="T18" s="7"/>
      <c r="U18" s="7"/>
      <c r="V18" s="7"/>
      <c r="W18" s="7"/>
      <c r="X18" s="7">
        <v>15</v>
      </c>
      <c r="Y18" s="7">
        <v>15</v>
      </c>
      <c r="Z18" s="7">
        <v>11</v>
      </c>
      <c r="AA18" s="7">
        <v>3</v>
      </c>
      <c r="AB18" s="7"/>
      <c r="AC18" s="7"/>
      <c r="AD18" s="7"/>
      <c r="AE18" s="7">
        <v>13</v>
      </c>
      <c r="AF18" s="7">
        <v>15</v>
      </c>
      <c r="AG18" s="7">
        <v>13</v>
      </c>
      <c r="AH18" s="7">
        <v>12</v>
      </c>
      <c r="AI18" s="7">
        <v>8</v>
      </c>
      <c r="AJ18" s="7">
        <v>6</v>
      </c>
      <c r="AK18" s="7">
        <v>10</v>
      </c>
      <c r="AL18" s="7">
        <v>10</v>
      </c>
      <c r="AM18" s="7">
        <v>12</v>
      </c>
      <c r="AN18" s="7">
        <v>14</v>
      </c>
      <c r="AO18" s="7">
        <v>15</v>
      </c>
      <c r="AP18" s="7">
        <v>5</v>
      </c>
      <c r="AQ18" s="7">
        <v>8</v>
      </c>
      <c r="AR18" s="7">
        <v>10</v>
      </c>
      <c r="AS18" s="7"/>
      <c r="AT18" s="7"/>
      <c r="AU18" s="7"/>
      <c r="AV18" s="7"/>
    </row>
    <row r="19" spans="1:48">
      <c r="A19" s="5" t="s">
        <v>29</v>
      </c>
      <c r="B19" s="7" t="s">
        <v>191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spans="1:48">
      <c r="A20" s="5"/>
      <c r="B20" s="8" t="s">
        <v>26</v>
      </c>
      <c r="C20" s="7"/>
      <c r="D20" s="7"/>
      <c r="E20" s="7">
        <v>1.5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>
        <v>2</v>
      </c>
      <c r="AG20" s="7"/>
      <c r="AH20" s="7"/>
      <c r="AI20" s="7"/>
      <c r="AJ20" s="7"/>
      <c r="AK20" s="7"/>
      <c r="AL20" s="7"/>
      <c r="AM20" s="7"/>
      <c r="AN20" s="7"/>
      <c r="AO20" s="7"/>
      <c r="AP20" s="7">
        <v>1</v>
      </c>
      <c r="AQ20" s="7"/>
      <c r="AR20" s="7"/>
      <c r="AS20" s="7"/>
      <c r="AT20" s="7"/>
      <c r="AU20" s="7"/>
      <c r="AV20" s="7"/>
    </row>
    <row r="21" spans="1:48">
      <c r="A21" s="5"/>
      <c r="B21" s="8" t="s">
        <v>27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v>2</v>
      </c>
      <c r="R21" s="7"/>
      <c r="S21" s="7"/>
      <c r="T21" s="7"/>
      <c r="U21" s="7"/>
      <c r="V21" s="7"/>
      <c r="W21" s="7"/>
      <c r="X21" s="7"/>
      <c r="Y21" s="7"/>
      <c r="Z21" s="7">
        <v>3</v>
      </c>
      <c r="AA21" s="7"/>
      <c r="AB21" s="7">
        <v>1</v>
      </c>
      <c r="AC21" s="7">
        <v>3</v>
      </c>
      <c r="AD21" s="7">
        <v>3</v>
      </c>
      <c r="AE21" s="7"/>
      <c r="AF21" s="7">
        <v>2</v>
      </c>
      <c r="AG21" s="7"/>
      <c r="AH21" s="7"/>
      <c r="AI21" s="7"/>
      <c r="AJ21" s="7"/>
      <c r="AK21" s="7"/>
      <c r="AL21" s="7"/>
      <c r="AM21" s="7"/>
      <c r="AN21" s="7"/>
      <c r="AO21" s="7"/>
      <c r="AP21" s="7">
        <v>1</v>
      </c>
      <c r="AQ21" s="7"/>
      <c r="AR21" s="7"/>
      <c r="AS21" s="7"/>
      <c r="AT21" s="7"/>
      <c r="AU21" s="7"/>
      <c r="AV21" s="7"/>
    </row>
    <row r="22" spans="1:48">
      <c r="A22" s="5" t="s">
        <v>29</v>
      </c>
      <c r="B22" s="7" t="s">
        <v>192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spans="1:48">
      <c r="A23" s="5"/>
      <c r="B23" s="8" t="s">
        <v>26</v>
      </c>
      <c r="C23" s="7"/>
      <c r="D23" s="7">
        <v>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>
        <v>2</v>
      </c>
      <c r="X23" s="7"/>
      <c r="Y23" s="7"/>
      <c r="Z23" s="7"/>
      <c r="AA23" s="7"/>
      <c r="AB23" s="7"/>
      <c r="AC23" s="7"/>
      <c r="AD23" s="7"/>
      <c r="AE23" s="7"/>
      <c r="AF23" s="7">
        <v>3</v>
      </c>
      <c r="AG23" s="7"/>
      <c r="AH23" s="7"/>
      <c r="AI23" s="7"/>
      <c r="AJ23" s="7"/>
      <c r="AK23" s="7"/>
      <c r="AL23" s="7"/>
      <c r="AM23" s="7"/>
      <c r="AN23" s="7"/>
      <c r="AO23" s="7"/>
      <c r="AP23" s="7">
        <v>1</v>
      </c>
      <c r="AQ23" s="7">
        <v>2</v>
      </c>
      <c r="AR23" s="7"/>
      <c r="AS23" s="7"/>
      <c r="AT23" s="7"/>
      <c r="AU23" s="7"/>
      <c r="AV23" s="7"/>
    </row>
    <row r="24" spans="1:48">
      <c r="A24" s="5"/>
      <c r="B24" s="8" t="s">
        <v>27</v>
      </c>
      <c r="C24" s="7"/>
      <c r="D24" s="7">
        <v>1</v>
      </c>
      <c r="E24" s="7">
        <v>1</v>
      </c>
      <c r="F24" s="7"/>
      <c r="G24" s="7"/>
      <c r="H24" s="7">
        <v>1</v>
      </c>
      <c r="I24" s="7">
        <v>1</v>
      </c>
      <c r="J24" s="7"/>
      <c r="K24" s="7"/>
      <c r="L24" s="7"/>
      <c r="M24" s="7"/>
      <c r="N24" s="7">
        <v>2</v>
      </c>
      <c r="O24" s="7">
        <v>2</v>
      </c>
      <c r="P24" s="7"/>
      <c r="Q24" s="7">
        <v>4</v>
      </c>
      <c r="R24" s="7"/>
      <c r="S24" s="7"/>
      <c r="T24" s="7"/>
      <c r="U24" s="7"/>
      <c r="V24" s="7"/>
      <c r="W24" s="7">
        <v>2</v>
      </c>
      <c r="X24" s="7"/>
      <c r="Y24" s="7"/>
      <c r="Z24" s="7">
        <v>3</v>
      </c>
      <c r="AA24" s="7"/>
      <c r="AB24" s="7"/>
      <c r="AC24" s="7">
        <v>3</v>
      </c>
      <c r="AD24" s="7">
        <v>3</v>
      </c>
      <c r="AE24" s="7"/>
      <c r="AF24" s="7">
        <v>3</v>
      </c>
      <c r="AG24" s="7"/>
      <c r="AH24" s="7"/>
      <c r="AI24" s="7"/>
      <c r="AJ24" s="7">
        <v>3</v>
      </c>
      <c r="AK24" s="7"/>
      <c r="AL24" s="7"/>
      <c r="AM24" s="7"/>
      <c r="AN24" s="7"/>
      <c r="AO24" s="7"/>
      <c r="AP24" s="7">
        <v>1</v>
      </c>
      <c r="AQ24" s="7">
        <v>2</v>
      </c>
      <c r="AR24" s="7"/>
      <c r="AS24" s="7"/>
      <c r="AT24" s="7"/>
      <c r="AU24" s="7"/>
      <c r="AV24" s="7"/>
    </row>
    <row r="25" spans="1:48">
      <c r="A25" s="5" t="s">
        <v>29</v>
      </c>
      <c r="B25" s="7" t="s">
        <v>193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r="26" spans="1:48">
      <c r="A26" s="5"/>
      <c r="B26" s="8" t="s">
        <v>26</v>
      </c>
      <c r="C26" s="7"/>
      <c r="D26" s="7">
        <v>1</v>
      </c>
      <c r="E26" s="7"/>
      <c r="F26" s="7"/>
      <c r="G26" s="7"/>
      <c r="H26" s="7"/>
      <c r="I26" s="7"/>
      <c r="J26" s="7">
        <v>9</v>
      </c>
      <c r="K26" s="7">
        <v>3</v>
      </c>
      <c r="L26" s="7"/>
      <c r="M26" s="7"/>
      <c r="N26" s="7"/>
      <c r="O26" s="7"/>
      <c r="P26" s="7">
        <v>11</v>
      </c>
      <c r="Q26" s="7"/>
      <c r="R26" s="7"/>
      <c r="S26" s="7"/>
      <c r="T26" s="7">
        <v>8</v>
      </c>
      <c r="U26" s="7">
        <v>3</v>
      </c>
      <c r="V26" s="7">
        <v>1</v>
      </c>
      <c r="W26" s="7"/>
      <c r="X26" s="7">
        <v>10</v>
      </c>
      <c r="Y26" s="7">
        <v>10</v>
      </c>
      <c r="Z26" s="7">
        <v>5</v>
      </c>
      <c r="AA26" s="7"/>
      <c r="AB26" s="7"/>
      <c r="AC26" s="7"/>
      <c r="AD26" s="7"/>
      <c r="AE26" s="7">
        <v>7</v>
      </c>
      <c r="AF26" s="7">
        <v>9</v>
      </c>
      <c r="AG26" s="7">
        <v>7</v>
      </c>
      <c r="AH26" s="7">
        <v>6</v>
      </c>
      <c r="AI26" s="7"/>
      <c r="AJ26" s="7"/>
      <c r="AK26" s="7"/>
      <c r="AL26" s="7"/>
      <c r="AM26" s="7"/>
      <c r="AN26" s="7">
        <v>6</v>
      </c>
      <c r="AO26" s="7">
        <v>7</v>
      </c>
      <c r="AP26" s="7"/>
      <c r="AQ26" s="7">
        <v>2</v>
      </c>
      <c r="AR26" s="7">
        <v>5</v>
      </c>
      <c r="AS26" s="7"/>
      <c r="AT26" s="7"/>
      <c r="AU26" s="7"/>
      <c r="AV26" s="7">
        <v>5</v>
      </c>
    </row>
    <row r="27" spans="1:48">
      <c r="A27" s="8"/>
      <c r="B27" s="8" t="s">
        <v>27</v>
      </c>
      <c r="C27" s="7"/>
      <c r="D27" s="7">
        <v>1</v>
      </c>
      <c r="E27" s="7"/>
      <c r="F27" s="7">
        <v>2</v>
      </c>
      <c r="G27" s="7"/>
      <c r="H27" s="7">
        <v>6</v>
      </c>
      <c r="I27" s="7">
        <v>7</v>
      </c>
      <c r="J27" s="7">
        <v>9</v>
      </c>
      <c r="K27" s="7">
        <v>3</v>
      </c>
      <c r="L27" s="7"/>
      <c r="M27" s="7"/>
      <c r="N27" s="7">
        <v>5</v>
      </c>
      <c r="O27" s="7">
        <v>6</v>
      </c>
      <c r="P27" s="7">
        <v>11</v>
      </c>
      <c r="Q27" s="7">
        <v>6</v>
      </c>
      <c r="R27" s="7"/>
      <c r="S27" s="7"/>
      <c r="T27" s="7">
        <v>10</v>
      </c>
      <c r="U27" s="7">
        <v>5</v>
      </c>
      <c r="V27" s="7">
        <v>1</v>
      </c>
      <c r="W27" s="7"/>
      <c r="X27" s="7">
        <v>10</v>
      </c>
      <c r="Y27" s="7">
        <v>10</v>
      </c>
      <c r="Z27" s="7">
        <v>5</v>
      </c>
      <c r="AA27" s="7"/>
      <c r="AB27" s="7"/>
      <c r="AC27" s="7">
        <v>2</v>
      </c>
      <c r="AD27" s="7">
        <v>3</v>
      </c>
      <c r="AE27" s="7">
        <v>7</v>
      </c>
      <c r="AF27" s="7">
        <v>9</v>
      </c>
      <c r="AG27" s="7">
        <v>7</v>
      </c>
      <c r="AH27" s="7">
        <v>6</v>
      </c>
      <c r="AI27" s="7"/>
      <c r="AJ27" s="7"/>
      <c r="AK27" s="7">
        <v>3</v>
      </c>
      <c r="AL27" s="7">
        <v>3</v>
      </c>
      <c r="AM27" s="7">
        <v>5</v>
      </c>
      <c r="AN27" s="7">
        <v>6</v>
      </c>
      <c r="AO27" s="7">
        <v>7</v>
      </c>
      <c r="AP27" s="7"/>
      <c r="AQ27" s="7">
        <v>2</v>
      </c>
      <c r="AR27" s="7">
        <v>5</v>
      </c>
      <c r="AS27" s="7"/>
      <c r="AT27" s="7">
        <v>2</v>
      </c>
      <c r="AU27" s="7"/>
      <c r="AV27" s="7">
        <v>6</v>
      </c>
    </row>
    <row r="28" spans="1:48">
      <c r="A28" s="9" t="s">
        <v>194</v>
      </c>
      <c r="B28" s="10" t="s">
        <v>36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 spans="1:48">
      <c r="A29" s="11"/>
      <c r="B29" s="11" t="s">
        <v>195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1:48">
      <c r="A30" s="12"/>
      <c r="B30" s="12" t="s">
        <v>26</v>
      </c>
      <c r="C30" s="11">
        <v>30</v>
      </c>
      <c r="D30" s="11">
        <v>100</v>
      </c>
      <c r="E30" s="11">
        <v>100</v>
      </c>
      <c r="F30" s="11"/>
      <c r="G30" s="11">
        <v>70</v>
      </c>
      <c r="H30" s="11">
        <v>10</v>
      </c>
      <c r="I30" s="11">
        <v>40</v>
      </c>
      <c r="J30" s="11">
        <v>80</v>
      </c>
      <c r="K30" s="11">
        <v>60</v>
      </c>
      <c r="L30" s="11">
        <v>50</v>
      </c>
      <c r="M30" s="11">
        <v>50</v>
      </c>
      <c r="N30" s="11">
        <v>50</v>
      </c>
      <c r="O30" s="11">
        <v>50</v>
      </c>
      <c r="P30" s="11">
        <v>40</v>
      </c>
      <c r="Q30" s="11">
        <v>70</v>
      </c>
      <c r="R30" s="11">
        <v>60</v>
      </c>
      <c r="S30" s="11">
        <v>60</v>
      </c>
      <c r="T30" s="11">
        <v>100</v>
      </c>
      <c r="U30" s="11">
        <v>95</v>
      </c>
      <c r="V30" s="11">
        <v>100</v>
      </c>
      <c r="W30" s="11">
        <v>100</v>
      </c>
      <c r="X30" s="11">
        <v>70</v>
      </c>
      <c r="Y30" s="11">
        <v>50</v>
      </c>
      <c r="Z30" s="11">
        <v>50</v>
      </c>
      <c r="AA30" s="11">
        <v>10</v>
      </c>
      <c r="AB30" s="11">
        <v>75</v>
      </c>
      <c r="AC30" s="11">
        <v>100</v>
      </c>
      <c r="AD30" s="11">
        <v>100</v>
      </c>
      <c r="AE30" s="11">
        <v>100</v>
      </c>
      <c r="AF30" s="11">
        <v>100</v>
      </c>
      <c r="AG30" s="11">
        <v>70</v>
      </c>
      <c r="AH30" s="11">
        <v>70</v>
      </c>
      <c r="AI30" s="11">
        <v>50</v>
      </c>
      <c r="AJ30" s="11">
        <v>30</v>
      </c>
      <c r="AK30" s="11">
        <v>35</v>
      </c>
      <c r="AL30" s="11">
        <v>35</v>
      </c>
      <c r="AM30" s="11">
        <v>40</v>
      </c>
      <c r="AN30" s="11">
        <v>70</v>
      </c>
      <c r="AO30" s="11">
        <v>70</v>
      </c>
      <c r="AP30" s="11">
        <v>80</v>
      </c>
      <c r="AQ30" s="11">
        <v>50</v>
      </c>
      <c r="AR30" s="11">
        <v>70</v>
      </c>
      <c r="AS30" s="11">
        <v>50</v>
      </c>
      <c r="AT30" s="11">
        <v>80</v>
      </c>
      <c r="AU30" s="11">
        <v>100</v>
      </c>
      <c r="AV30" s="11">
        <v>70</v>
      </c>
    </row>
    <row r="31" spans="1:48">
      <c r="A31" s="12"/>
      <c r="B31" s="12" t="s">
        <v>27</v>
      </c>
      <c r="C31" s="11">
        <v>70</v>
      </c>
      <c r="D31" s="11"/>
      <c r="E31" s="11"/>
      <c r="F31" s="11">
        <v>100</v>
      </c>
      <c r="G31" s="11">
        <v>30</v>
      </c>
      <c r="H31" s="11">
        <v>87</v>
      </c>
      <c r="I31" s="11">
        <v>60</v>
      </c>
      <c r="J31" s="11">
        <v>20</v>
      </c>
      <c r="K31" s="11">
        <v>40</v>
      </c>
      <c r="L31" s="11">
        <v>50</v>
      </c>
      <c r="M31" s="11">
        <v>50</v>
      </c>
      <c r="N31" s="11">
        <v>50</v>
      </c>
      <c r="O31" s="11">
        <v>50</v>
      </c>
      <c r="P31" s="11">
        <v>60</v>
      </c>
      <c r="Q31" s="11">
        <v>30</v>
      </c>
      <c r="R31" s="11">
        <v>40</v>
      </c>
      <c r="S31" s="11">
        <v>40</v>
      </c>
      <c r="T31" s="11"/>
      <c r="U31" s="11">
        <v>5</v>
      </c>
      <c r="V31" s="11"/>
      <c r="W31" s="11"/>
      <c r="X31" s="11">
        <v>30</v>
      </c>
      <c r="Y31" s="11">
        <v>50</v>
      </c>
      <c r="Z31" s="11">
        <v>50</v>
      </c>
      <c r="AA31" s="11">
        <v>90</v>
      </c>
      <c r="AB31" s="11">
        <v>25</v>
      </c>
      <c r="AC31" s="11"/>
      <c r="AD31" s="11"/>
      <c r="AE31" s="11"/>
      <c r="AF31" s="11"/>
      <c r="AG31" s="11">
        <v>30</v>
      </c>
      <c r="AH31" s="11">
        <v>30</v>
      </c>
      <c r="AI31" s="11">
        <v>50</v>
      </c>
      <c r="AJ31" s="11">
        <v>70</v>
      </c>
      <c r="AK31" s="11">
        <v>65</v>
      </c>
      <c r="AL31" s="11">
        <v>65</v>
      </c>
      <c r="AM31" s="11">
        <v>60</v>
      </c>
      <c r="AN31" s="11">
        <v>30</v>
      </c>
      <c r="AO31" s="11">
        <v>30</v>
      </c>
      <c r="AP31" s="11">
        <v>20</v>
      </c>
      <c r="AQ31" s="11">
        <v>50</v>
      </c>
      <c r="AR31" s="11">
        <v>30</v>
      </c>
      <c r="AS31" s="11">
        <v>50</v>
      </c>
      <c r="AT31" s="11">
        <v>20</v>
      </c>
      <c r="AU31" s="11"/>
      <c r="AV31" s="11">
        <v>30</v>
      </c>
    </row>
    <row r="32" spans="1:48">
      <c r="A32" s="12"/>
      <c r="B32" s="12" t="s">
        <v>38</v>
      </c>
      <c r="C32" s="11"/>
      <c r="D32" s="11"/>
      <c r="E32" s="11"/>
      <c r="F32" s="11"/>
      <c r="G32" s="11"/>
      <c r="H32" s="11">
        <v>3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1:48">
      <c r="A33" s="11"/>
      <c r="B33" s="11" t="s">
        <v>196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spans="1:48">
      <c r="A34" s="12"/>
      <c r="B34" s="12" t="s">
        <v>26</v>
      </c>
      <c r="C34" s="11"/>
      <c r="D34" s="11">
        <v>100</v>
      </c>
      <c r="E34" s="11"/>
      <c r="F34" s="11"/>
      <c r="G34" s="11">
        <v>50</v>
      </c>
      <c r="H34" s="11">
        <v>24</v>
      </c>
      <c r="I34" s="11">
        <v>40</v>
      </c>
      <c r="J34" s="11">
        <v>80</v>
      </c>
      <c r="K34" s="11">
        <v>70</v>
      </c>
      <c r="L34" s="11">
        <v>50</v>
      </c>
      <c r="M34" s="11">
        <v>50</v>
      </c>
      <c r="N34" s="11">
        <v>50</v>
      </c>
      <c r="O34" s="11">
        <v>50</v>
      </c>
      <c r="P34" s="11">
        <v>20</v>
      </c>
      <c r="Q34" s="11">
        <v>70</v>
      </c>
      <c r="R34" s="11">
        <v>60</v>
      </c>
      <c r="S34" s="11">
        <v>40</v>
      </c>
      <c r="T34" s="11">
        <v>90</v>
      </c>
      <c r="U34" s="11">
        <v>80</v>
      </c>
      <c r="V34" s="11">
        <v>95</v>
      </c>
      <c r="W34" s="11">
        <v>95</v>
      </c>
      <c r="X34" s="11">
        <v>80</v>
      </c>
      <c r="Y34" s="11">
        <v>30</v>
      </c>
      <c r="Z34" s="11">
        <v>10</v>
      </c>
      <c r="AA34" s="11">
        <v>10</v>
      </c>
      <c r="AB34" s="11">
        <v>50</v>
      </c>
      <c r="AC34" s="11">
        <v>100</v>
      </c>
      <c r="AD34" s="11">
        <v>100</v>
      </c>
      <c r="AE34" s="11">
        <v>100</v>
      </c>
      <c r="AF34" s="11">
        <v>100</v>
      </c>
      <c r="AG34" s="11">
        <v>50</v>
      </c>
      <c r="AH34" s="11">
        <v>60</v>
      </c>
      <c r="AI34" s="11">
        <v>50</v>
      </c>
      <c r="AJ34" s="11">
        <v>30</v>
      </c>
      <c r="AK34" s="11">
        <v>35</v>
      </c>
      <c r="AL34" s="11">
        <v>35</v>
      </c>
      <c r="AM34" s="11">
        <v>40</v>
      </c>
      <c r="AN34" s="11">
        <v>70</v>
      </c>
      <c r="AO34" s="11">
        <v>70</v>
      </c>
      <c r="AP34" s="11">
        <v>50</v>
      </c>
      <c r="AQ34" s="11">
        <v>75</v>
      </c>
      <c r="AR34" s="11">
        <v>50</v>
      </c>
      <c r="AS34" s="11">
        <v>50</v>
      </c>
      <c r="AT34" s="11">
        <v>100</v>
      </c>
      <c r="AU34" s="11">
        <v>80</v>
      </c>
      <c r="AV34" s="11">
        <v>50</v>
      </c>
    </row>
    <row r="35" spans="1:48">
      <c r="A35" s="12"/>
      <c r="B35" s="12" t="s">
        <v>27</v>
      </c>
      <c r="C35" s="11">
        <v>100</v>
      </c>
      <c r="D35" s="11"/>
      <c r="E35" s="11">
        <v>100</v>
      </c>
      <c r="F35" s="11">
        <v>100</v>
      </c>
      <c r="G35" s="11">
        <v>50</v>
      </c>
      <c r="H35" s="11">
        <v>75</v>
      </c>
      <c r="I35" s="11">
        <v>60</v>
      </c>
      <c r="J35" s="11">
        <v>20</v>
      </c>
      <c r="K35" s="11">
        <v>30</v>
      </c>
      <c r="L35" s="11">
        <v>50</v>
      </c>
      <c r="M35" s="11">
        <v>50</v>
      </c>
      <c r="N35" s="11">
        <v>50</v>
      </c>
      <c r="O35" s="11">
        <v>50</v>
      </c>
      <c r="P35" s="11">
        <v>80</v>
      </c>
      <c r="Q35" s="11">
        <v>30</v>
      </c>
      <c r="R35" s="11">
        <v>40</v>
      </c>
      <c r="S35" s="11">
        <v>60</v>
      </c>
      <c r="T35" s="11">
        <v>10</v>
      </c>
      <c r="U35" s="11">
        <v>20</v>
      </c>
      <c r="V35" s="11">
        <v>5</v>
      </c>
      <c r="W35" s="11">
        <v>5</v>
      </c>
      <c r="X35" s="11">
        <v>20</v>
      </c>
      <c r="Y35" s="11">
        <v>70</v>
      </c>
      <c r="Z35" s="11">
        <v>90</v>
      </c>
      <c r="AA35" s="11">
        <v>90</v>
      </c>
      <c r="AB35" s="11">
        <v>50</v>
      </c>
      <c r="AC35" s="11"/>
      <c r="AD35" s="11"/>
      <c r="AE35" s="11"/>
      <c r="AF35" s="11"/>
      <c r="AG35" s="11">
        <v>50</v>
      </c>
      <c r="AH35" s="11">
        <v>40</v>
      </c>
      <c r="AI35" s="11">
        <v>50</v>
      </c>
      <c r="AJ35" s="11">
        <v>70</v>
      </c>
      <c r="AK35" s="11">
        <v>65</v>
      </c>
      <c r="AL35" s="11">
        <v>65</v>
      </c>
      <c r="AM35" s="11">
        <v>60</v>
      </c>
      <c r="AN35" s="11">
        <v>30</v>
      </c>
      <c r="AO35" s="11">
        <v>30</v>
      </c>
      <c r="AP35" s="11">
        <v>50</v>
      </c>
      <c r="AQ35" s="11">
        <v>25</v>
      </c>
      <c r="AR35" s="11">
        <v>50</v>
      </c>
      <c r="AS35" s="11">
        <v>50</v>
      </c>
      <c r="AT35" s="11"/>
      <c r="AU35" s="11">
        <v>20</v>
      </c>
      <c r="AV35" s="11">
        <v>50</v>
      </c>
    </row>
    <row r="36" spans="1:48">
      <c r="A36" s="12"/>
      <c r="B36" s="12" t="s">
        <v>38</v>
      </c>
      <c r="C36" s="11"/>
      <c r="D36" s="11"/>
      <c r="E36" s="11"/>
      <c r="F36" s="11"/>
      <c r="G36" s="11"/>
      <c r="H36" s="11">
        <v>1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 spans="1:48">
      <c r="A37" s="11"/>
      <c r="B37" s="11" t="s">
        <v>197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>
      <c r="A38" s="12"/>
      <c r="B38" s="12" t="s">
        <v>26</v>
      </c>
      <c r="C38" s="11"/>
      <c r="D38" s="11">
        <v>100</v>
      </c>
      <c r="E38" s="11"/>
      <c r="F38" s="11"/>
      <c r="G38" s="11">
        <v>90</v>
      </c>
      <c r="H38" s="11">
        <v>75</v>
      </c>
      <c r="I38" s="11">
        <v>60</v>
      </c>
      <c r="J38" s="11">
        <v>100</v>
      </c>
      <c r="K38" s="11">
        <v>30</v>
      </c>
      <c r="L38" s="11">
        <v>50</v>
      </c>
      <c r="M38" s="11">
        <v>60</v>
      </c>
      <c r="N38" s="11">
        <v>60</v>
      </c>
      <c r="O38" s="11">
        <v>60</v>
      </c>
      <c r="P38" s="11">
        <v>20</v>
      </c>
      <c r="Q38" s="11">
        <v>80</v>
      </c>
      <c r="R38" s="11">
        <v>60</v>
      </c>
      <c r="S38" s="11">
        <v>60</v>
      </c>
      <c r="T38" s="11">
        <v>100</v>
      </c>
      <c r="U38" s="11">
        <v>100</v>
      </c>
      <c r="V38" s="11">
        <v>100</v>
      </c>
      <c r="W38" s="11">
        <v>100</v>
      </c>
      <c r="X38" s="11">
        <v>100</v>
      </c>
      <c r="Y38" s="11">
        <v>90</v>
      </c>
      <c r="Z38" s="11">
        <v>50</v>
      </c>
      <c r="AA38" s="11">
        <v>10</v>
      </c>
      <c r="AB38" s="11">
        <v>75</v>
      </c>
      <c r="AC38" s="11">
        <v>100</v>
      </c>
      <c r="AD38" s="11">
        <v>100</v>
      </c>
      <c r="AE38" s="11">
        <v>100</v>
      </c>
      <c r="AF38" s="11">
        <v>100</v>
      </c>
      <c r="AG38" s="11">
        <v>70</v>
      </c>
      <c r="AH38" s="11">
        <v>70</v>
      </c>
      <c r="AI38" s="11">
        <v>50</v>
      </c>
      <c r="AJ38" s="11">
        <v>30</v>
      </c>
      <c r="AK38" s="11">
        <v>30</v>
      </c>
      <c r="AL38" s="11">
        <v>30</v>
      </c>
      <c r="AM38" s="11">
        <v>30</v>
      </c>
      <c r="AN38" s="11">
        <v>100</v>
      </c>
      <c r="AO38" s="11"/>
      <c r="AP38" s="11">
        <v>50</v>
      </c>
      <c r="AQ38" s="11">
        <v>60</v>
      </c>
      <c r="AR38" s="11">
        <v>40</v>
      </c>
      <c r="AS38" s="11">
        <v>100</v>
      </c>
      <c r="AT38" s="11">
        <v>100</v>
      </c>
      <c r="AU38" s="11">
        <v>100</v>
      </c>
      <c r="AV38" s="11">
        <v>100</v>
      </c>
    </row>
    <row r="39" spans="1:48">
      <c r="A39" s="12"/>
      <c r="B39" s="12" t="s">
        <v>27</v>
      </c>
      <c r="C39" s="11">
        <v>100</v>
      </c>
      <c r="D39" s="11"/>
      <c r="E39" s="11">
        <v>100</v>
      </c>
      <c r="F39" s="11">
        <v>100</v>
      </c>
      <c r="G39" s="11">
        <v>10</v>
      </c>
      <c r="H39" s="11">
        <v>25</v>
      </c>
      <c r="I39" s="11">
        <v>40</v>
      </c>
      <c r="J39" s="11"/>
      <c r="K39" s="11">
        <v>70</v>
      </c>
      <c r="L39" s="11">
        <v>50</v>
      </c>
      <c r="M39" s="11">
        <v>40</v>
      </c>
      <c r="N39" s="11">
        <v>40</v>
      </c>
      <c r="O39" s="11">
        <v>40</v>
      </c>
      <c r="P39" s="11">
        <v>80</v>
      </c>
      <c r="Q39" s="11">
        <v>20</v>
      </c>
      <c r="R39" s="11">
        <v>40</v>
      </c>
      <c r="S39" s="11">
        <v>40</v>
      </c>
      <c r="T39" s="11"/>
      <c r="U39" s="11"/>
      <c r="V39" s="11"/>
      <c r="W39" s="11"/>
      <c r="X39" s="11"/>
      <c r="Y39" s="11">
        <v>10</v>
      </c>
      <c r="Z39" s="11">
        <v>50</v>
      </c>
      <c r="AA39" s="11">
        <v>90</v>
      </c>
      <c r="AB39" s="11">
        <v>25</v>
      </c>
      <c r="AC39" s="11"/>
      <c r="AD39" s="11"/>
      <c r="AE39" s="11"/>
      <c r="AF39" s="11"/>
      <c r="AG39" s="11">
        <v>30</v>
      </c>
      <c r="AH39" s="11">
        <v>30</v>
      </c>
      <c r="AI39" s="11">
        <v>50</v>
      </c>
      <c r="AJ39" s="11">
        <v>70</v>
      </c>
      <c r="AK39" s="11">
        <v>70</v>
      </c>
      <c r="AL39" s="11">
        <v>70</v>
      </c>
      <c r="AM39" s="11">
        <v>70</v>
      </c>
      <c r="AN39" s="11"/>
      <c r="AO39" s="11"/>
      <c r="AP39" s="11">
        <v>50</v>
      </c>
      <c r="AQ39" s="11">
        <v>40</v>
      </c>
      <c r="AR39" s="11">
        <v>60</v>
      </c>
      <c r="AS39" s="11"/>
      <c r="AT39" s="11"/>
      <c r="AU39" s="11"/>
      <c r="AV39" s="11"/>
    </row>
    <row r="40" spans="1:48">
      <c r="A40" s="12"/>
      <c r="B40" s="12" t="s">
        <v>38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 spans="1:48">
      <c r="A41" s="11"/>
      <c r="B41" s="11" t="s">
        <v>198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 spans="1:48">
      <c r="A42" s="12"/>
      <c r="B42" s="12" t="s">
        <v>26</v>
      </c>
      <c r="C42" s="11"/>
      <c r="D42" s="11">
        <v>90</v>
      </c>
      <c r="E42" s="11">
        <v>100</v>
      </c>
      <c r="F42" s="11">
        <v>100</v>
      </c>
      <c r="G42" s="11">
        <v>40</v>
      </c>
      <c r="H42" s="11">
        <v>3</v>
      </c>
      <c r="I42" s="11"/>
      <c r="J42" s="11">
        <v>80</v>
      </c>
      <c r="K42" s="11">
        <v>50</v>
      </c>
      <c r="L42" s="11">
        <v>50</v>
      </c>
      <c r="M42" s="11">
        <v>50</v>
      </c>
      <c r="N42" s="11">
        <v>50</v>
      </c>
      <c r="O42" s="11">
        <v>50</v>
      </c>
      <c r="P42" s="11">
        <v>20</v>
      </c>
      <c r="Q42" s="11">
        <v>20</v>
      </c>
      <c r="R42" s="11">
        <v>10</v>
      </c>
      <c r="S42" s="11">
        <v>30</v>
      </c>
      <c r="T42" s="11">
        <v>70</v>
      </c>
      <c r="U42" s="11">
        <v>70</v>
      </c>
      <c r="V42" s="11">
        <v>90</v>
      </c>
      <c r="W42" s="11">
        <v>90</v>
      </c>
      <c r="X42" s="11">
        <v>90</v>
      </c>
      <c r="Y42" s="11"/>
      <c r="Z42" s="11"/>
      <c r="AA42" s="11"/>
      <c r="AB42" s="11"/>
      <c r="AC42" s="11">
        <v>100</v>
      </c>
      <c r="AD42" s="11">
        <v>100</v>
      </c>
      <c r="AE42" s="11">
        <v>100</v>
      </c>
      <c r="AF42" s="11">
        <v>100</v>
      </c>
      <c r="AG42" s="11">
        <v>60</v>
      </c>
      <c r="AH42" s="11">
        <v>50</v>
      </c>
      <c r="AI42" s="11">
        <v>50</v>
      </c>
      <c r="AJ42" s="11">
        <v>30</v>
      </c>
      <c r="AK42" s="11">
        <v>30</v>
      </c>
      <c r="AL42" s="11">
        <v>30</v>
      </c>
      <c r="AM42" s="11">
        <v>60</v>
      </c>
      <c r="AN42" s="11">
        <v>100</v>
      </c>
      <c r="AO42" s="11">
        <v>100</v>
      </c>
      <c r="AP42" s="11"/>
      <c r="AQ42" s="11">
        <v>50</v>
      </c>
      <c r="AR42" s="11">
        <v>60</v>
      </c>
      <c r="AS42" s="11">
        <v>50</v>
      </c>
      <c r="AT42" s="11">
        <v>100</v>
      </c>
      <c r="AU42" s="11">
        <v>50</v>
      </c>
      <c r="AV42" s="11">
        <v>50</v>
      </c>
    </row>
    <row r="43" spans="1:48">
      <c r="A43" s="12"/>
      <c r="B43" s="12" t="s">
        <v>27</v>
      </c>
      <c r="C43" s="11"/>
      <c r="D43" s="11">
        <v>10</v>
      </c>
      <c r="E43" s="11"/>
      <c r="F43" s="11"/>
      <c r="G43" s="11">
        <v>60</v>
      </c>
      <c r="H43" s="11">
        <v>96</v>
      </c>
      <c r="I43" s="11">
        <v>100</v>
      </c>
      <c r="J43" s="11">
        <v>20</v>
      </c>
      <c r="K43" s="11">
        <v>50</v>
      </c>
      <c r="L43" s="11">
        <v>50</v>
      </c>
      <c r="M43" s="11">
        <v>50</v>
      </c>
      <c r="N43" s="11">
        <v>50</v>
      </c>
      <c r="O43" s="11">
        <v>50</v>
      </c>
      <c r="P43" s="11">
        <v>80</v>
      </c>
      <c r="Q43" s="11">
        <v>80</v>
      </c>
      <c r="R43" s="11">
        <v>90</v>
      </c>
      <c r="S43" s="11">
        <v>70</v>
      </c>
      <c r="T43" s="11">
        <v>30</v>
      </c>
      <c r="U43" s="11">
        <v>30</v>
      </c>
      <c r="V43" s="11">
        <v>10</v>
      </c>
      <c r="W43" s="11">
        <v>10</v>
      </c>
      <c r="X43" s="11">
        <v>10</v>
      </c>
      <c r="Y43" s="11">
        <v>100</v>
      </c>
      <c r="Z43" s="11">
        <v>100</v>
      </c>
      <c r="AA43" s="11">
        <v>100</v>
      </c>
      <c r="AB43" s="11"/>
      <c r="AC43" s="11"/>
      <c r="AD43" s="11"/>
      <c r="AE43" s="11"/>
      <c r="AF43" s="11"/>
      <c r="AG43" s="11">
        <v>40</v>
      </c>
      <c r="AH43" s="11">
        <v>50</v>
      </c>
      <c r="AI43" s="11">
        <v>50</v>
      </c>
      <c r="AJ43" s="11">
        <v>70</v>
      </c>
      <c r="AK43" s="11">
        <v>70</v>
      </c>
      <c r="AL43" s="11">
        <v>70</v>
      </c>
      <c r="AM43" s="11">
        <v>40</v>
      </c>
      <c r="AN43" s="11"/>
      <c r="AO43" s="11"/>
      <c r="AP43" s="11">
        <v>100</v>
      </c>
      <c r="AQ43" s="11">
        <v>50</v>
      </c>
      <c r="AR43" s="11">
        <v>40</v>
      </c>
      <c r="AS43" s="11">
        <v>50</v>
      </c>
      <c r="AT43" s="11"/>
      <c r="AU43" s="11">
        <v>50</v>
      </c>
      <c r="AV43" s="11">
        <v>50</v>
      </c>
    </row>
    <row r="44" spans="1:48">
      <c r="A44" s="12"/>
      <c r="B44" s="12" t="s">
        <v>38</v>
      </c>
      <c r="C44" s="11"/>
      <c r="D44" s="11"/>
      <c r="E44" s="11"/>
      <c r="F44" s="11"/>
      <c r="G44" s="11"/>
      <c r="H44" s="11">
        <v>1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 spans="1:48">
      <c r="A45" s="13" t="s">
        <v>43</v>
      </c>
      <c r="B45" s="14" t="s">
        <v>44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>
      <c r="A46" s="13"/>
      <c r="B46" s="15" t="s">
        <v>199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>
      <c r="A47" s="16"/>
      <c r="B47" s="16" t="s">
        <v>26</v>
      </c>
      <c r="C47" s="15"/>
      <c r="D47" s="15">
        <v>6</v>
      </c>
      <c r="E47" s="15">
        <v>6</v>
      </c>
      <c r="F47" s="15">
        <v>6</v>
      </c>
      <c r="G47" s="15">
        <v>5</v>
      </c>
      <c r="H47" s="15">
        <v>2</v>
      </c>
      <c r="I47" s="15">
        <v>4</v>
      </c>
      <c r="J47" s="15">
        <v>6</v>
      </c>
      <c r="K47" s="15">
        <v>6</v>
      </c>
      <c r="L47" s="15">
        <v>5</v>
      </c>
      <c r="M47" s="15">
        <v>5</v>
      </c>
      <c r="N47" s="15">
        <v>5</v>
      </c>
      <c r="O47" s="15">
        <v>5</v>
      </c>
      <c r="P47" s="15">
        <v>4</v>
      </c>
      <c r="Q47" s="15">
        <v>5</v>
      </c>
      <c r="R47" s="15">
        <v>2</v>
      </c>
      <c r="S47" s="15">
        <v>3</v>
      </c>
      <c r="T47" s="15">
        <v>6</v>
      </c>
      <c r="U47" s="15">
        <v>6</v>
      </c>
      <c r="V47" s="15">
        <v>6</v>
      </c>
      <c r="W47" s="15">
        <v>6</v>
      </c>
      <c r="X47" s="15">
        <v>6</v>
      </c>
      <c r="Y47" s="15">
        <v>6</v>
      </c>
      <c r="Z47" s="15">
        <v>6</v>
      </c>
      <c r="AA47" s="15">
        <v>2</v>
      </c>
      <c r="AB47" s="15">
        <v>4</v>
      </c>
      <c r="AC47" s="15">
        <v>5</v>
      </c>
      <c r="AD47" s="15">
        <v>5</v>
      </c>
      <c r="AE47" s="15">
        <v>6</v>
      </c>
      <c r="AF47" s="15">
        <v>6</v>
      </c>
      <c r="AG47" s="15">
        <v>6</v>
      </c>
      <c r="AH47" s="15">
        <v>6</v>
      </c>
      <c r="AI47" s="15">
        <v>5</v>
      </c>
      <c r="AJ47" s="15">
        <v>4</v>
      </c>
      <c r="AK47" s="15">
        <v>5</v>
      </c>
      <c r="AL47" s="15">
        <v>5</v>
      </c>
      <c r="AM47" s="15">
        <v>5</v>
      </c>
      <c r="AN47" s="15">
        <v>5</v>
      </c>
      <c r="AO47" s="15">
        <v>5</v>
      </c>
      <c r="AP47" s="15">
        <v>5</v>
      </c>
      <c r="AQ47" s="15">
        <v>6</v>
      </c>
      <c r="AR47" s="15">
        <v>5</v>
      </c>
      <c r="AS47" s="15">
        <v>6</v>
      </c>
      <c r="AT47" s="15">
        <v>6</v>
      </c>
      <c r="AU47" s="15">
        <v>6</v>
      </c>
      <c r="AV47" s="15">
        <v>6</v>
      </c>
    </row>
    <row r="48" spans="1:48">
      <c r="A48" s="16"/>
      <c r="B48" s="16" t="s">
        <v>27</v>
      </c>
      <c r="C48" s="15"/>
      <c r="D48" s="15">
        <v>5</v>
      </c>
      <c r="E48" s="15">
        <v>6</v>
      </c>
      <c r="F48" s="15">
        <v>6</v>
      </c>
      <c r="G48" s="15">
        <v>5</v>
      </c>
      <c r="H48" s="15">
        <v>5</v>
      </c>
      <c r="I48" s="15">
        <v>6</v>
      </c>
      <c r="J48" s="15">
        <v>6</v>
      </c>
      <c r="K48" s="15">
        <v>6</v>
      </c>
      <c r="L48" s="15">
        <v>6</v>
      </c>
      <c r="M48" s="15">
        <v>6</v>
      </c>
      <c r="N48" s="15">
        <v>6</v>
      </c>
      <c r="O48" s="15">
        <v>6</v>
      </c>
      <c r="P48" s="15">
        <v>6</v>
      </c>
      <c r="Q48" s="15">
        <v>6</v>
      </c>
      <c r="R48" s="15">
        <v>2</v>
      </c>
      <c r="S48" s="15">
        <v>4</v>
      </c>
      <c r="T48" s="15">
        <v>6</v>
      </c>
      <c r="U48" s="15">
        <v>6</v>
      </c>
      <c r="V48" s="15">
        <v>4</v>
      </c>
      <c r="W48" s="15">
        <v>4</v>
      </c>
      <c r="X48" s="15">
        <v>5</v>
      </c>
      <c r="Y48" s="15">
        <v>6</v>
      </c>
      <c r="Z48" s="15">
        <v>6</v>
      </c>
      <c r="AA48" s="15">
        <v>6</v>
      </c>
      <c r="AB48" s="15">
        <v>4</v>
      </c>
      <c r="AC48" s="15">
        <v>3</v>
      </c>
      <c r="AD48" s="15">
        <v>3</v>
      </c>
      <c r="AE48" s="15">
        <v>6</v>
      </c>
      <c r="AF48" s="15">
        <v>6</v>
      </c>
      <c r="AG48" s="15">
        <v>6</v>
      </c>
      <c r="AH48" s="15">
        <v>6</v>
      </c>
      <c r="AI48" s="15">
        <v>6</v>
      </c>
      <c r="AJ48" s="15">
        <v>5</v>
      </c>
      <c r="AK48" s="15">
        <v>5</v>
      </c>
      <c r="AL48" s="15">
        <v>5</v>
      </c>
      <c r="AM48" s="15">
        <v>6</v>
      </c>
      <c r="AN48" s="15">
        <v>6</v>
      </c>
      <c r="AO48" s="15">
        <v>5</v>
      </c>
      <c r="AP48" s="15">
        <v>4</v>
      </c>
      <c r="AQ48" s="15">
        <v>6</v>
      </c>
      <c r="AR48" s="15">
        <v>4</v>
      </c>
      <c r="AS48" s="15">
        <v>5</v>
      </c>
      <c r="AT48" s="15">
        <v>6</v>
      </c>
      <c r="AU48" s="15">
        <v>5</v>
      </c>
      <c r="AV48" s="15">
        <v>6</v>
      </c>
    </row>
    <row r="49" spans="1:48">
      <c r="A49" s="15"/>
      <c r="B49" s="15" t="s">
        <v>200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>
      <c r="A50" s="16"/>
      <c r="B50" s="16" t="s">
        <v>26</v>
      </c>
      <c r="C50" s="15">
        <v>6</v>
      </c>
      <c r="D50" s="15">
        <v>6</v>
      </c>
      <c r="E50" s="15">
        <v>6</v>
      </c>
      <c r="F50" s="15">
        <v>6</v>
      </c>
      <c r="G50" s="15">
        <v>5</v>
      </c>
      <c r="H50" s="15">
        <v>3</v>
      </c>
      <c r="I50" s="15">
        <v>6</v>
      </c>
      <c r="J50" s="15">
        <v>6</v>
      </c>
      <c r="K50" s="15">
        <v>6</v>
      </c>
      <c r="L50" s="15">
        <v>5</v>
      </c>
      <c r="M50" s="15">
        <v>5</v>
      </c>
      <c r="N50" s="15">
        <v>5</v>
      </c>
      <c r="O50" s="15">
        <v>5</v>
      </c>
      <c r="P50" s="15">
        <v>5</v>
      </c>
      <c r="Q50" s="15">
        <v>6</v>
      </c>
      <c r="R50" s="15">
        <v>4</v>
      </c>
      <c r="S50" s="15">
        <v>3</v>
      </c>
      <c r="T50" s="15">
        <v>6</v>
      </c>
      <c r="U50" s="15">
        <v>6</v>
      </c>
      <c r="V50" s="15">
        <v>6</v>
      </c>
      <c r="W50" s="15">
        <v>6</v>
      </c>
      <c r="X50" s="15">
        <v>6</v>
      </c>
      <c r="Y50" s="15">
        <v>6</v>
      </c>
      <c r="Z50" s="15">
        <v>5</v>
      </c>
      <c r="AA50" s="15">
        <v>5</v>
      </c>
      <c r="AB50" s="15">
        <v>6</v>
      </c>
      <c r="AC50" s="15">
        <v>5</v>
      </c>
      <c r="AD50" s="15">
        <v>5</v>
      </c>
      <c r="AE50" s="15">
        <v>6</v>
      </c>
      <c r="AF50" s="15">
        <v>6</v>
      </c>
      <c r="AG50" s="15">
        <v>6</v>
      </c>
      <c r="AH50" s="15">
        <v>6</v>
      </c>
      <c r="AI50" s="15">
        <v>5</v>
      </c>
      <c r="AJ50" s="15">
        <v>4</v>
      </c>
      <c r="AK50" s="15">
        <v>5</v>
      </c>
      <c r="AL50" s="15">
        <v>5</v>
      </c>
      <c r="AM50" s="15">
        <v>5</v>
      </c>
      <c r="AN50" s="15">
        <v>6</v>
      </c>
      <c r="AO50" s="15">
        <v>5</v>
      </c>
      <c r="AP50" s="15">
        <v>4</v>
      </c>
      <c r="AQ50" s="15">
        <v>5</v>
      </c>
      <c r="AR50" s="15">
        <v>5</v>
      </c>
      <c r="AS50" s="15">
        <v>6</v>
      </c>
      <c r="AT50" s="15">
        <v>6</v>
      </c>
      <c r="AU50" s="15">
        <v>6</v>
      </c>
      <c r="AV50" s="15">
        <v>6</v>
      </c>
    </row>
    <row r="51" spans="1:48">
      <c r="A51" s="16"/>
      <c r="B51" s="16" t="s">
        <v>27</v>
      </c>
      <c r="C51" s="15">
        <v>6</v>
      </c>
      <c r="D51" s="15">
        <v>5</v>
      </c>
      <c r="E51" s="15">
        <v>6</v>
      </c>
      <c r="F51" s="15">
        <v>6</v>
      </c>
      <c r="G51" s="15">
        <v>6</v>
      </c>
      <c r="H51" s="15">
        <v>5</v>
      </c>
      <c r="I51" s="15">
        <v>6</v>
      </c>
      <c r="J51" s="15">
        <v>6</v>
      </c>
      <c r="K51" s="15">
        <v>6</v>
      </c>
      <c r="L51" s="15">
        <v>6</v>
      </c>
      <c r="M51" s="15">
        <v>6</v>
      </c>
      <c r="N51" s="15">
        <v>6</v>
      </c>
      <c r="O51" s="15">
        <v>6</v>
      </c>
      <c r="P51" s="15">
        <v>6</v>
      </c>
      <c r="Q51" s="15">
        <v>6</v>
      </c>
      <c r="R51" s="15">
        <v>3</v>
      </c>
      <c r="S51" s="15">
        <v>4</v>
      </c>
      <c r="T51" s="15">
        <v>6</v>
      </c>
      <c r="U51" s="15">
        <v>6</v>
      </c>
      <c r="V51" s="15">
        <v>5</v>
      </c>
      <c r="W51" s="15">
        <v>5</v>
      </c>
      <c r="X51" s="15">
        <v>5</v>
      </c>
      <c r="Y51" s="15">
        <v>6</v>
      </c>
      <c r="Z51" s="15">
        <v>6</v>
      </c>
      <c r="AA51" s="15">
        <v>6</v>
      </c>
      <c r="AB51" s="15">
        <v>6</v>
      </c>
      <c r="AC51" s="15">
        <v>3</v>
      </c>
      <c r="AD51" s="15">
        <v>3</v>
      </c>
      <c r="AE51" s="15">
        <v>6</v>
      </c>
      <c r="AF51" s="15">
        <v>6</v>
      </c>
      <c r="AG51" s="15">
        <v>6</v>
      </c>
      <c r="AH51" s="15">
        <v>6</v>
      </c>
      <c r="AI51" s="15">
        <v>6</v>
      </c>
      <c r="AJ51" s="15">
        <v>5</v>
      </c>
      <c r="AK51" s="15">
        <v>5</v>
      </c>
      <c r="AL51" s="15">
        <v>5</v>
      </c>
      <c r="AM51" s="15">
        <v>6</v>
      </c>
      <c r="AN51" s="15">
        <v>6</v>
      </c>
      <c r="AO51" s="15">
        <v>6</v>
      </c>
      <c r="AP51" s="15">
        <v>4</v>
      </c>
      <c r="AQ51" s="15">
        <v>5</v>
      </c>
      <c r="AR51" s="15">
        <v>4</v>
      </c>
      <c r="AS51" s="15">
        <v>6</v>
      </c>
      <c r="AT51" s="15">
        <v>6</v>
      </c>
      <c r="AU51" s="15">
        <v>5</v>
      </c>
      <c r="AV51" s="15">
        <v>6</v>
      </c>
    </row>
    <row r="52" spans="1:48">
      <c r="A52" s="15"/>
      <c r="B52" s="15" t="s">
        <v>201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>
      <c r="A53" s="16"/>
      <c r="B53" s="16" t="s">
        <v>26</v>
      </c>
      <c r="C53" s="15"/>
      <c r="D53" s="15">
        <v>5</v>
      </c>
      <c r="E53" s="15">
        <v>1</v>
      </c>
      <c r="F53" s="15">
        <v>3</v>
      </c>
      <c r="G53" s="15">
        <v>4</v>
      </c>
      <c r="H53" s="15">
        <v>2</v>
      </c>
      <c r="I53" s="15">
        <v>3</v>
      </c>
      <c r="J53" s="15">
        <v>6</v>
      </c>
      <c r="K53" s="15">
        <v>6</v>
      </c>
      <c r="L53" s="15"/>
      <c r="M53" s="15">
        <v>1</v>
      </c>
      <c r="N53" s="15">
        <v>5</v>
      </c>
      <c r="O53" s="15">
        <v>5</v>
      </c>
      <c r="P53" s="15">
        <v>3</v>
      </c>
      <c r="Q53" s="15">
        <v>5</v>
      </c>
      <c r="R53" s="15"/>
      <c r="S53" s="15"/>
      <c r="T53" s="15">
        <v>5</v>
      </c>
      <c r="U53" s="15">
        <v>5</v>
      </c>
      <c r="V53" s="15">
        <v>2</v>
      </c>
      <c r="W53" s="15"/>
      <c r="X53" s="15">
        <v>4</v>
      </c>
      <c r="Y53" s="15">
        <v>6</v>
      </c>
      <c r="Z53" s="15">
        <v>6</v>
      </c>
      <c r="AA53" s="15"/>
      <c r="AB53" s="15"/>
      <c r="AC53" s="15"/>
      <c r="AD53" s="15"/>
      <c r="AE53" s="15">
        <v>6</v>
      </c>
      <c r="AF53" s="15">
        <v>6</v>
      </c>
      <c r="AG53" s="15">
        <v>5</v>
      </c>
      <c r="AH53" s="15">
        <v>5</v>
      </c>
      <c r="AI53" s="15">
        <v>4</v>
      </c>
      <c r="AJ53" s="15">
        <v>3</v>
      </c>
      <c r="AK53" s="15">
        <v>5</v>
      </c>
      <c r="AL53" s="15">
        <v>5</v>
      </c>
      <c r="AM53" s="15">
        <v>4</v>
      </c>
      <c r="AN53" s="15">
        <v>6</v>
      </c>
      <c r="AO53" s="15">
        <v>6</v>
      </c>
      <c r="AP53" s="15"/>
      <c r="AQ53" s="15">
        <v>4</v>
      </c>
      <c r="AR53" s="15">
        <v>4</v>
      </c>
      <c r="AS53" s="15"/>
      <c r="AT53" s="15">
        <v>3</v>
      </c>
      <c r="AU53" s="15"/>
      <c r="AV53" s="15">
        <v>6</v>
      </c>
    </row>
    <row r="54" spans="1:48">
      <c r="A54" s="16"/>
      <c r="B54" s="16" t="s">
        <v>27</v>
      </c>
      <c r="C54" s="15"/>
      <c r="D54" s="15">
        <v>5</v>
      </c>
      <c r="E54" s="15">
        <v>1</v>
      </c>
      <c r="F54" s="15">
        <v>6</v>
      </c>
      <c r="G54" s="15">
        <v>6</v>
      </c>
      <c r="H54" s="15">
        <v>6</v>
      </c>
      <c r="I54" s="15">
        <v>6</v>
      </c>
      <c r="J54" s="15">
        <v>6</v>
      </c>
      <c r="K54" s="15">
        <v>6</v>
      </c>
      <c r="L54" s="15"/>
      <c r="M54" s="15">
        <v>1</v>
      </c>
      <c r="N54" s="15">
        <v>6</v>
      </c>
      <c r="O54" s="15">
        <v>6</v>
      </c>
      <c r="P54" s="15">
        <v>6</v>
      </c>
      <c r="Q54" s="15">
        <v>6</v>
      </c>
      <c r="R54" s="15"/>
      <c r="S54" s="15"/>
      <c r="T54" s="15">
        <v>6</v>
      </c>
      <c r="U54" s="15">
        <v>6</v>
      </c>
      <c r="V54" s="15">
        <v>5</v>
      </c>
      <c r="W54" s="15"/>
      <c r="X54" s="15">
        <v>5</v>
      </c>
      <c r="Y54" s="15">
        <v>6</v>
      </c>
      <c r="Z54" s="15">
        <v>6</v>
      </c>
      <c r="AA54" s="15"/>
      <c r="AB54" s="15"/>
      <c r="AC54" s="15">
        <v>4</v>
      </c>
      <c r="AD54" s="15">
        <v>4</v>
      </c>
      <c r="AE54" s="15">
        <v>6</v>
      </c>
      <c r="AF54" s="15">
        <v>6</v>
      </c>
      <c r="AG54" s="15">
        <v>6</v>
      </c>
      <c r="AH54" s="15">
        <v>6</v>
      </c>
      <c r="AI54" s="15">
        <v>4</v>
      </c>
      <c r="AJ54" s="15">
        <v>4</v>
      </c>
      <c r="AK54" s="15">
        <v>5</v>
      </c>
      <c r="AL54" s="15">
        <v>5</v>
      </c>
      <c r="AM54" s="15">
        <v>6</v>
      </c>
      <c r="AN54" s="15">
        <v>6</v>
      </c>
      <c r="AO54" s="15">
        <v>6</v>
      </c>
      <c r="AP54" s="15"/>
      <c r="AQ54" s="15">
        <v>5</v>
      </c>
      <c r="AR54" s="15">
        <v>5</v>
      </c>
      <c r="AS54" s="15"/>
      <c r="AT54" s="15">
        <v>5</v>
      </c>
      <c r="AU54" s="15"/>
      <c r="AV54" s="15">
        <v>6</v>
      </c>
    </row>
    <row r="55" spans="1:48">
      <c r="A55" s="15"/>
      <c r="B55" s="15" t="s">
        <v>202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</row>
    <row r="56" spans="1:48">
      <c r="A56" s="16"/>
      <c r="B56" s="16" t="s">
        <v>26</v>
      </c>
      <c r="C56" s="15"/>
      <c r="D56" s="15">
        <v>4</v>
      </c>
      <c r="E56" s="15">
        <v>6</v>
      </c>
      <c r="F56" s="15">
        <v>6</v>
      </c>
      <c r="G56" s="15">
        <v>5</v>
      </c>
      <c r="H56" s="15">
        <v>1</v>
      </c>
      <c r="I56" s="15">
        <v>3</v>
      </c>
      <c r="J56" s="15">
        <v>6</v>
      </c>
      <c r="K56" s="15">
        <v>3</v>
      </c>
      <c r="L56" s="15"/>
      <c r="M56" s="15">
        <v>1</v>
      </c>
      <c r="N56" s="15">
        <v>4</v>
      </c>
      <c r="O56" s="15">
        <v>4</v>
      </c>
      <c r="P56" s="15">
        <v>3</v>
      </c>
      <c r="Q56" s="15"/>
      <c r="R56" s="15"/>
      <c r="S56" s="15"/>
      <c r="T56" s="15">
        <v>5</v>
      </c>
      <c r="U56" s="15">
        <v>4</v>
      </c>
      <c r="V56" s="15">
        <v>1</v>
      </c>
      <c r="W56" s="15"/>
      <c r="X56" s="15">
        <v>4</v>
      </c>
      <c r="Y56" s="15">
        <v>6</v>
      </c>
      <c r="Z56" s="15">
        <v>4</v>
      </c>
      <c r="AA56" s="15"/>
      <c r="AB56" s="15"/>
      <c r="AC56" s="15"/>
      <c r="AD56" s="15"/>
      <c r="AE56" s="15">
        <v>6</v>
      </c>
      <c r="AF56" s="15">
        <v>6</v>
      </c>
      <c r="AG56" s="15">
        <v>6</v>
      </c>
      <c r="AH56" s="15">
        <v>5</v>
      </c>
      <c r="AI56" s="15">
        <v>4</v>
      </c>
      <c r="AJ56" s="15">
        <v>3</v>
      </c>
      <c r="AK56" s="15">
        <v>4</v>
      </c>
      <c r="AL56" s="15">
        <v>4</v>
      </c>
      <c r="AM56" s="15">
        <v>5</v>
      </c>
      <c r="AN56" s="15">
        <v>6</v>
      </c>
      <c r="AO56" s="15">
        <v>6</v>
      </c>
      <c r="AP56" s="15"/>
      <c r="AQ56" s="15">
        <v>4</v>
      </c>
      <c r="AR56" s="15">
        <v>4</v>
      </c>
      <c r="AS56" s="15"/>
      <c r="AT56" s="15">
        <v>3</v>
      </c>
      <c r="AU56" s="15"/>
      <c r="AV56" s="15">
        <v>6</v>
      </c>
    </row>
    <row r="57" spans="1:48">
      <c r="A57" s="16"/>
      <c r="B57" s="16" t="s">
        <v>27</v>
      </c>
      <c r="C57" s="15"/>
      <c r="D57" s="15">
        <v>4</v>
      </c>
      <c r="E57" s="15">
        <v>1</v>
      </c>
      <c r="F57" s="15">
        <v>6</v>
      </c>
      <c r="G57" s="15">
        <v>5</v>
      </c>
      <c r="H57" s="15">
        <v>6</v>
      </c>
      <c r="I57" s="15">
        <v>6</v>
      </c>
      <c r="J57" s="15">
        <v>6</v>
      </c>
      <c r="K57" s="15">
        <v>6</v>
      </c>
      <c r="L57" s="15"/>
      <c r="M57" s="15">
        <v>1</v>
      </c>
      <c r="N57" s="15">
        <v>6</v>
      </c>
      <c r="O57" s="15">
        <v>6</v>
      </c>
      <c r="P57" s="15">
        <v>6</v>
      </c>
      <c r="Q57" s="15">
        <v>6</v>
      </c>
      <c r="R57" s="15"/>
      <c r="S57" s="15"/>
      <c r="T57" s="15">
        <v>6</v>
      </c>
      <c r="U57" s="15">
        <v>6</v>
      </c>
      <c r="V57" s="15">
        <v>4</v>
      </c>
      <c r="W57" s="15"/>
      <c r="X57" s="15">
        <v>5</v>
      </c>
      <c r="Y57" s="15">
        <v>6</v>
      </c>
      <c r="Z57" s="15">
        <v>6</v>
      </c>
      <c r="AA57" s="15"/>
      <c r="AB57" s="15"/>
      <c r="AC57" s="15">
        <v>4</v>
      </c>
      <c r="AD57" s="15">
        <v>4</v>
      </c>
      <c r="AE57" s="15">
        <v>6</v>
      </c>
      <c r="AF57" s="15">
        <v>6</v>
      </c>
      <c r="AG57" s="15">
        <v>6</v>
      </c>
      <c r="AH57" s="15">
        <v>6</v>
      </c>
      <c r="AI57" s="15">
        <v>4</v>
      </c>
      <c r="AJ57" s="15">
        <v>3</v>
      </c>
      <c r="AK57" s="15">
        <v>4</v>
      </c>
      <c r="AL57" s="15">
        <v>4</v>
      </c>
      <c r="AM57" s="15">
        <v>5</v>
      </c>
      <c r="AN57" s="15">
        <v>6</v>
      </c>
      <c r="AO57" s="15">
        <v>6</v>
      </c>
      <c r="AP57" s="15"/>
      <c r="AQ57" s="15">
        <v>5</v>
      </c>
      <c r="AR57" s="15">
        <v>5</v>
      </c>
      <c r="AS57" s="15"/>
      <c r="AT57" s="15">
        <v>5</v>
      </c>
      <c r="AU57" s="15"/>
      <c r="AV57" s="15">
        <v>6</v>
      </c>
    </row>
    <row r="58" spans="1:48">
      <c r="A58" s="17" t="s">
        <v>203</v>
      </c>
      <c r="B58" s="18" t="s">
        <v>204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</row>
    <row r="59" spans="1:48">
      <c r="A59" s="19"/>
      <c r="B59" s="19" t="s">
        <v>205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</row>
    <row r="60" spans="1:48">
      <c r="A60" s="20"/>
      <c r="B60" s="20" t="s">
        <v>26</v>
      </c>
      <c r="C60" s="19">
        <v>3</v>
      </c>
      <c r="D60" s="19">
        <v>6</v>
      </c>
      <c r="E60" s="19">
        <v>6</v>
      </c>
      <c r="F60" s="19">
        <v>6</v>
      </c>
      <c r="G60" s="19">
        <v>4</v>
      </c>
      <c r="H60" s="19">
        <v>3</v>
      </c>
      <c r="I60" s="19">
        <v>4</v>
      </c>
      <c r="J60" s="19">
        <v>6</v>
      </c>
      <c r="K60" s="19">
        <v>6</v>
      </c>
      <c r="L60" s="19">
        <v>5</v>
      </c>
      <c r="M60" s="19">
        <v>4</v>
      </c>
      <c r="N60" s="19">
        <v>5</v>
      </c>
      <c r="O60" s="19">
        <v>5</v>
      </c>
      <c r="P60" s="19">
        <v>6</v>
      </c>
      <c r="Q60" s="19">
        <v>5</v>
      </c>
      <c r="R60" s="19">
        <v>3</v>
      </c>
      <c r="S60" s="19">
        <v>2</v>
      </c>
      <c r="T60" s="19">
        <v>6</v>
      </c>
      <c r="U60" s="19">
        <v>6</v>
      </c>
      <c r="V60" s="19">
        <v>6</v>
      </c>
      <c r="W60" s="19">
        <v>6</v>
      </c>
      <c r="X60" s="19">
        <v>6</v>
      </c>
      <c r="Y60" s="19">
        <v>6</v>
      </c>
      <c r="Z60" s="19">
        <v>6</v>
      </c>
      <c r="AA60" s="19"/>
      <c r="AB60" s="19">
        <v>5</v>
      </c>
      <c r="AC60" s="19">
        <v>5</v>
      </c>
      <c r="AD60" s="19">
        <v>5</v>
      </c>
      <c r="AE60" s="19">
        <v>6</v>
      </c>
      <c r="AF60" s="19">
        <v>6</v>
      </c>
      <c r="AG60" s="19">
        <v>6</v>
      </c>
      <c r="AH60" s="19">
        <v>6</v>
      </c>
      <c r="AI60" s="19">
        <v>5</v>
      </c>
      <c r="AJ60" s="19">
        <v>4</v>
      </c>
      <c r="AK60" s="19">
        <v>4</v>
      </c>
      <c r="AL60" s="19">
        <v>4</v>
      </c>
      <c r="AM60" s="19">
        <v>5</v>
      </c>
      <c r="AN60" s="19">
        <v>6</v>
      </c>
      <c r="AO60" s="19">
        <v>6</v>
      </c>
      <c r="AP60" s="19">
        <v>2</v>
      </c>
      <c r="AQ60" s="19">
        <v>3</v>
      </c>
      <c r="AR60" s="19">
        <v>3</v>
      </c>
      <c r="AS60" s="19">
        <v>6</v>
      </c>
      <c r="AT60" s="19">
        <v>6</v>
      </c>
      <c r="AU60" s="19">
        <v>5</v>
      </c>
      <c r="AV60" s="19">
        <v>6</v>
      </c>
    </row>
    <row r="61" spans="1:48">
      <c r="A61" s="20"/>
      <c r="B61" s="20" t="s">
        <v>27</v>
      </c>
      <c r="C61" s="19">
        <v>3</v>
      </c>
      <c r="D61" s="19">
        <v>6</v>
      </c>
      <c r="E61" s="19">
        <v>6</v>
      </c>
      <c r="F61" s="19">
        <v>6</v>
      </c>
      <c r="G61" s="19">
        <v>6</v>
      </c>
      <c r="H61" s="19">
        <v>4</v>
      </c>
      <c r="I61" s="19">
        <v>5</v>
      </c>
      <c r="J61" s="19">
        <v>6</v>
      </c>
      <c r="K61" s="19">
        <v>6</v>
      </c>
      <c r="L61" s="19">
        <v>6</v>
      </c>
      <c r="M61" s="19">
        <v>6</v>
      </c>
      <c r="N61" s="19">
        <v>6</v>
      </c>
      <c r="O61" s="19">
        <v>6</v>
      </c>
      <c r="P61" s="19">
        <v>6</v>
      </c>
      <c r="Q61" s="19">
        <v>6</v>
      </c>
      <c r="R61" s="19">
        <v>3</v>
      </c>
      <c r="S61" s="19">
        <v>3</v>
      </c>
      <c r="T61" s="19">
        <v>6</v>
      </c>
      <c r="U61" s="19">
        <v>6</v>
      </c>
      <c r="V61" s="19">
        <v>6</v>
      </c>
      <c r="W61" s="19">
        <v>4</v>
      </c>
      <c r="X61" s="19">
        <v>5</v>
      </c>
      <c r="Y61" s="19">
        <v>6</v>
      </c>
      <c r="Z61" s="19">
        <v>6</v>
      </c>
      <c r="AA61" s="19"/>
      <c r="AB61" s="19">
        <v>5</v>
      </c>
      <c r="AC61" s="19">
        <v>2</v>
      </c>
      <c r="AD61" s="19">
        <v>2</v>
      </c>
      <c r="AE61" s="19">
        <v>6</v>
      </c>
      <c r="AF61" s="19">
        <v>6</v>
      </c>
      <c r="AG61" s="19">
        <v>6</v>
      </c>
      <c r="AH61" s="19">
        <v>6</v>
      </c>
      <c r="AI61" s="19">
        <v>6</v>
      </c>
      <c r="AJ61" s="19">
        <v>4</v>
      </c>
      <c r="AK61" s="19">
        <v>5</v>
      </c>
      <c r="AL61" s="19">
        <v>5</v>
      </c>
      <c r="AM61" s="19">
        <v>6</v>
      </c>
      <c r="AN61" s="19">
        <v>6</v>
      </c>
      <c r="AO61" s="19">
        <v>6</v>
      </c>
      <c r="AP61" s="19">
        <v>2</v>
      </c>
      <c r="AQ61" s="19">
        <v>4</v>
      </c>
      <c r="AR61" s="19">
        <v>4</v>
      </c>
      <c r="AS61" s="19">
        <v>6</v>
      </c>
      <c r="AT61" s="19">
        <v>6</v>
      </c>
      <c r="AU61" s="19">
        <v>5</v>
      </c>
      <c r="AV61" s="19">
        <v>6</v>
      </c>
    </row>
    <row r="62" spans="1:48">
      <c r="A62" s="19"/>
      <c r="B62" s="19" t="s">
        <v>206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</row>
    <row r="63" spans="1:48">
      <c r="A63" s="20"/>
      <c r="B63" s="20" t="s">
        <v>26</v>
      </c>
      <c r="C63" s="19"/>
      <c r="D63" s="19">
        <v>6</v>
      </c>
      <c r="E63" s="19">
        <v>6</v>
      </c>
      <c r="F63" s="19">
        <v>6</v>
      </c>
      <c r="G63" s="19">
        <v>4</v>
      </c>
      <c r="H63" s="19">
        <v>6</v>
      </c>
      <c r="I63" s="19">
        <v>4</v>
      </c>
      <c r="J63" s="19">
        <v>6</v>
      </c>
      <c r="K63" s="19">
        <v>6</v>
      </c>
      <c r="L63" s="19">
        <v>5</v>
      </c>
      <c r="M63" s="19">
        <v>4</v>
      </c>
      <c r="N63" s="19">
        <v>5</v>
      </c>
      <c r="O63" s="19">
        <v>5</v>
      </c>
      <c r="P63" s="19">
        <v>6</v>
      </c>
      <c r="Q63" s="19">
        <v>5</v>
      </c>
      <c r="R63" s="19">
        <v>2</v>
      </c>
      <c r="S63" s="19">
        <v>2</v>
      </c>
      <c r="T63" s="19">
        <v>6</v>
      </c>
      <c r="U63" s="19">
        <v>6</v>
      </c>
      <c r="V63" s="19">
        <v>6</v>
      </c>
      <c r="W63" s="19">
        <v>6</v>
      </c>
      <c r="X63" s="19">
        <v>6</v>
      </c>
      <c r="Y63" s="19">
        <v>6</v>
      </c>
      <c r="Z63" s="19">
        <v>6</v>
      </c>
      <c r="AA63" s="19"/>
      <c r="AB63" s="19"/>
      <c r="AC63" s="19">
        <v>6</v>
      </c>
      <c r="AD63" s="19">
        <v>5</v>
      </c>
      <c r="AE63" s="19">
        <v>6</v>
      </c>
      <c r="AF63" s="19">
        <v>6</v>
      </c>
      <c r="AG63" s="19">
        <v>6</v>
      </c>
      <c r="AH63" s="19">
        <v>6</v>
      </c>
      <c r="AI63" s="19">
        <v>5</v>
      </c>
      <c r="AJ63" s="19">
        <v>3</v>
      </c>
      <c r="AK63" s="19">
        <v>4</v>
      </c>
      <c r="AL63" s="19">
        <v>4</v>
      </c>
      <c r="AM63" s="19">
        <v>5</v>
      </c>
      <c r="AN63" s="19">
        <v>6</v>
      </c>
      <c r="AO63" s="19">
        <v>6</v>
      </c>
      <c r="AP63" s="19">
        <v>2</v>
      </c>
      <c r="AQ63" s="19">
        <v>3</v>
      </c>
      <c r="AR63" s="19">
        <v>4</v>
      </c>
      <c r="AS63" s="19">
        <v>6</v>
      </c>
      <c r="AT63" s="19">
        <v>6</v>
      </c>
      <c r="AU63" s="19">
        <v>5</v>
      </c>
      <c r="AV63" s="19">
        <v>6</v>
      </c>
    </row>
    <row r="64" spans="1:48">
      <c r="A64" s="20"/>
      <c r="B64" s="20" t="s">
        <v>27</v>
      </c>
      <c r="C64" s="19"/>
      <c r="D64" s="19">
        <v>6</v>
      </c>
      <c r="E64" s="19">
        <v>6</v>
      </c>
      <c r="F64" s="19">
        <v>6</v>
      </c>
      <c r="G64" s="19">
        <v>6</v>
      </c>
      <c r="H64" s="19">
        <v>6</v>
      </c>
      <c r="I64" s="19">
        <v>5</v>
      </c>
      <c r="J64" s="19">
        <v>6</v>
      </c>
      <c r="K64" s="19">
        <v>6</v>
      </c>
      <c r="L64" s="19">
        <v>6</v>
      </c>
      <c r="M64" s="19">
        <v>6</v>
      </c>
      <c r="N64" s="19">
        <v>6</v>
      </c>
      <c r="O64" s="19">
        <v>6</v>
      </c>
      <c r="P64" s="19">
        <v>6</v>
      </c>
      <c r="Q64" s="19">
        <v>6</v>
      </c>
      <c r="R64" s="19">
        <v>1</v>
      </c>
      <c r="S64" s="19">
        <v>1</v>
      </c>
      <c r="T64" s="19">
        <v>6</v>
      </c>
      <c r="U64" s="19">
        <v>6</v>
      </c>
      <c r="V64" s="19">
        <v>6</v>
      </c>
      <c r="W64" s="19">
        <v>4</v>
      </c>
      <c r="X64" s="19">
        <v>5</v>
      </c>
      <c r="Y64" s="19">
        <v>6</v>
      </c>
      <c r="Z64" s="19">
        <v>6</v>
      </c>
      <c r="AA64" s="19"/>
      <c r="AB64" s="19"/>
      <c r="AC64" s="19">
        <v>3</v>
      </c>
      <c r="AD64" s="19">
        <v>1</v>
      </c>
      <c r="AE64" s="19">
        <v>6</v>
      </c>
      <c r="AF64" s="19">
        <v>6</v>
      </c>
      <c r="AG64" s="19">
        <v>6</v>
      </c>
      <c r="AH64" s="19">
        <v>6</v>
      </c>
      <c r="AI64" s="19">
        <v>5</v>
      </c>
      <c r="AJ64" s="19">
        <v>4</v>
      </c>
      <c r="AK64" s="19">
        <v>4</v>
      </c>
      <c r="AL64" s="19">
        <v>4</v>
      </c>
      <c r="AM64" s="19">
        <v>5</v>
      </c>
      <c r="AN64" s="19">
        <v>6</v>
      </c>
      <c r="AO64" s="19">
        <v>6</v>
      </c>
      <c r="AP64" s="19">
        <v>2</v>
      </c>
      <c r="AQ64" s="19">
        <v>4</v>
      </c>
      <c r="AR64" s="19">
        <v>5</v>
      </c>
      <c r="AS64" s="19">
        <v>6</v>
      </c>
      <c r="AT64" s="19">
        <v>6</v>
      </c>
      <c r="AU64" s="19">
        <v>5</v>
      </c>
      <c r="AV64" s="19">
        <v>6</v>
      </c>
    </row>
    <row r="65" spans="1:48">
      <c r="A65" s="19"/>
      <c r="B65" s="19" t="s">
        <v>207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</row>
    <row r="66" spans="1:48">
      <c r="A66" s="20"/>
      <c r="B66" s="20" t="s">
        <v>55</v>
      </c>
      <c r="C66" s="19"/>
      <c r="D66" s="19">
        <v>6</v>
      </c>
      <c r="E66" s="19">
        <v>6</v>
      </c>
      <c r="F66" s="19"/>
      <c r="G66" s="19">
        <v>4</v>
      </c>
      <c r="H66" s="19">
        <v>3</v>
      </c>
      <c r="I66" s="19">
        <v>3</v>
      </c>
      <c r="J66" s="19">
        <v>6</v>
      </c>
      <c r="K66" s="19"/>
      <c r="L66" s="19">
        <v>3</v>
      </c>
      <c r="M66" s="19">
        <v>6</v>
      </c>
      <c r="N66" s="19">
        <v>6</v>
      </c>
      <c r="O66" s="19">
        <v>6</v>
      </c>
      <c r="P66" s="19">
        <v>3</v>
      </c>
      <c r="Q66" s="19">
        <v>5</v>
      </c>
      <c r="R66" s="19">
        <v>3</v>
      </c>
      <c r="S66" s="19">
        <v>1</v>
      </c>
      <c r="T66" s="19">
        <v>6</v>
      </c>
      <c r="U66" s="19">
        <v>6</v>
      </c>
      <c r="V66" s="19">
        <v>6</v>
      </c>
      <c r="W66" s="19">
        <v>6</v>
      </c>
      <c r="X66" s="19">
        <v>6</v>
      </c>
      <c r="Y66" s="19">
        <v>6</v>
      </c>
      <c r="Z66" s="19">
        <v>6</v>
      </c>
      <c r="AA66" s="19"/>
      <c r="AB66" s="19">
        <v>4</v>
      </c>
      <c r="AC66" s="19">
        <v>6</v>
      </c>
      <c r="AD66" s="19">
        <v>6</v>
      </c>
      <c r="AE66" s="19">
        <v>6</v>
      </c>
      <c r="AF66" s="19">
        <v>6</v>
      </c>
      <c r="AG66" s="19">
        <v>6</v>
      </c>
      <c r="AH66" s="19">
        <v>6</v>
      </c>
      <c r="AI66" s="19">
        <v>5</v>
      </c>
      <c r="AJ66" s="19">
        <v>3</v>
      </c>
      <c r="AK66" s="19">
        <v>6</v>
      </c>
      <c r="AL66" s="19">
        <v>6</v>
      </c>
      <c r="AM66" s="19">
        <v>6</v>
      </c>
      <c r="AN66" s="19">
        <v>6</v>
      </c>
      <c r="AO66" s="19">
        <v>6</v>
      </c>
      <c r="AP66" s="19">
        <v>3</v>
      </c>
      <c r="AQ66" s="19">
        <v>2</v>
      </c>
      <c r="AR66" s="19">
        <v>3</v>
      </c>
      <c r="AS66" s="19">
        <v>6</v>
      </c>
      <c r="AT66" s="19">
        <v>6</v>
      </c>
      <c r="AU66" s="19">
        <v>6</v>
      </c>
      <c r="AV66" s="19">
        <v>6</v>
      </c>
    </row>
    <row r="67" spans="1:48">
      <c r="A67" s="20"/>
      <c r="B67" s="20" t="s">
        <v>56</v>
      </c>
      <c r="C67" s="19">
        <v>6</v>
      </c>
      <c r="D67" s="19">
        <v>5</v>
      </c>
      <c r="E67" s="19">
        <v>6</v>
      </c>
      <c r="F67" s="19"/>
      <c r="G67" s="19">
        <v>5</v>
      </c>
      <c r="H67" s="19">
        <v>3</v>
      </c>
      <c r="I67" s="19">
        <v>5</v>
      </c>
      <c r="J67" s="19"/>
      <c r="K67" s="19">
        <v>6</v>
      </c>
      <c r="L67" s="19">
        <v>6</v>
      </c>
      <c r="M67" s="19">
        <v>5</v>
      </c>
      <c r="N67" s="19">
        <v>5</v>
      </c>
      <c r="O67" s="19">
        <v>5</v>
      </c>
      <c r="P67" s="19">
        <v>6</v>
      </c>
      <c r="Q67" s="19">
        <v>5</v>
      </c>
      <c r="R67" s="19">
        <v>3</v>
      </c>
      <c r="S67" s="19">
        <v>2</v>
      </c>
      <c r="T67" s="19"/>
      <c r="U67" s="19"/>
      <c r="V67" s="19"/>
      <c r="W67" s="19"/>
      <c r="X67" s="19">
        <v>5</v>
      </c>
      <c r="Y67" s="19">
        <v>6</v>
      </c>
      <c r="Z67" s="19">
        <v>6</v>
      </c>
      <c r="AA67" s="19"/>
      <c r="AB67" s="19">
        <v>5</v>
      </c>
      <c r="AC67" s="19"/>
      <c r="AD67" s="19">
        <v>2</v>
      </c>
      <c r="AE67" s="19">
        <v>6</v>
      </c>
      <c r="AF67" s="19">
        <v>6</v>
      </c>
      <c r="AG67" s="19"/>
      <c r="AH67" s="19"/>
      <c r="AI67" s="19">
        <v>5</v>
      </c>
      <c r="AJ67" s="19">
        <v>4</v>
      </c>
      <c r="AK67" s="19">
        <v>4</v>
      </c>
      <c r="AL67" s="19">
        <v>4</v>
      </c>
      <c r="AM67" s="19">
        <v>3</v>
      </c>
      <c r="AN67" s="19">
        <v>6</v>
      </c>
      <c r="AO67" s="19"/>
      <c r="AP67" s="19">
        <v>3</v>
      </c>
      <c r="AQ67" s="19">
        <v>4</v>
      </c>
      <c r="AR67" s="19">
        <v>4</v>
      </c>
      <c r="AS67" s="19">
        <v>3</v>
      </c>
      <c r="AT67" s="19"/>
      <c r="AU67" s="19"/>
      <c r="AV67" s="19">
        <v>6</v>
      </c>
    </row>
    <row r="68" spans="1:48">
      <c r="A68" s="19"/>
      <c r="B68" s="19" t="s">
        <v>208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</row>
    <row r="69" spans="1:48">
      <c r="A69" s="20"/>
      <c r="B69" s="20" t="s">
        <v>55</v>
      </c>
      <c r="C69" s="19"/>
      <c r="D69" s="19">
        <v>6</v>
      </c>
      <c r="E69" s="19">
        <v>6</v>
      </c>
      <c r="F69" s="19"/>
      <c r="G69" s="19">
        <v>6</v>
      </c>
      <c r="H69" s="19">
        <v>2</v>
      </c>
      <c r="I69" s="19">
        <v>4</v>
      </c>
      <c r="J69" s="19">
        <v>6</v>
      </c>
      <c r="K69" s="19"/>
      <c r="L69" s="19">
        <v>3</v>
      </c>
      <c r="M69" s="19">
        <v>5</v>
      </c>
      <c r="N69" s="19">
        <v>6</v>
      </c>
      <c r="O69" s="19">
        <v>6</v>
      </c>
      <c r="P69" s="19">
        <v>3</v>
      </c>
      <c r="Q69" s="19">
        <v>6</v>
      </c>
      <c r="R69" s="19">
        <v>4</v>
      </c>
      <c r="S69" s="19">
        <v>2</v>
      </c>
      <c r="T69" s="19">
        <v>6</v>
      </c>
      <c r="U69" s="19">
        <v>6</v>
      </c>
      <c r="V69" s="19">
        <v>6</v>
      </c>
      <c r="W69" s="19">
        <v>6</v>
      </c>
      <c r="X69" s="19">
        <v>6</v>
      </c>
      <c r="Y69" s="19">
        <v>6</v>
      </c>
      <c r="Z69" s="19">
        <v>6</v>
      </c>
      <c r="AA69" s="19"/>
      <c r="AB69" s="19">
        <v>5</v>
      </c>
      <c r="AC69" s="19">
        <v>6</v>
      </c>
      <c r="AD69" s="19">
        <v>6</v>
      </c>
      <c r="AE69" s="19">
        <v>6</v>
      </c>
      <c r="AF69" s="19">
        <v>6</v>
      </c>
      <c r="AG69" s="19">
        <v>6</v>
      </c>
      <c r="AH69" s="19">
        <v>6</v>
      </c>
      <c r="AI69" s="19">
        <v>5</v>
      </c>
      <c r="AJ69" s="19">
        <v>3</v>
      </c>
      <c r="AK69" s="19">
        <v>5</v>
      </c>
      <c r="AL69" s="19">
        <v>5</v>
      </c>
      <c r="AM69" s="19">
        <v>6</v>
      </c>
      <c r="AN69" s="19">
        <v>6</v>
      </c>
      <c r="AO69" s="19">
        <v>6</v>
      </c>
      <c r="AP69" s="19"/>
      <c r="AQ69" s="19">
        <v>5</v>
      </c>
      <c r="AR69" s="19">
        <v>3</v>
      </c>
      <c r="AS69" s="19">
        <v>6</v>
      </c>
      <c r="AT69" s="19">
        <v>6</v>
      </c>
      <c r="AU69" s="19">
        <v>6</v>
      </c>
      <c r="AV69" s="19">
        <v>6</v>
      </c>
    </row>
    <row r="70" spans="1:48">
      <c r="A70" s="20"/>
      <c r="B70" s="20" t="s">
        <v>56</v>
      </c>
      <c r="C70" s="19">
        <v>6</v>
      </c>
      <c r="D70" s="19">
        <v>5</v>
      </c>
      <c r="E70" s="19">
        <v>6</v>
      </c>
      <c r="F70" s="19">
        <v>6</v>
      </c>
      <c r="G70" s="19">
        <v>1</v>
      </c>
      <c r="H70" s="19">
        <v>6</v>
      </c>
      <c r="I70" s="19">
        <v>5</v>
      </c>
      <c r="J70" s="19"/>
      <c r="K70" s="19">
        <v>6</v>
      </c>
      <c r="L70" s="19">
        <v>6</v>
      </c>
      <c r="M70" s="19">
        <v>5</v>
      </c>
      <c r="N70" s="19">
        <v>5</v>
      </c>
      <c r="O70" s="19">
        <v>5</v>
      </c>
      <c r="P70" s="19">
        <v>6</v>
      </c>
      <c r="Q70" s="19">
        <v>5</v>
      </c>
      <c r="R70" s="19">
        <v>2</v>
      </c>
      <c r="S70" s="19">
        <v>3</v>
      </c>
      <c r="T70" s="19"/>
      <c r="U70" s="19"/>
      <c r="V70" s="19"/>
      <c r="W70" s="19"/>
      <c r="X70" s="19">
        <v>5</v>
      </c>
      <c r="Y70" s="19">
        <v>6</v>
      </c>
      <c r="Z70" s="19">
        <v>6</v>
      </c>
      <c r="AA70" s="19"/>
      <c r="AB70" s="19">
        <v>5</v>
      </c>
      <c r="AC70" s="19"/>
      <c r="AD70" s="19">
        <v>2</v>
      </c>
      <c r="AE70" s="19">
        <v>6</v>
      </c>
      <c r="AF70" s="19">
        <v>6</v>
      </c>
      <c r="AG70" s="19">
        <v>6</v>
      </c>
      <c r="AH70" s="19">
        <v>6</v>
      </c>
      <c r="AI70" s="19">
        <v>5</v>
      </c>
      <c r="AJ70" s="19">
        <v>4</v>
      </c>
      <c r="AK70" s="19">
        <v>3</v>
      </c>
      <c r="AL70" s="19">
        <v>3</v>
      </c>
      <c r="AM70" s="19">
        <v>3</v>
      </c>
      <c r="AN70" s="19"/>
      <c r="AO70" s="19"/>
      <c r="AP70" s="19">
        <v>3</v>
      </c>
      <c r="AQ70" s="19">
        <v>4</v>
      </c>
      <c r="AR70" s="19">
        <v>4</v>
      </c>
      <c r="AS70" s="19"/>
      <c r="AT70" s="19"/>
      <c r="AU70" s="19"/>
      <c r="AV70" s="19"/>
    </row>
    <row r="71" spans="1:48">
      <c r="A71" s="20"/>
      <c r="B71" s="17" t="s">
        <v>209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</row>
    <row r="72" spans="1:48">
      <c r="A72" s="20"/>
      <c r="B72" s="20" t="s">
        <v>55</v>
      </c>
      <c r="C72" s="20"/>
      <c r="D72" s="20">
        <v>6</v>
      </c>
      <c r="E72" s="20">
        <v>6</v>
      </c>
      <c r="F72" s="20"/>
      <c r="G72" s="20">
        <v>5</v>
      </c>
      <c r="H72" s="20">
        <v>6</v>
      </c>
      <c r="I72" s="20">
        <v>5</v>
      </c>
      <c r="J72" s="20">
        <v>6</v>
      </c>
      <c r="K72" s="20"/>
      <c r="L72" s="20">
        <v>3</v>
      </c>
      <c r="M72" s="20">
        <v>5</v>
      </c>
      <c r="N72" s="20">
        <v>6</v>
      </c>
      <c r="O72" s="20">
        <v>6</v>
      </c>
      <c r="P72" s="20">
        <v>3</v>
      </c>
      <c r="Q72" s="20">
        <v>6</v>
      </c>
      <c r="R72" s="20">
        <v>3</v>
      </c>
      <c r="S72" s="20">
        <v>5</v>
      </c>
      <c r="T72" s="20">
        <v>6</v>
      </c>
      <c r="U72" s="20">
        <v>6</v>
      </c>
      <c r="V72" s="20">
        <v>6</v>
      </c>
      <c r="W72" s="20">
        <v>6</v>
      </c>
      <c r="X72" s="20">
        <v>6</v>
      </c>
      <c r="Y72" s="20">
        <v>6</v>
      </c>
      <c r="Z72" s="20">
        <v>6</v>
      </c>
      <c r="AA72" s="20"/>
      <c r="AB72" s="20">
        <v>5</v>
      </c>
      <c r="AC72" s="20">
        <v>6</v>
      </c>
      <c r="AD72" s="20">
        <v>6</v>
      </c>
      <c r="AE72" s="20">
        <v>6</v>
      </c>
      <c r="AF72" s="20">
        <v>6</v>
      </c>
      <c r="AG72" s="20">
        <v>6</v>
      </c>
      <c r="AH72" s="20">
        <v>6</v>
      </c>
      <c r="AI72" s="20">
        <v>5</v>
      </c>
      <c r="AJ72" s="20">
        <v>3</v>
      </c>
      <c r="AK72" s="20">
        <v>5</v>
      </c>
      <c r="AL72" s="20">
        <v>5</v>
      </c>
      <c r="AM72" s="20">
        <v>6</v>
      </c>
      <c r="AN72" s="20">
        <v>6</v>
      </c>
      <c r="AO72" s="20">
        <v>6</v>
      </c>
      <c r="AP72" s="20"/>
      <c r="AQ72" s="20">
        <v>5</v>
      </c>
      <c r="AR72" s="20">
        <v>4</v>
      </c>
      <c r="AS72" s="20">
        <v>6</v>
      </c>
      <c r="AT72" s="20">
        <v>6</v>
      </c>
      <c r="AU72" s="20">
        <v>6</v>
      </c>
      <c r="AV72" s="20">
        <v>6</v>
      </c>
    </row>
    <row r="73" spans="1:48">
      <c r="A73" s="20"/>
      <c r="B73" s="20" t="s">
        <v>56</v>
      </c>
      <c r="C73" s="20">
        <v>6</v>
      </c>
      <c r="D73" s="20">
        <v>5</v>
      </c>
      <c r="E73" s="20">
        <v>6</v>
      </c>
      <c r="F73" s="20">
        <v>6</v>
      </c>
      <c r="G73" s="20">
        <v>4</v>
      </c>
      <c r="H73" s="20">
        <v>6</v>
      </c>
      <c r="I73" s="20">
        <v>5</v>
      </c>
      <c r="J73" s="20"/>
      <c r="K73" s="20">
        <v>6</v>
      </c>
      <c r="L73" s="20">
        <v>6</v>
      </c>
      <c r="M73" s="20">
        <v>5</v>
      </c>
      <c r="N73" s="20">
        <v>4</v>
      </c>
      <c r="O73" s="20">
        <v>4</v>
      </c>
      <c r="P73" s="20">
        <v>6</v>
      </c>
      <c r="Q73" s="20">
        <v>6</v>
      </c>
      <c r="R73" s="20">
        <v>4</v>
      </c>
      <c r="S73" s="20">
        <v>3</v>
      </c>
      <c r="T73" s="20"/>
      <c r="U73" s="20"/>
      <c r="V73" s="20"/>
      <c r="W73" s="20"/>
      <c r="X73" s="20">
        <v>5</v>
      </c>
      <c r="Y73" s="20">
        <v>6</v>
      </c>
      <c r="Z73" s="20">
        <v>6</v>
      </c>
      <c r="AA73" s="20"/>
      <c r="AB73" s="20">
        <v>5</v>
      </c>
      <c r="AC73" s="20">
        <v>2</v>
      </c>
      <c r="AD73" s="20">
        <v>2</v>
      </c>
      <c r="AE73" s="20">
        <v>6</v>
      </c>
      <c r="AF73" s="20">
        <v>6</v>
      </c>
      <c r="AG73" s="20">
        <v>6</v>
      </c>
      <c r="AH73" s="20">
        <v>6</v>
      </c>
      <c r="AI73" s="20">
        <v>5</v>
      </c>
      <c r="AJ73" s="20">
        <v>5</v>
      </c>
      <c r="AK73" s="20">
        <v>5</v>
      </c>
      <c r="AL73" s="20">
        <v>5</v>
      </c>
      <c r="AM73" s="20">
        <v>3</v>
      </c>
      <c r="AN73" s="20"/>
      <c r="AO73" s="20"/>
      <c r="AP73" s="20">
        <v>3</v>
      </c>
      <c r="AQ73" s="20">
        <v>5</v>
      </c>
      <c r="AR73" s="20">
        <v>4</v>
      </c>
      <c r="AS73" s="20"/>
      <c r="AT73" s="20"/>
      <c r="AU73" s="20"/>
      <c r="AV73" s="20"/>
    </row>
    <row r="74" spans="1:48">
      <c r="A74" s="2"/>
    </row>
    <row r="75" spans="1:48">
      <c r="A75" s="2"/>
    </row>
    <row r="76" spans="1:48">
      <c r="A76" s="2"/>
      <c r="B76" s="21" t="s">
        <v>58</v>
      </c>
      <c r="C76" s="21">
        <f t="shared" ref="C76:AV76" si="0">0.61*((15-ROUND(C11,0)) + (15-ROUND(C14,0)) + C17 + C20 + C23 + C26) + 0.136*(C30+C34+C38+C42) + 2.27*(C47+C50+C53+C56) + 1.8*(C60+C63+C66+C69+C72)</f>
        <v>42.01</v>
      </c>
      <c r="D76" s="21">
        <f t="shared" si="0"/>
        <v>175.45</v>
      </c>
      <c r="E76" s="21">
        <f t="shared" si="0"/>
        <v>146.595</v>
      </c>
      <c r="F76" s="21">
        <f t="shared" si="0"/>
        <v>105.44</v>
      </c>
      <c r="G76" s="21">
        <f t="shared" si="0"/>
        <v>141.1</v>
      </c>
      <c r="H76" s="21">
        <f t="shared" si="0"/>
        <v>88.302000000000007</v>
      </c>
      <c r="I76" s="21">
        <f t="shared" si="0"/>
        <v>101.12</v>
      </c>
      <c r="J76" s="21">
        <f t="shared" si="0"/>
        <v>181.56</v>
      </c>
      <c r="K76" s="21">
        <f t="shared" si="0"/>
        <v>120.4</v>
      </c>
      <c r="L76" s="21">
        <f t="shared" si="0"/>
        <v>99.960000000000008</v>
      </c>
      <c r="M76" s="21">
        <f t="shared" si="0"/>
        <v>114.25000000000001</v>
      </c>
      <c r="N76" s="21">
        <f t="shared" si="0"/>
        <v>137.95000000000002</v>
      </c>
      <c r="O76" s="21">
        <f t="shared" si="0"/>
        <v>137.95000000000002</v>
      </c>
      <c r="P76" s="21">
        <f t="shared" si="0"/>
        <v>99.48</v>
      </c>
      <c r="Q76" s="21">
        <f t="shared" si="0"/>
        <v>131.59</v>
      </c>
      <c r="R76" s="21">
        <f t="shared" si="0"/>
        <v>83.54</v>
      </c>
      <c r="S76" s="21">
        <f t="shared" si="0"/>
        <v>78.75</v>
      </c>
      <c r="T76" s="21">
        <f t="shared" si="0"/>
        <v>183.4</v>
      </c>
      <c r="U76" s="21">
        <f t="shared" si="0"/>
        <v>172.38</v>
      </c>
      <c r="V76" s="21">
        <f t="shared" si="0"/>
        <v>160.54000000000002</v>
      </c>
      <c r="W76" s="21">
        <f t="shared" si="0"/>
        <v>153.73000000000002</v>
      </c>
      <c r="X76" s="21">
        <f t="shared" si="0"/>
        <v>175.53</v>
      </c>
      <c r="Y76" s="21">
        <f t="shared" si="0"/>
        <v>162.10000000000002</v>
      </c>
      <c r="Z76" s="21">
        <f t="shared" si="0"/>
        <v>142.86000000000001</v>
      </c>
      <c r="AA76" s="21">
        <f t="shared" si="0"/>
        <v>37.660000000000004</v>
      </c>
      <c r="AB76" s="21">
        <f t="shared" si="0"/>
        <v>101.18</v>
      </c>
      <c r="AC76" s="21">
        <f t="shared" si="0"/>
        <v>148.82</v>
      </c>
      <c r="AD76" s="21">
        <f t="shared" si="0"/>
        <v>147.02000000000001</v>
      </c>
      <c r="AE76" s="21">
        <f t="shared" si="0"/>
        <v>190.33</v>
      </c>
      <c r="AF76" s="21">
        <f t="shared" si="0"/>
        <v>195.82</v>
      </c>
      <c r="AG76" s="21">
        <f t="shared" si="0"/>
        <v>169.49</v>
      </c>
      <c r="AH76" s="21">
        <f t="shared" si="0"/>
        <v>166</v>
      </c>
      <c r="AI76" s="21">
        <f t="shared" si="0"/>
        <v>135.02000000000001</v>
      </c>
      <c r="AJ76" s="21">
        <f t="shared" si="0"/>
        <v>95.2</v>
      </c>
      <c r="AK76" s="21">
        <f t="shared" si="0"/>
        <v>124.75000000000001</v>
      </c>
      <c r="AL76" s="21">
        <f t="shared" si="0"/>
        <v>124.75000000000001</v>
      </c>
      <c r="AM76" s="21">
        <f t="shared" si="0"/>
        <v>138.61000000000001</v>
      </c>
      <c r="AN76" s="21">
        <f t="shared" si="0"/>
        <v>178.68</v>
      </c>
      <c r="AO76" s="21">
        <f t="shared" si="0"/>
        <v>162.81</v>
      </c>
      <c r="AP76" s="21">
        <f t="shared" si="0"/>
        <v>77.03</v>
      </c>
      <c r="AQ76" s="21">
        <f t="shared" si="0"/>
        <v>130.06</v>
      </c>
      <c r="AR76" s="21">
        <f t="shared" si="0"/>
        <v>125.78</v>
      </c>
      <c r="AS76" s="21">
        <f t="shared" si="0"/>
        <v>133.54</v>
      </c>
      <c r="AT76" s="21">
        <f t="shared" si="0"/>
        <v>167.89</v>
      </c>
      <c r="AU76" s="21">
        <f t="shared" si="0"/>
        <v>141.43</v>
      </c>
      <c r="AV76" s="21">
        <f t="shared" si="0"/>
        <v>172.04000000000002</v>
      </c>
    </row>
    <row r="77" spans="1:48">
      <c r="A77" s="22"/>
      <c r="B77" s="34" t="s">
        <v>59</v>
      </c>
      <c r="C77" s="22">
        <f t="shared" ref="C77:AV77" si="1">0.61*((15-ROUND(C12,0)) + (15-ROUND(C15,0)) + C18 + C21 + C24 + C27) + 0.136*(C31+C35+C39+C43) + 2.27*(C48+C51+C54+C57) + 1.8*(C61+C64+C67+C70+C73)</f>
        <v>105.83000000000001</v>
      </c>
      <c r="D77" s="22">
        <f t="shared" si="1"/>
        <v>111.39000000000001</v>
      </c>
      <c r="E77" s="22">
        <f t="shared" si="1"/>
        <v>131.88999999999999</v>
      </c>
      <c r="F77" s="22">
        <f t="shared" si="1"/>
        <v>155.56</v>
      </c>
      <c r="G77" s="22">
        <f t="shared" si="1"/>
        <v>120.31</v>
      </c>
      <c r="H77" s="22">
        <f t="shared" si="1"/>
        <v>158.43799999999999</v>
      </c>
      <c r="I77" s="22">
        <f t="shared" si="1"/>
        <v>162.9</v>
      </c>
      <c r="J77" s="22">
        <f t="shared" si="1"/>
        <v>100.71000000000001</v>
      </c>
      <c r="K77" s="22">
        <f t="shared" si="1"/>
        <v>147.74</v>
      </c>
      <c r="L77" s="22">
        <f t="shared" si="1"/>
        <v>124.30000000000001</v>
      </c>
      <c r="M77" s="22">
        <f t="shared" si="1"/>
        <v>122.08000000000001</v>
      </c>
      <c r="N77" s="22">
        <f t="shared" si="1"/>
        <v>147.25</v>
      </c>
      <c r="O77" s="22">
        <f t="shared" si="1"/>
        <v>147.86000000000001</v>
      </c>
      <c r="P77" s="22">
        <f t="shared" si="1"/>
        <v>179.78000000000003</v>
      </c>
      <c r="Q77" s="22">
        <f t="shared" si="1"/>
        <v>155.31</v>
      </c>
      <c r="R77" s="22">
        <f t="shared" si="1"/>
        <v>79.17</v>
      </c>
      <c r="S77" s="22">
        <f t="shared" si="1"/>
        <v>82.35</v>
      </c>
      <c r="T77" s="22">
        <f t="shared" si="1"/>
        <v>101.03999999999999</v>
      </c>
      <c r="U77" s="22">
        <f t="shared" si="1"/>
        <v>100.03</v>
      </c>
      <c r="V77" s="22">
        <f t="shared" si="1"/>
        <v>77.31</v>
      </c>
      <c r="W77" s="22">
        <f t="shared" si="1"/>
        <v>51.51</v>
      </c>
      <c r="X77" s="22">
        <f t="shared" si="1"/>
        <v>125.4</v>
      </c>
      <c r="Y77" s="22">
        <f t="shared" si="1"/>
        <v>169.65</v>
      </c>
      <c r="Z77" s="22">
        <f t="shared" si="1"/>
        <v>177.2</v>
      </c>
      <c r="AA77" s="22">
        <f t="shared" si="1"/>
        <v>95.25</v>
      </c>
      <c r="AB77" s="22">
        <f t="shared" si="1"/>
        <v>87.55</v>
      </c>
      <c r="AC77" s="22">
        <f t="shared" si="1"/>
        <v>63.29</v>
      </c>
      <c r="AD77" s="22">
        <f t="shared" si="1"/>
        <v>66.28</v>
      </c>
      <c r="AE77" s="22">
        <f t="shared" si="1"/>
        <v>130.44</v>
      </c>
      <c r="AF77" s="22">
        <f t="shared" si="1"/>
        <v>138.37</v>
      </c>
      <c r="AG77" s="22">
        <f t="shared" si="1"/>
        <v>147.36000000000001</v>
      </c>
      <c r="AH77" s="22">
        <f t="shared" si="1"/>
        <v>147.36000000000001</v>
      </c>
      <c r="AI77" s="22">
        <f t="shared" si="1"/>
        <v>141.36000000000001</v>
      </c>
      <c r="AJ77" s="22">
        <f t="shared" si="1"/>
        <v>134.60000000000002</v>
      </c>
      <c r="AK77" s="22">
        <f t="shared" si="1"/>
        <v>140.22000000000003</v>
      </c>
      <c r="AL77" s="22">
        <f t="shared" si="1"/>
        <v>140.22000000000003</v>
      </c>
      <c r="AM77" s="22">
        <f t="shared" si="1"/>
        <v>144.5</v>
      </c>
      <c r="AN77" s="22">
        <f t="shared" si="1"/>
        <v>116.39000000000001</v>
      </c>
      <c r="AO77" s="22">
        <f t="shared" si="1"/>
        <v>103.32</v>
      </c>
      <c r="AP77" s="22">
        <f t="shared" si="1"/>
        <v>89.78</v>
      </c>
      <c r="AQ77" s="22">
        <f t="shared" si="1"/>
        <v>129.26000000000002</v>
      </c>
      <c r="AR77" s="22">
        <f t="shared" si="1"/>
        <v>126.32</v>
      </c>
      <c r="AS77" s="22">
        <f t="shared" si="1"/>
        <v>87.62</v>
      </c>
      <c r="AT77" s="22">
        <f t="shared" si="1"/>
        <v>91.949999999999989</v>
      </c>
      <c r="AU77" s="22">
        <f t="shared" si="1"/>
        <v>63.64</v>
      </c>
      <c r="AV77" s="22">
        <f t="shared" si="1"/>
        <v>123.47</v>
      </c>
    </row>
    <row r="78" spans="1:48">
      <c r="A78" s="23"/>
      <c r="B78" s="24" t="s">
        <v>60</v>
      </c>
      <c r="C78" s="24">
        <f>C76-C77</f>
        <v>-63.820000000000014</v>
      </c>
      <c r="D78" s="24">
        <f t="shared" ref="D78:AV78" si="2">D76-D77</f>
        <v>64.059999999999974</v>
      </c>
      <c r="E78" s="24">
        <f t="shared" si="2"/>
        <v>14.705000000000013</v>
      </c>
      <c r="F78" s="24">
        <f t="shared" si="2"/>
        <v>-50.120000000000005</v>
      </c>
      <c r="G78" s="24">
        <f t="shared" si="2"/>
        <v>20.789999999999992</v>
      </c>
      <c r="H78" s="24">
        <f t="shared" si="2"/>
        <v>-70.135999999999981</v>
      </c>
      <c r="I78" s="24">
        <f t="shared" si="2"/>
        <v>-61.78</v>
      </c>
      <c r="J78" s="24">
        <f t="shared" si="2"/>
        <v>80.849999999999994</v>
      </c>
      <c r="K78" s="24">
        <f t="shared" si="2"/>
        <v>-27.340000000000003</v>
      </c>
      <c r="L78" s="24">
        <f t="shared" si="2"/>
        <v>-24.340000000000003</v>
      </c>
      <c r="M78" s="24">
        <f t="shared" si="2"/>
        <v>-7.8299999999999983</v>
      </c>
      <c r="N78" s="24">
        <f t="shared" si="2"/>
        <v>-9.2999999999999829</v>
      </c>
      <c r="O78" s="24">
        <f t="shared" si="2"/>
        <v>-9.9099999999999966</v>
      </c>
      <c r="P78" s="24">
        <f t="shared" si="2"/>
        <v>-80.300000000000026</v>
      </c>
      <c r="Q78" s="24">
        <f t="shared" si="2"/>
        <v>-23.72</v>
      </c>
      <c r="R78" s="24">
        <f t="shared" si="2"/>
        <v>4.3700000000000045</v>
      </c>
      <c r="S78" s="24">
        <f t="shared" si="2"/>
        <v>-3.5999999999999943</v>
      </c>
      <c r="T78" s="24">
        <f t="shared" si="2"/>
        <v>82.360000000000014</v>
      </c>
      <c r="U78" s="24">
        <f t="shared" si="2"/>
        <v>72.349999999999994</v>
      </c>
      <c r="V78" s="24">
        <f t="shared" si="2"/>
        <v>83.230000000000018</v>
      </c>
      <c r="W78" s="24">
        <f t="shared" si="2"/>
        <v>102.22000000000003</v>
      </c>
      <c r="X78" s="24">
        <f t="shared" si="2"/>
        <v>50.129999999999995</v>
      </c>
      <c r="Y78" s="24">
        <f t="shared" si="2"/>
        <v>-7.5499999999999829</v>
      </c>
      <c r="Z78" s="24">
        <f t="shared" si="2"/>
        <v>-34.339999999999975</v>
      </c>
      <c r="AA78" s="24">
        <f t="shared" si="2"/>
        <v>-57.589999999999996</v>
      </c>
      <c r="AB78" s="24">
        <f t="shared" si="2"/>
        <v>13.63000000000001</v>
      </c>
      <c r="AC78" s="24">
        <f t="shared" si="2"/>
        <v>85.53</v>
      </c>
      <c r="AD78" s="24">
        <f t="shared" si="2"/>
        <v>80.740000000000009</v>
      </c>
      <c r="AE78" s="24">
        <f t="shared" si="2"/>
        <v>59.890000000000015</v>
      </c>
      <c r="AF78" s="24">
        <f t="shared" si="2"/>
        <v>57.449999999999989</v>
      </c>
      <c r="AG78" s="24">
        <f t="shared" si="2"/>
        <v>22.129999999999995</v>
      </c>
      <c r="AH78" s="24">
        <f t="shared" si="2"/>
        <v>18.639999999999986</v>
      </c>
      <c r="AI78" s="24">
        <f t="shared" si="2"/>
        <v>-6.3400000000000034</v>
      </c>
      <c r="AJ78" s="24">
        <f t="shared" si="2"/>
        <v>-39.40000000000002</v>
      </c>
      <c r="AK78" s="24">
        <f t="shared" si="2"/>
        <v>-15.470000000000013</v>
      </c>
      <c r="AL78" s="24">
        <f t="shared" si="2"/>
        <v>-15.470000000000013</v>
      </c>
      <c r="AM78" s="24">
        <f t="shared" si="2"/>
        <v>-5.8899999999999864</v>
      </c>
      <c r="AN78" s="24">
        <f t="shared" si="2"/>
        <v>62.289999999999992</v>
      </c>
      <c r="AO78" s="24">
        <f t="shared" si="2"/>
        <v>59.490000000000009</v>
      </c>
      <c r="AP78" s="24">
        <f t="shared" si="2"/>
        <v>-12.75</v>
      </c>
      <c r="AQ78" s="24">
        <f t="shared" si="2"/>
        <v>0.79999999999998295</v>
      </c>
      <c r="AR78" s="24">
        <f t="shared" si="2"/>
        <v>-0.53999999999999204</v>
      </c>
      <c r="AS78" s="24">
        <f t="shared" si="2"/>
        <v>45.919999999999987</v>
      </c>
      <c r="AT78" s="24">
        <f t="shared" si="2"/>
        <v>75.94</v>
      </c>
      <c r="AU78" s="24">
        <f t="shared" si="2"/>
        <v>77.790000000000006</v>
      </c>
      <c r="AV78" s="24">
        <f t="shared" si="2"/>
        <v>48.570000000000022</v>
      </c>
    </row>
    <row r="79" spans="1:48">
      <c r="A79" s="2"/>
    </row>
    <row r="80" spans="1:48">
      <c r="A80" s="2"/>
      <c r="B80" s="21" t="s">
        <v>16</v>
      </c>
      <c r="C80" s="21">
        <f>AVERAGE(C78:AV78)</f>
        <v>14.268239130434784</v>
      </c>
    </row>
    <row r="81" spans="1:3">
      <c r="A81" s="2"/>
      <c r="B81" s="21" t="s">
        <v>61</v>
      </c>
      <c r="C81" s="36">
        <f>MEDIAN(C78:AV78)</f>
        <v>2.5849999999999937</v>
      </c>
    </row>
    <row r="82" spans="1:3">
      <c r="A82" s="2"/>
      <c r="B82" s="21" t="s">
        <v>62</v>
      </c>
      <c r="C82" s="21">
        <f t="shared" ref="C82:C83" si="3">AVERAGE(C76:AV76)</f>
        <v>134.78036956521743</v>
      </c>
    </row>
    <row r="83" spans="1:3">
      <c r="A83" s="2"/>
      <c r="B83" s="21" t="s">
        <v>63</v>
      </c>
      <c r="C83" s="21">
        <f t="shared" si="3"/>
        <v>120.51213043478265</v>
      </c>
    </row>
    <row r="84" spans="1:3">
      <c r="A84" s="2"/>
    </row>
    <row r="85" spans="1:3">
      <c r="A85" s="2"/>
      <c r="B85" s="38"/>
      <c r="C85" s="36"/>
    </row>
    <row r="86" spans="1:3">
      <c r="A86" s="2"/>
      <c r="B86" s="39"/>
      <c r="C86" s="36"/>
    </row>
    <row r="87" spans="1:3">
      <c r="A87" s="2"/>
      <c r="B87" s="38"/>
      <c r="C87" s="36"/>
    </row>
    <row r="88" spans="1:3">
      <c r="A88" s="2"/>
      <c r="B88" s="39"/>
      <c r="C88" s="36"/>
    </row>
    <row r="89" spans="1:3">
      <c r="A89" s="2"/>
      <c r="B89" s="39"/>
      <c r="C89" s="36"/>
    </row>
    <row r="90" spans="1:3">
      <c r="A90" s="2"/>
      <c r="B90" s="37"/>
      <c r="C90" s="36"/>
    </row>
    <row r="91" spans="1:3">
      <c r="A91" s="2"/>
    </row>
    <row r="92" spans="1:3">
      <c r="A92" s="2"/>
    </row>
    <row r="93" spans="1:3">
      <c r="A93" s="2"/>
    </row>
    <row r="94" spans="1:3">
      <c r="A94" s="2"/>
    </row>
    <row r="95" spans="1:3">
      <c r="A95" s="2"/>
    </row>
    <row r="96" spans="1: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82"/>
  <sheetViews>
    <sheetView zoomScale="105" workbookViewId="0">
      <selection activeCell="I10" sqref="I10"/>
    </sheetView>
  </sheetViews>
  <sheetFormatPr defaultColWidth="12.5546875" defaultRowHeight="15.75" customHeight="1"/>
  <sheetData>
    <row r="1" spans="1:17">
      <c r="A1" s="21">
        <v>1</v>
      </c>
      <c r="B1" s="21">
        <v>2</v>
      </c>
      <c r="C1" s="21">
        <v>3</v>
      </c>
      <c r="D1" s="21">
        <v>4</v>
      </c>
      <c r="E1" s="21">
        <v>5</v>
      </c>
      <c r="F1" s="21">
        <v>6</v>
      </c>
      <c r="G1" s="21">
        <v>7</v>
      </c>
      <c r="H1" s="21">
        <v>8</v>
      </c>
      <c r="I1" s="21">
        <v>9</v>
      </c>
      <c r="J1" s="21">
        <v>10</v>
      </c>
      <c r="K1" s="21">
        <v>11</v>
      </c>
      <c r="L1" s="21">
        <v>12</v>
      </c>
      <c r="M1" s="21">
        <v>13</v>
      </c>
      <c r="N1" s="21">
        <v>14</v>
      </c>
      <c r="O1" s="21">
        <v>15</v>
      </c>
      <c r="P1" s="37"/>
      <c r="Q1" s="37"/>
    </row>
    <row r="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2"/>
      <c r="Q2" s="42"/>
    </row>
    <row r="3" spans="1:17">
      <c r="A3" s="3">
        <v>2</v>
      </c>
      <c r="B3" s="3">
        <v>6</v>
      </c>
      <c r="C3" s="3">
        <v>7</v>
      </c>
      <c r="D3" s="3">
        <v>4</v>
      </c>
      <c r="E3" s="3">
        <v>6</v>
      </c>
      <c r="F3" s="3">
        <v>3</v>
      </c>
      <c r="G3" s="3">
        <v>5</v>
      </c>
      <c r="H3" s="3">
        <v>6</v>
      </c>
      <c r="I3" s="3">
        <v>5</v>
      </c>
      <c r="J3" s="3">
        <v>3</v>
      </c>
      <c r="K3" s="3">
        <v>3</v>
      </c>
      <c r="L3" s="3">
        <v>6</v>
      </c>
      <c r="M3" s="3">
        <v>5</v>
      </c>
      <c r="N3" s="3">
        <v>5</v>
      </c>
      <c r="O3" s="3">
        <v>6</v>
      </c>
      <c r="P3" s="37"/>
      <c r="Q3" s="37"/>
    </row>
    <row r="4" spans="1:17">
      <c r="A4" s="3" t="s">
        <v>8</v>
      </c>
      <c r="B4" s="3" t="s">
        <v>8</v>
      </c>
      <c r="C4" s="3" t="s">
        <v>7</v>
      </c>
      <c r="D4" s="3" t="s">
        <v>8</v>
      </c>
      <c r="E4" s="3" t="s">
        <v>8</v>
      </c>
      <c r="F4" s="3" t="s">
        <v>8</v>
      </c>
      <c r="G4" s="3" t="s">
        <v>7</v>
      </c>
      <c r="H4" s="3" t="s">
        <v>8</v>
      </c>
      <c r="I4" s="3" t="s">
        <v>7</v>
      </c>
      <c r="J4" s="3" t="s">
        <v>8</v>
      </c>
      <c r="K4" s="3" t="s">
        <v>7</v>
      </c>
      <c r="L4" s="3" t="s">
        <v>8</v>
      </c>
      <c r="M4" s="3" t="s">
        <v>7</v>
      </c>
      <c r="N4" s="3" t="s">
        <v>8</v>
      </c>
      <c r="O4" s="3" t="s">
        <v>8</v>
      </c>
      <c r="P4" s="37"/>
      <c r="Q4" s="37"/>
    </row>
    <row r="5" spans="1:17">
      <c r="A5" s="3" t="s">
        <v>10</v>
      </c>
      <c r="B5" s="3" t="s">
        <v>10</v>
      </c>
      <c r="C5" s="3" t="s">
        <v>10</v>
      </c>
      <c r="D5" s="3" t="s">
        <v>12</v>
      </c>
      <c r="E5" s="3" t="s">
        <v>12</v>
      </c>
      <c r="F5" s="3" t="s">
        <v>13</v>
      </c>
      <c r="G5" s="3" t="s">
        <v>13</v>
      </c>
      <c r="H5" s="3" t="s">
        <v>10</v>
      </c>
      <c r="I5" s="3" t="s">
        <v>10</v>
      </c>
      <c r="J5" s="3" t="s">
        <v>10</v>
      </c>
      <c r="K5" s="3" t="s">
        <v>14</v>
      </c>
      <c r="L5" s="3" t="s">
        <v>10</v>
      </c>
      <c r="M5" s="3" t="s">
        <v>10</v>
      </c>
      <c r="N5" s="3" t="s">
        <v>10</v>
      </c>
      <c r="O5" s="3" t="s">
        <v>10</v>
      </c>
      <c r="P5" s="37"/>
      <c r="Q5" s="37"/>
    </row>
    <row r="6" spans="1:1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7"/>
      <c r="Q6" s="37"/>
    </row>
    <row r="7" spans="1:17">
      <c r="A7" s="3" t="s">
        <v>183</v>
      </c>
      <c r="B7" s="3"/>
      <c r="C7" s="3" t="s">
        <v>184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7"/>
      <c r="Q7" s="37"/>
    </row>
    <row r="8" spans="1:17">
      <c r="A8" s="3" t="s">
        <v>183</v>
      </c>
      <c r="B8" s="3"/>
      <c r="C8" s="3" t="s">
        <v>184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7"/>
      <c r="Q8" s="37"/>
    </row>
    <row r="9" spans="1:1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37"/>
      <c r="Q9" s="37"/>
    </row>
    <row r="10" spans="1:17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37"/>
      <c r="Q10" s="37"/>
    </row>
    <row r="11" spans="1:17">
      <c r="A11" s="7">
        <v>1</v>
      </c>
      <c r="B11" s="7">
        <v>1</v>
      </c>
      <c r="C11" s="7">
        <v>1</v>
      </c>
      <c r="D11" s="7">
        <v>1.5</v>
      </c>
      <c r="E11" s="7">
        <v>1.5</v>
      </c>
      <c r="F11" s="7">
        <v>2</v>
      </c>
      <c r="G11" s="7">
        <v>2.5</v>
      </c>
      <c r="H11" s="7">
        <v>1</v>
      </c>
      <c r="I11" s="7">
        <v>1</v>
      </c>
      <c r="J11" s="7">
        <v>1.5</v>
      </c>
      <c r="K11" s="7">
        <v>2</v>
      </c>
      <c r="L11" s="7">
        <v>2</v>
      </c>
      <c r="M11" s="7">
        <v>2</v>
      </c>
      <c r="N11" s="7">
        <v>2</v>
      </c>
      <c r="O11" s="7">
        <v>2</v>
      </c>
      <c r="P11" s="37"/>
      <c r="Q11" s="37"/>
    </row>
    <row r="12" spans="1:17">
      <c r="A12" s="7">
        <v>1</v>
      </c>
      <c r="B12" s="7">
        <v>3</v>
      </c>
      <c r="C12" s="7"/>
      <c r="D12" s="7">
        <v>1.5</v>
      </c>
      <c r="E12" s="7">
        <v>1.5</v>
      </c>
      <c r="F12" s="7">
        <v>2</v>
      </c>
      <c r="G12" s="7">
        <v>3</v>
      </c>
      <c r="H12" s="7">
        <v>5</v>
      </c>
      <c r="I12" s="7">
        <v>3</v>
      </c>
      <c r="J12" s="7">
        <v>1.5</v>
      </c>
      <c r="K12" s="7">
        <v>2.5</v>
      </c>
      <c r="L12" s="7">
        <v>2</v>
      </c>
      <c r="M12" s="7">
        <v>3</v>
      </c>
      <c r="N12" s="7">
        <v>2</v>
      </c>
      <c r="O12" s="7">
        <v>3</v>
      </c>
      <c r="P12" s="37"/>
      <c r="Q12" s="37"/>
    </row>
    <row r="13" spans="1:1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37"/>
      <c r="Q13" s="37"/>
    </row>
    <row r="14" spans="1:17">
      <c r="A14" s="7"/>
      <c r="B14" s="7">
        <v>3</v>
      </c>
      <c r="C14" s="7">
        <v>1</v>
      </c>
      <c r="D14" s="7">
        <v>2</v>
      </c>
      <c r="E14" s="7">
        <v>3</v>
      </c>
      <c r="F14" s="7">
        <v>2.5</v>
      </c>
      <c r="G14" s="7">
        <v>3</v>
      </c>
      <c r="H14" s="7">
        <v>3</v>
      </c>
      <c r="I14" s="7">
        <v>3</v>
      </c>
      <c r="J14" s="7">
        <v>2</v>
      </c>
      <c r="K14" s="7">
        <v>2.5</v>
      </c>
      <c r="L14" s="7">
        <v>4</v>
      </c>
      <c r="M14" s="7">
        <v>3</v>
      </c>
      <c r="N14" s="7">
        <v>3</v>
      </c>
      <c r="O14" s="7">
        <v>3</v>
      </c>
      <c r="P14" s="37"/>
      <c r="Q14" s="37"/>
    </row>
    <row r="15" spans="1:17">
      <c r="A15" s="7"/>
      <c r="B15" s="7">
        <v>5</v>
      </c>
      <c r="C15" s="7"/>
      <c r="D15" s="7">
        <v>2</v>
      </c>
      <c r="E15" s="7">
        <v>2</v>
      </c>
      <c r="F15" s="7">
        <v>2.5</v>
      </c>
      <c r="G15" s="7">
        <v>4</v>
      </c>
      <c r="H15" s="7">
        <v>5</v>
      </c>
      <c r="I15" s="7">
        <v>5</v>
      </c>
      <c r="J15" s="7">
        <v>2</v>
      </c>
      <c r="K15" s="7">
        <v>3</v>
      </c>
      <c r="L15" s="7">
        <v>4</v>
      </c>
      <c r="M15" s="7">
        <v>4</v>
      </c>
      <c r="N15" s="7">
        <v>3</v>
      </c>
      <c r="O15" s="7">
        <v>5</v>
      </c>
      <c r="P15" s="37"/>
      <c r="Q15" s="37"/>
    </row>
    <row r="16" spans="1:1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37"/>
      <c r="Q16" s="37"/>
    </row>
    <row r="17" spans="1:17">
      <c r="A17" s="7">
        <v>2</v>
      </c>
      <c r="B17" s="7">
        <v>6</v>
      </c>
      <c r="C17" s="7">
        <v>7</v>
      </c>
      <c r="D17" s="7"/>
      <c r="E17" s="7"/>
      <c r="F17" s="7">
        <v>3</v>
      </c>
      <c r="G17" s="7">
        <v>5</v>
      </c>
      <c r="H17" s="7">
        <v>6</v>
      </c>
      <c r="I17" s="7">
        <v>5</v>
      </c>
      <c r="J17" s="7">
        <v>3</v>
      </c>
      <c r="K17" s="7">
        <v>3</v>
      </c>
      <c r="L17" s="7">
        <v>6</v>
      </c>
      <c r="M17" s="7">
        <v>5</v>
      </c>
      <c r="N17" s="7">
        <v>5</v>
      </c>
      <c r="O17" s="7">
        <v>6</v>
      </c>
      <c r="P17" s="37"/>
      <c r="Q17" s="37"/>
    </row>
    <row r="18" spans="1:17">
      <c r="A18" s="7"/>
      <c r="B18" s="7">
        <v>6</v>
      </c>
      <c r="C18" s="7"/>
      <c r="D18" s="7"/>
      <c r="E18" s="7"/>
      <c r="F18" s="7">
        <v>1</v>
      </c>
      <c r="G18" s="7"/>
      <c r="H18" s="7"/>
      <c r="I18" s="7"/>
      <c r="J18" s="7">
        <v>3</v>
      </c>
      <c r="K18" s="7"/>
      <c r="L18" s="7">
        <v>6</v>
      </c>
      <c r="M18" s="7">
        <v>5</v>
      </c>
      <c r="N18" s="7"/>
      <c r="O18" s="7"/>
      <c r="P18" s="37"/>
      <c r="Q18" s="37"/>
    </row>
    <row r="19" spans="1:1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7"/>
      <c r="Q19" s="37"/>
    </row>
    <row r="20" spans="1:17">
      <c r="A20" s="7"/>
      <c r="B20" s="7"/>
      <c r="C20" s="7">
        <v>1.5</v>
      </c>
      <c r="D20" s="7"/>
      <c r="E20" s="7"/>
      <c r="F20" s="7"/>
      <c r="G20" s="7"/>
      <c r="H20" s="7"/>
      <c r="I20" s="7"/>
      <c r="J20" s="7"/>
      <c r="K20" s="7"/>
      <c r="L20" s="7"/>
      <c r="M20" s="7">
        <v>1</v>
      </c>
      <c r="N20" s="7"/>
      <c r="O20" s="7"/>
      <c r="P20" s="37"/>
      <c r="Q20" s="37"/>
    </row>
    <row r="21" spans="1:17">
      <c r="A21" s="7"/>
      <c r="B21" s="7"/>
      <c r="C21" s="7"/>
      <c r="D21" s="7"/>
      <c r="E21" s="7"/>
      <c r="F21" s="7"/>
      <c r="G21" s="7"/>
      <c r="H21" s="7"/>
      <c r="I21" s="7"/>
      <c r="J21" s="7"/>
      <c r="K21" s="7">
        <v>1</v>
      </c>
      <c r="L21" s="7"/>
      <c r="M21" s="7">
        <v>1</v>
      </c>
      <c r="N21" s="7"/>
      <c r="O21" s="7"/>
      <c r="P21" s="37"/>
      <c r="Q21" s="37"/>
    </row>
    <row r="22" spans="1:17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37"/>
      <c r="Q22" s="37"/>
    </row>
    <row r="23" spans="1:17">
      <c r="A23" s="7"/>
      <c r="B23" s="7">
        <v>1</v>
      </c>
      <c r="C23" s="7"/>
      <c r="D23" s="7"/>
      <c r="E23" s="7"/>
      <c r="F23" s="7"/>
      <c r="G23" s="7"/>
      <c r="H23" s="7"/>
      <c r="I23" s="7">
        <v>2</v>
      </c>
      <c r="J23" s="7"/>
      <c r="K23" s="7"/>
      <c r="L23" s="7"/>
      <c r="M23" s="7">
        <v>1</v>
      </c>
      <c r="N23" s="7"/>
      <c r="O23" s="7"/>
      <c r="P23" s="37"/>
      <c r="Q23" s="37"/>
    </row>
    <row r="24" spans="1:17">
      <c r="A24" s="7"/>
      <c r="B24" s="7">
        <v>1</v>
      </c>
      <c r="C24" s="7">
        <v>1</v>
      </c>
      <c r="D24" s="7"/>
      <c r="E24" s="7"/>
      <c r="F24" s="7"/>
      <c r="G24" s="7"/>
      <c r="H24" s="7"/>
      <c r="I24" s="7">
        <v>2</v>
      </c>
      <c r="J24" s="7"/>
      <c r="K24" s="7"/>
      <c r="L24" s="7">
        <v>3</v>
      </c>
      <c r="M24" s="7">
        <v>1</v>
      </c>
      <c r="N24" s="7"/>
      <c r="O24" s="7"/>
      <c r="P24" s="37"/>
      <c r="Q24" s="37"/>
    </row>
    <row r="25" spans="1:1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37"/>
      <c r="Q25" s="37"/>
    </row>
    <row r="26" spans="1:17">
      <c r="A26" s="7"/>
      <c r="B26" s="7">
        <v>1</v>
      </c>
      <c r="C26" s="7"/>
      <c r="D26" s="7"/>
      <c r="E26" s="7"/>
      <c r="F26" s="7"/>
      <c r="G26" s="7"/>
      <c r="H26" s="7">
        <v>1</v>
      </c>
      <c r="I26" s="7"/>
      <c r="J26" s="7"/>
      <c r="K26" s="7"/>
      <c r="L26" s="7"/>
      <c r="M26" s="7"/>
      <c r="N26" s="7"/>
      <c r="O26" s="7"/>
      <c r="P26" s="37"/>
      <c r="Q26" s="37"/>
    </row>
    <row r="27" spans="1:17">
      <c r="A27" s="7"/>
      <c r="B27" s="7">
        <v>1</v>
      </c>
      <c r="C27" s="7"/>
      <c r="D27" s="7"/>
      <c r="E27" s="7"/>
      <c r="F27" s="7"/>
      <c r="G27" s="7"/>
      <c r="H27" s="7">
        <v>1</v>
      </c>
      <c r="I27" s="7"/>
      <c r="J27" s="7"/>
      <c r="K27" s="7"/>
      <c r="L27" s="7"/>
      <c r="M27" s="7"/>
      <c r="N27" s="7"/>
      <c r="O27" s="7"/>
      <c r="P27" s="37"/>
      <c r="Q27" s="37"/>
    </row>
    <row r="28" spans="1:17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36"/>
      <c r="Q28" s="36"/>
    </row>
    <row r="29" spans="1:17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36"/>
      <c r="Q29" s="36"/>
    </row>
    <row r="30" spans="1:17">
      <c r="A30" s="11">
        <v>30</v>
      </c>
      <c r="B30" s="11">
        <v>100</v>
      </c>
      <c r="C30" s="11">
        <v>100</v>
      </c>
      <c r="D30" s="11">
        <v>50</v>
      </c>
      <c r="E30" s="11">
        <v>50</v>
      </c>
      <c r="F30" s="11">
        <v>60</v>
      </c>
      <c r="G30" s="11">
        <v>60</v>
      </c>
      <c r="H30" s="11">
        <v>100</v>
      </c>
      <c r="I30" s="11">
        <v>100</v>
      </c>
      <c r="J30" s="11">
        <v>10</v>
      </c>
      <c r="K30" s="11">
        <v>75</v>
      </c>
      <c r="L30" s="11">
        <v>30</v>
      </c>
      <c r="M30" s="11">
        <v>80</v>
      </c>
      <c r="N30" s="11">
        <v>50</v>
      </c>
      <c r="O30" s="11">
        <v>100</v>
      </c>
      <c r="P30" s="37"/>
      <c r="Q30" s="37"/>
    </row>
    <row r="31" spans="1:17">
      <c r="A31" s="11">
        <v>70</v>
      </c>
      <c r="B31" s="11"/>
      <c r="C31" s="11"/>
      <c r="D31" s="11">
        <v>50</v>
      </c>
      <c r="E31" s="11">
        <v>50</v>
      </c>
      <c r="F31" s="11">
        <v>40</v>
      </c>
      <c r="G31" s="11">
        <v>40</v>
      </c>
      <c r="H31" s="11"/>
      <c r="I31" s="11"/>
      <c r="J31" s="11">
        <v>90</v>
      </c>
      <c r="K31" s="11">
        <v>25</v>
      </c>
      <c r="L31" s="11">
        <v>70</v>
      </c>
      <c r="M31" s="11">
        <v>20</v>
      </c>
      <c r="N31" s="11">
        <v>50</v>
      </c>
      <c r="O31" s="11"/>
      <c r="P31" s="37"/>
      <c r="Q31" s="37"/>
    </row>
    <row r="32" spans="1:17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37"/>
      <c r="Q32" s="37"/>
    </row>
    <row r="33" spans="1:17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37"/>
      <c r="Q33" s="37"/>
    </row>
    <row r="34" spans="1:17">
      <c r="A34" s="11"/>
      <c r="B34" s="11">
        <v>100</v>
      </c>
      <c r="C34" s="11"/>
      <c r="D34" s="11">
        <v>50</v>
      </c>
      <c r="E34" s="11">
        <v>50</v>
      </c>
      <c r="F34" s="11">
        <v>60</v>
      </c>
      <c r="G34" s="11">
        <v>40</v>
      </c>
      <c r="H34" s="11">
        <v>95</v>
      </c>
      <c r="I34" s="11">
        <v>95</v>
      </c>
      <c r="J34" s="11">
        <v>10</v>
      </c>
      <c r="K34" s="11">
        <v>50</v>
      </c>
      <c r="L34" s="11">
        <v>30</v>
      </c>
      <c r="M34" s="11">
        <v>50</v>
      </c>
      <c r="N34" s="11">
        <v>50</v>
      </c>
      <c r="O34" s="11">
        <v>80</v>
      </c>
      <c r="P34" s="37"/>
      <c r="Q34" s="37"/>
    </row>
    <row r="35" spans="1:17">
      <c r="A35" s="11">
        <v>100</v>
      </c>
      <c r="B35" s="11"/>
      <c r="C35" s="11">
        <v>100</v>
      </c>
      <c r="D35" s="11">
        <v>50</v>
      </c>
      <c r="E35" s="11">
        <v>50</v>
      </c>
      <c r="F35" s="11">
        <v>40</v>
      </c>
      <c r="G35" s="11">
        <v>60</v>
      </c>
      <c r="H35" s="11">
        <v>5</v>
      </c>
      <c r="I35" s="11">
        <v>5</v>
      </c>
      <c r="J35" s="11">
        <v>90</v>
      </c>
      <c r="K35" s="11">
        <v>50</v>
      </c>
      <c r="L35" s="11">
        <v>70</v>
      </c>
      <c r="M35" s="11">
        <v>50</v>
      </c>
      <c r="N35" s="11">
        <v>50</v>
      </c>
      <c r="O35" s="11">
        <v>20</v>
      </c>
      <c r="P35" s="37"/>
      <c r="Q35" s="37"/>
    </row>
    <row r="36" spans="1:17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37"/>
      <c r="Q36" s="37"/>
    </row>
    <row r="37" spans="1:1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37"/>
      <c r="Q37" s="37"/>
    </row>
    <row r="38" spans="1:17">
      <c r="A38" s="11"/>
      <c r="B38" s="11">
        <v>100</v>
      </c>
      <c r="C38" s="11"/>
      <c r="D38" s="11">
        <v>50</v>
      </c>
      <c r="E38" s="11">
        <v>60</v>
      </c>
      <c r="F38" s="11">
        <v>60</v>
      </c>
      <c r="G38" s="11">
        <v>60</v>
      </c>
      <c r="H38" s="11">
        <v>100</v>
      </c>
      <c r="I38" s="11">
        <v>100</v>
      </c>
      <c r="J38" s="11">
        <v>10</v>
      </c>
      <c r="K38" s="11">
        <v>75</v>
      </c>
      <c r="L38" s="11">
        <v>30</v>
      </c>
      <c r="M38" s="11">
        <v>50</v>
      </c>
      <c r="N38" s="11">
        <v>100</v>
      </c>
      <c r="O38" s="11">
        <v>100</v>
      </c>
      <c r="P38" s="37"/>
      <c r="Q38" s="37"/>
    </row>
    <row r="39" spans="1:17">
      <c r="A39" s="11">
        <v>100</v>
      </c>
      <c r="B39" s="11"/>
      <c r="C39" s="11">
        <v>100</v>
      </c>
      <c r="D39" s="11">
        <v>50</v>
      </c>
      <c r="E39" s="11">
        <v>40</v>
      </c>
      <c r="F39" s="11">
        <v>40</v>
      </c>
      <c r="G39" s="11">
        <v>40</v>
      </c>
      <c r="H39" s="11"/>
      <c r="I39" s="11"/>
      <c r="J39" s="11">
        <v>90</v>
      </c>
      <c r="K39" s="11">
        <v>25</v>
      </c>
      <c r="L39" s="11">
        <v>70</v>
      </c>
      <c r="M39" s="11">
        <v>50</v>
      </c>
      <c r="N39" s="11"/>
      <c r="O39" s="11"/>
      <c r="P39" s="37"/>
      <c r="Q39" s="37"/>
    </row>
    <row r="40" spans="1:17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37"/>
      <c r="Q40" s="37"/>
    </row>
    <row r="41" spans="1:17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37"/>
      <c r="Q41" s="37"/>
    </row>
    <row r="42" spans="1:17">
      <c r="A42" s="11"/>
      <c r="B42" s="11">
        <v>90</v>
      </c>
      <c r="C42" s="11">
        <v>100</v>
      </c>
      <c r="D42" s="11">
        <v>50</v>
      </c>
      <c r="E42" s="11">
        <v>50</v>
      </c>
      <c r="F42" s="11">
        <v>10</v>
      </c>
      <c r="G42" s="11">
        <v>30</v>
      </c>
      <c r="H42" s="11">
        <v>90</v>
      </c>
      <c r="I42" s="11">
        <v>90</v>
      </c>
      <c r="J42" s="11"/>
      <c r="K42" s="11"/>
      <c r="L42" s="11">
        <v>30</v>
      </c>
      <c r="M42" s="11"/>
      <c r="N42" s="11">
        <v>50</v>
      </c>
      <c r="O42" s="11">
        <v>50</v>
      </c>
      <c r="P42" s="37"/>
      <c r="Q42" s="37"/>
    </row>
    <row r="43" spans="1:17">
      <c r="A43" s="11"/>
      <c r="B43" s="11">
        <v>10</v>
      </c>
      <c r="C43" s="11"/>
      <c r="D43" s="11">
        <v>50</v>
      </c>
      <c r="E43" s="11">
        <v>50</v>
      </c>
      <c r="F43" s="11">
        <v>90</v>
      </c>
      <c r="G43" s="11">
        <v>70</v>
      </c>
      <c r="H43" s="11">
        <v>10</v>
      </c>
      <c r="I43" s="11">
        <v>10</v>
      </c>
      <c r="J43" s="11">
        <v>100</v>
      </c>
      <c r="K43" s="11"/>
      <c r="L43" s="11">
        <v>70</v>
      </c>
      <c r="M43" s="11">
        <v>100</v>
      </c>
      <c r="N43" s="11">
        <v>50</v>
      </c>
      <c r="O43" s="11">
        <v>50</v>
      </c>
      <c r="P43" s="37"/>
      <c r="Q43" s="37"/>
    </row>
    <row r="44" spans="1:17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37"/>
      <c r="Q44" s="37"/>
    </row>
    <row r="45" spans="1:17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37"/>
      <c r="Q45" s="37"/>
    </row>
    <row r="46" spans="1:17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37"/>
      <c r="Q46" s="37"/>
    </row>
    <row r="47" spans="1:17">
      <c r="A47" s="15"/>
      <c r="B47" s="15">
        <v>6</v>
      </c>
      <c r="C47" s="15">
        <v>6</v>
      </c>
      <c r="D47" s="15">
        <v>5</v>
      </c>
      <c r="E47" s="15">
        <v>5</v>
      </c>
      <c r="F47" s="15">
        <v>2</v>
      </c>
      <c r="G47" s="15">
        <v>3</v>
      </c>
      <c r="H47" s="15">
        <v>6</v>
      </c>
      <c r="I47" s="15">
        <v>6</v>
      </c>
      <c r="J47" s="15">
        <v>2</v>
      </c>
      <c r="K47" s="15">
        <v>4</v>
      </c>
      <c r="L47" s="15">
        <v>4</v>
      </c>
      <c r="M47" s="15">
        <v>5</v>
      </c>
      <c r="N47" s="15">
        <v>6</v>
      </c>
      <c r="O47" s="15">
        <v>6</v>
      </c>
      <c r="P47" s="36"/>
      <c r="Q47" s="36"/>
    </row>
    <row r="48" spans="1:17">
      <c r="A48" s="15"/>
      <c r="B48" s="15">
        <v>5</v>
      </c>
      <c r="C48" s="15">
        <v>6</v>
      </c>
      <c r="D48" s="15">
        <v>6</v>
      </c>
      <c r="E48" s="15">
        <v>6</v>
      </c>
      <c r="F48" s="15">
        <v>2</v>
      </c>
      <c r="G48" s="15">
        <v>4</v>
      </c>
      <c r="H48" s="15">
        <v>4</v>
      </c>
      <c r="I48" s="15">
        <v>4</v>
      </c>
      <c r="J48" s="15">
        <v>6</v>
      </c>
      <c r="K48" s="15">
        <v>4</v>
      </c>
      <c r="L48" s="15">
        <v>5</v>
      </c>
      <c r="M48" s="15">
        <v>4</v>
      </c>
      <c r="N48" s="15">
        <v>5</v>
      </c>
      <c r="O48" s="15">
        <v>5</v>
      </c>
      <c r="P48" s="36"/>
      <c r="Q48" s="36"/>
    </row>
    <row r="49" spans="1:17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36"/>
      <c r="Q49" s="36"/>
    </row>
    <row r="50" spans="1:17">
      <c r="A50" s="15">
        <v>6</v>
      </c>
      <c r="B50" s="15">
        <v>6</v>
      </c>
      <c r="C50" s="15">
        <v>6</v>
      </c>
      <c r="D50" s="15">
        <v>5</v>
      </c>
      <c r="E50" s="15">
        <v>5</v>
      </c>
      <c r="F50" s="15">
        <v>4</v>
      </c>
      <c r="G50" s="15">
        <v>3</v>
      </c>
      <c r="H50" s="15">
        <v>6</v>
      </c>
      <c r="I50" s="15">
        <v>6</v>
      </c>
      <c r="J50" s="15">
        <v>5</v>
      </c>
      <c r="K50" s="15">
        <v>6</v>
      </c>
      <c r="L50" s="15">
        <v>4</v>
      </c>
      <c r="M50" s="15">
        <v>4</v>
      </c>
      <c r="N50" s="15">
        <v>6</v>
      </c>
      <c r="O50" s="15">
        <v>6</v>
      </c>
      <c r="P50" s="37"/>
      <c r="Q50" s="37"/>
    </row>
    <row r="51" spans="1:17">
      <c r="A51" s="15">
        <v>6</v>
      </c>
      <c r="B51" s="15">
        <v>5</v>
      </c>
      <c r="C51" s="15">
        <v>6</v>
      </c>
      <c r="D51" s="15">
        <v>6</v>
      </c>
      <c r="E51" s="15">
        <v>6</v>
      </c>
      <c r="F51" s="15">
        <v>3</v>
      </c>
      <c r="G51" s="15">
        <v>4</v>
      </c>
      <c r="H51" s="15">
        <v>5</v>
      </c>
      <c r="I51" s="15">
        <v>5</v>
      </c>
      <c r="J51" s="15">
        <v>6</v>
      </c>
      <c r="K51" s="15">
        <v>6</v>
      </c>
      <c r="L51" s="15">
        <v>5</v>
      </c>
      <c r="M51" s="15">
        <v>4</v>
      </c>
      <c r="N51" s="15">
        <v>6</v>
      </c>
      <c r="O51" s="15">
        <v>5</v>
      </c>
      <c r="P51" s="37"/>
      <c r="Q51" s="37"/>
    </row>
    <row r="52" spans="1:17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37"/>
      <c r="Q52" s="37"/>
    </row>
    <row r="53" spans="1:17">
      <c r="A53" s="15"/>
      <c r="B53" s="15">
        <v>5</v>
      </c>
      <c r="C53" s="15">
        <v>1</v>
      </c>
      <c r="D53" s="15"/>
      <c r="E53" s="15">
        <v>1</v>
      </c>
      <c r="F53" s="15"/>
      <c r="G53" s="15"/>
      <c r="H53" s="15">
        <v>2</v>
      </c>
      <c r="I53" s="15"/>
      <c r="J53" s="15"/>
      <c r="K53" s="15"/>
      <c r="L53" s="15">
        <v>3</v>
      </c>
      <c r="M53" s="15"/>
      <c r="N53" s="15"/>
      <c r="O53" s="15"/>
      <c r="P53" s="37"/>
      <c r="Q53" s="37"/>
    </row>
    <row r="54" spans="1:17">
      <c r="A54" s="15"/>
      <c r="B54" s="15">
        <v>5</v>
      </c>
      <c r="C54" s="15">
        <v>1</v>
      </c>
      <c r="D54" s="15"/>
      <c r="E54" s="15">
        <v>1</v>
      </c>
      <c r="F54" s="15"/>
      <c r="G54" s="15"/>
      <c r="H54" s="15">
        <v>5</v>
      </c>
      <c r="I54" s="15"/>
      <c r="J54" s="15"/>
      <c r="K54" s="15"/>
      <c r="L54" s="15">
        <v>4</v>
      </c>
      <c r="M54" s="15"/>
      <c r="N54" s="15"/>
      <c r="O54" s="15"/>
      <c r="P54" s="37"/>
      <c r="Q54" s="37"/>
    </row>
    <row r="55" spans="1:17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37"/>
      <c r="Q55" s="37"/>
    </row>
    <row r="56" spans="1:17">
      <c r="A56" s="15"/>
      <c r="B56" s="15">
        <v>4</v>
      </c>
      <c r="C56" s="15">
        <v>6</v>
      </c>
      <c r="D56" s="15"/>
      <c r="E56" s="15">
        <v>1</v>
      </c>
      <c r="F56" s="15"/>
      <c r="G56" s="15"/>
      <c r="H56" s="15">
        <v>1</v>
      </c>
      <c r="I56" s="15"/>
      <c r="J56" s="15"/>
      <c r="K56" s="15"/>
      <c r="L56" s="15">
        <v>3</v>
      </c>
      <c r="M56" s="15"/>
      <c r="N56" s="15"/>
      <c r="O56" s="15"/>
      <c r="P56" s="37"/>
      <c r="Q56" s="37"/>
    </row>
    <row r="57" spans="1:17">
      <c r="A57" s="15"/>
      <c r="B57" s="15">
        <v>4</v>
      </c>
      <c r="C57" s="15">
        <v>1</v>
      </c>
      <c r="D57" s="15"/>
      <c r="E57" s="15">
        <v>1</v>
      </c>
      <c r="F57" s="15"/>
      <c r="G57" s="15"/>
      <c r="H57" s="15">
        <v>4</v>
      </c>
      <c r="I57" s="15"/>
      <c r="J57" s="15"/>
      <c r="K57" s="15"/>
      <c r="L57" s="15">
        <v>3</v>
      </c>
      <c r="M57" s="15"/>
      <c r="N57" s="15"/>
      <c r="O57" s="15"/>
      <c r="P57" s="37"/>
      <c r="Q57" s="37"/>
    </row>
    <row r="58" spans="1:17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37"/>
      <c r="Q58" s="37"/>
    </row>
    <row r="59" spans="1:17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37"/>
      <c r="Q59" s="37"/>
    </row>
    <row r="60" spans="1:17">
      <c r="A60" s="19">
        <v>3</v>
      </c>
      <c r="B60" s="19">
        <v>6</v>
      </c>
      <c r="C60" s="19">
        <v>6</v>
      </c>
      <c r="D60" s="19">
        <v>5</v>
      </c>
      <c r="E60" s="19">
        <v>4</v>
      </c>
      <c r="F60" s="19">
        <v>3</v>
      </c>
      <c r="G60" s="19">
        <v>2</v>
      </c>
      <c r="H60" s="19">
        <v>6</v>
      </c>
      <c r="I60" s="19">
        <v>6</v>
      </c>
      <c r="J60" s="19"/>
      <c r="K60" s="19">
        <v>5</v>
      </c>
      <c r="L60" s="19">
        <v>4</v>
      </c>
      <c r="M60" s="19">
        <v>2</v>
      </c>
      <c r="N60" s="19">
        <v>6</v>
      </c>
      <c r="O60" s="19">
        <v>5</v>
      </c>
      <c r="P60" s="37"/>
      <c r="Q60" s="37"/>
    </row>
    <row r="61" spans="1:17">
      <c r="A61" s="19">
        <v>3</v>
      </c>
      <c r="B61" s="19">
        <v>6</v>
      </c>
      <c r="C61" s="19">
        <v>6</v>
      </c>
      <c r="D61" s="19">
        <v>6</v>
      </c>
      <c r="E61" s="19">
        <v>6</v>
      </c>
      <c r="F61" s="19">
        <v>3</v>
      </c>
      <c r="G61" s="19">
        <v>3</v>
      </c>
      <c r="H61" s="19">
        <v>6</v>
      </c>
      <c r="I61" s="19">
        <v>4</v>
      </c>
      <c r="J61" s="19"/>
      <c r="K61" s="19">
        <v>5</v>
      </c>
      <c r="L61" s="19">
        <v>4</v>
      </c>
      <c r="M61" s="19">
        <v>2</v>
      </c>
      <c r="N61" s="19">
        <v>6</v>
      </c>
      <c r="O61" s="19">
        <v>5</v>
      </c>
      <c r="P61" s="37"/>
      <c r="Q61" s="37"/>
    </row>
    <row r="62" spans="1:17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37"/>
      <c r="Q62" s="37"/>
    </row>
    <row r="63" spans="1:17">
      <c r="A63" s="19"/>
      <c r="B63" s="19">
        <v>6</v>
      </c>
      <c r="C63" s="19">
        <v>6</v>
      </c>
      <c r="D63" s="19">
        <v>5</v>
      </c>
      <c r="E63" s="19">
        <v>4</v>
      </c>
      <c r="F63" s="19">
        <v>2</v>
      </c>
      <c r="G63" s="19">
        <v>2</v>
      </c>
      <c r="H63" s="19">
        <v>6</v>
      </c>
      <c r="I63" s="19">
        <v>6</v>
      </c>
      <c r="J63" s="19"/>
      <c r="K63" s="19"/>
      <c r="L63" s="19">
        <v>3</v>
      </c>
      <c r="M63" s="19">
        <v>2</v>
      </c>
      <c r="N63" s="19">
        <v>6</v>
      </c>
      <c r="O63" s="19">
        <v>5</v>
      </c>
      <c r="P63" s="36"/>
      <c r="Q63" s="36"/>
    </row>
    <row r="64" spans="1:17">
      <c r="A64" s="19"/>
      <c r="B64" s="19">
        <v>6</v>
      </c>
      <c r="C64" s="19">
        <v>6</v>
      </c>
      <c r="D64" s="19">
        <v>6</v>
      </c>
      <c r="E64" s="19">
        <v>6</v>
      </c>
      <c r="F64" s="19">
        <v>1</v>
      </c>
      <c r="G64" s="19">
        <v>1</v>
      </c>
      <c r="H64" s="19">
        <v>6</v>
      </c>
      <c r="I64" s="19">
        <v>4</v>
      </c>
      <c r="J64" s="19"/>
      <c r="K64" s="19"/>
      <c r="L64" s="19">
        <v>4</v>
      </c>
      <c r="M64" s="19">
        <v>2</v>
      </c>
      <c r="N64" s="19">
        <v>6</v>
      </c>
      <c r="O64" s="19">
        <v>5</v>
      </c>
      <c r="P64" s="36"/>
      <c r="Q64" s="36"/>
    </row>
    <row r="65" spans="1:17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37"/>
      <c r="Q65" s="37"/>
    </row>
    <row r="66" spans="1:17">
      <c r="A66" s="19"/>
      <c r="B66" s="19">
        <v>6</v>
      </c>
      <c r="C66" s="19">
        <v>6</v>
      </c>
      <c r="D66" s="19">
        <v>3</v>
      </c>
      <c r="E66" s="19">
        <v>6</v>
      </c>
      <c r="F66" s="19">
        <v>3</v>
      </c>
      <c r="G66" s="19">
        <v>1</v>
      </c>
      <c r="H66" s="19">
        <v>6</v>
      </c>
      <c r="I66" s="19">
        <v>6</v>
      </c>
      <c r="J66" s="19"/>
      <c r="K66" s="19">
        <v>4</v>
      </c>
      <c r="L66" s="19">
        <v>3</v>
      </c>
      <c r="M66" s="19">
        <v>3</v>
      </c>
      <c r="N66" s="19">
        <v>6</v>
      </c>
      <c r="O66" s="19">
        <v>6</v>
      </c>
      <c r="P66" s="37"/>
      <c r="Q66" s="37"/>
    </row>
    <row r="67" spans="1:17">
      <c r="A67" s="19">
        <v>6</v>
      </c>
      <c r="B67" s="19">
        <v>5</v>
      </c>
      <c r="C67" s="19">
        <v>6</v>
      </c>
      <c r="D67" s="19">
        <v>6</v>
      </c>
      <c r="E67" s="19">
        <v>5</v>
      </c>
      <c r="F67" s="19">
        <v>3</v>
      </c>
      <c r="G67" s="19">
        <v>2</v>
      </c>
      <c r="H67" s="19"/>
      <c r="I67" s="19"/>
      <c r="J67" s="19"/>
      <c r="K67" s="19">
        <v>5</v>
      </c>
      <c r="L67" s="19">
        <v>4</v>
      </c>
      <c r="M67" s="19">
        <v>3</v>
      </c>
      <c r="N67" s="19">
        <v>3</v>
      </c>
      <c r="O67" s="19"/>
      <c r="P67" s="37"/>
      <c r="Q67" s="37"/>
    </row>
    <row r="68" spans="1:17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37"/>
      <c r="Q68" s="37"/>
    </row>
    <row r="69" spans="1:17">
      <c r="A69" s="19"/>
      <c r="B69" s="19">
        <v>6</v>
      </c>
      <c r="C69" s="19">
        <v>6</v>
      </c>
      <c r="D69" s="19">
        <v>3</v>
      </c>
      <c r="E69" s="19">
        <v>5</v>
      </c>
      <c r="F69" s="19">
        <v>4</v>
      </c>
      <c r="G69" s="19">
        <v>2</v>
      </c>
      <c r="H69" s="19">
        <v>6</v>
      </c>
      <c r="I69" s="19">
        <v>6</v>
      </c>
      <c r="J69" s="19"/>
      <c r="K69" s="19">
        <v>5</v>
      </c>
      <c r="L69" s="19">
        <v>3</v>
      </c>
      <c r="M69" s="19"/>
      <c r="N69" s="19">
        <v>6</v>
      </c>
      <c r="O69" s="19">
        <v>6</v>
      </c>
      <c r="P69" s="37"/>
      <c r="Q69" s="37"/>
    </row>
    <row r="70" spans="1:17">
      <c r="A70" s="19">
        <v>6</v>
      </c>
      <c r="B70" s="19">
        <v>5</v>
      </c>
      <c r="C70" s="19">
        <v>6</v>
      </c>
      <c r="D70" s="19">
        <v>6</v>
      </c>
      <c r="E70" s="19">
        <v>5</v>
      </c>
      <c r="F70" s="19">
        <v>2</v>
      </c>
      <c r="G70" s="19">
        <v>3</v>
      </c>
      <c r="H70" s="19"/>
      <c r="I70" s="19"/>
      <c r="J70" s="19"/>
      <c r="K70" s="19">
        <v>5</v>
      </c>
      <c r="L70" s="19">
        <v>4</v>
      </c>
      <c r="M70" s="19">
        <v>3</v>
      </c>
      <c r="N70" s="19"/>
      <c r="O70" s="19"/>
      <c r="P70" s="37"/>
      <c r="Q70" s="37"/>
    </row>
    <row r="71" spans="1:17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37"/>
      <c r="Q71" s="37"/>
    </row>
    <row r="72" spans="1:17">
      <c r="A72" s="20"/>
      <c r="B72" s="20">
        <v>6</v>
      </c>
      <c r="C72" s="20">
        <v>6</v>
      </c>
      <c r="D72" s="20">
        <v>3</v>
      </c>
      <c r="E72" s="20">
        <v>5</v>
      </c>
      <c r="F72" s="20">
        <v>3</v>
      </c>
      <c r="G72" s="20">
        <v>5</v>
      </c>
      <c r="H72" s="20">
        <v>6</v>
      </c>
      <c r="I72" s="20">
        <v>6</v>
      </c>
      <c r="J72" s="20"/>
      <c r="K72" s="20">
        <v>5</v>
      </c>
      <c r="L72" s="20">
        <v>3</v>
      </c>
      <c r="M72" s="20"/>
      <c r="N72" s="20">
        <v>6</v>
      </c>
      <c r="O72" s="20">
        <v>6</v>
      </c>
      <c r="P72" s="37"/>
      <c r="Q72" s="37"/>
    </row>
    <row r="73" spans="1:17">
      <c r="A73" s="20">
        <v>6</v>
      </c>
      <c r="B73" s="20">
        <v>5</v>
      </c>
      <c r="C73" s="20">
        <v>6</v>
      </c>
      <c r="D73" s="20">
        <v>6</v>
      </c>
      <c r="E73" s="20">
        <v>5</v>
      </c>
      <c r="F73" s="20">
        <v>4</v>
      </c>
      <c r="G73" s="20">
        <v>3</v>
      </c>
      <c r="H73" s="20"/>
      <c r="I73" s="20"/>
      <c r="J73" s="20"/>
      <c r="K73" s="20">
        <v>5</v>
      </c>
      <c r="L73" s="20">
        <v>5</v>
      </c>
      <c r="M73" s="20">
        <v>3</v>
      </c>
      <c r="N73" s="20"/>
      <c r="O73" s="20"/>
      <c r="P73" s="37"/>
      <c r="Q73" s="37"/>
    </row>
    <row r="74" spans="1:17">
      <c r="P74" s="37"/>
      <c r="Q74" s="37"/>
    </row>
    <row r="75" spans="1:17">
      <c r="P75" s="37"/>
      <c r="Q75" s="37"/>
    </row>
    <row r="76" spans="1:17">
      <c r="A76" s="21">
        <f t="shared" ref="A76:O76" si="0">0.61*((15-ROUND(A11,0)) + (15-ROUND(A14,0)) + A17 + A20 + A23 + A26) + 0.136*(A30+A34+A38+A42) + 2.27*(A47+A50+A53+A56) + 1.8*(A60+A63+A66+A69+A72)</f>
        <v>42.01</v>
      </c>
      <c r="B76" s="21">
        <f t="shared" si="0"/>
        <v>175.45</v>
      </c>
      <c r="C76" s="21">
        <f t="shared" si="0"/>
        <v>146.595</v>
      </c>
      <c r="D76" s="21">
        <f t="shared" si="0"/>
        <v>99.960000000000008</v>
      </c>
      <c r="E76" s="21">
        <f t="shared" si="0"/>
        <v>114.25000000000001</v>
      </c>
      <c r="F76" s="21">
        <f t="shared" si="0"/>
        <v>83.54</v>
      </c>
      <c r="G76" s="21">
        <f t="shared" si="0"/>
        <v>78.75</v>
      </c>
      <c r="H76" s="21">
        <f t="shared" si="0"/>
        <v>160.54000000000002</v>
      </c>
      <c r="I76" s="21">
        <f t="shared" si="0"/>
        <v>153.73000000000002</v>
      </c>
      <c r="J76" s="21">
        <f t="shared" si="0"/>
        <v>37.660000000000004</v>
      </c>
      <c r="K76" s="21">
        <f t="shared" si="0"/>
        <v>101.18</v>
      </c>
      <c r="L76" s="21">
        <f t="shared" si="0"/>
        <v>95.2</v>
      </c>
      <c r="M76" s="21">
        <f t="shared" si="0"/>
        <v>77.03</v>
      </c>
      <c r="N76" s="21">
        <f t="shared" si="0"/>
        <v>133.54</v>
      </c>
      <c r="O76" s="21">
        <f t="shared" si="0"/>
        <v>141.43</v>
      </c>
      <c r="P76" s="37"/>
      <c r="Q76" s="37"/>
    </row>
    <row r="77" spans="1:17">
      <c r="A77" s="22">
        <f t="shared" ref="A77:O77" si="1">0.61*((15-ROUND(A12,0)) + (15-ROUND(A15,0)) + A18 + A21 + A24 + A27) + 0.136*(A31+A35+A39+A43) + 2.27*(A48+A51+A54+A57) + 1.8*(A61+A64+A67+A70+A73)</f>
        <v>105.83000000000001</v>
      </c>
      <c r="B77" s="22">
        <f t="shared" si="1"/>
        <v>111.39000000000001</v>
      </c>
      <c r="C77" s="22">
        <f t="shared" si="1"/>
        <v>131.88999999999999</v>
      </c>
      <c r="D77" s="22">
        <f t="shared" si="1"/>
        <v>124.30000000000001</v>
      </c>
      <c r="E77" s="22">
        <f t="shared" si="1"/>
        <v>122.08000000000001</v>
      </c>
      <c r="F77" s="22">
        <f t="shared" si="1"/>
        <v>79.17</v>
      </c>
      <c r="G77" s="22">
        <f t="shared" si="1"/>
        <v>82.35</v>
      </c>
      <c r="H77" s="22">
        <f t="shared" si="1"/>
        <v>77.31</v>
      </c>
      <c r="I77" s="22">
        <f t="shared" si="1"/>
        <v>51.51</v>
      </c>
      <c r="J77" s="22">
        <f t="shared" si="1"/>
        <v>95.25</v>
      </c>
      <c r="K77" s="22">
        <f t="shared" si="1"/>
        <v>87.55</v>
      </c>
      <c r="L77" s="22">
        <f t="shared" si="1"/>
        <v>134.60000000000002</v>
      </c>
      <c r="M77" s="22">
        <f t="shared" si="1"/>
        <v>89.78</v>
      </c>
      <c r="N77" s="22">
        <f t="shared" si="1"/>
        <v>87.62</v>
      </c>
      <c r="O77" s="22">
        <f t="shared" si="1"/>
        <v>63.64</v>
      </c>
      <c r="P77" s="37"/>
      <c r="Q77" s="37"/>
    </row>
    <row r="78" spans="1:17">
      <c r="A78" s="24">
        <f>A76-A77</f>
        <v>-63.820000000000014</v>
      </c>
      <c r="B78" s="24">
        <f t="shared" ref="B78:O78" si="2">B76-B77</f>
        <v>64.059999999999974</v>
      </c>
      <c r="C78" s="24">
        <f t="shared" si="2"/>
        <v>14.705000000000013</v>
      </c>
      <c r="D78" s="24">
        <f t="shared" si="2"/>
        <v>-24.340000000000003</v>
      </c>
      <c r="E78" s="24">
        <f t="shared" si="2"/>
        <v>-7.8299999999999983</v>
      </c>
      <c r="F78" s="24">
        <f t="shared" si="2"/>
        <v>4.3700000000000045</v>
      </c>
      <c r="G78" s="24">
        <f t="shared" si="2"/>
        <v>-3.5999999999999943</v>
      </c>
      <c r="H78" s="24">
        <f t="shared" si="2"/>
        <v>83.230000000000018</v>
      </c>
      <c r="I78" s="24">
        <f t="shared" si="2"/>
        <v>102.22000000000003</v>
      </c>
      <c r="J78" s="24">
        <f t="shared" si="2"/>
        <v>-57.589999999999996</v>
      </c>
      <c r="K78" s="24">
        <f t="shared" si="2"/>
        <v>13.63000000000001</v>
      </c>
      <c r="L78" s="24">
        <f t="shared" si="2"/>
        <v>-39.40000000000002</v>
      </c>
      <c r="M78" s="24">
        <f t="shared" si="2"/>
        <v>-12.75</v>
      </c>
      <c r="N78" s="24">
        <f t="shared" si="2"/>
        <v>45.919999999999987</v>
      </c>
      <c r="O78" s="24">
        <f t="shared" si="2"/>
        <v>77.790000000000006</v>
      </c>
      <c r="P78" s="37"/>
      <c r="Q78" s="37"/>
    </row>
    <row r="79" spans="1:17">
      <c r="P79" s="37"/>
      <c r="Q79" s="37"/>
    </row>
    <row r="80" spans="1:17">
      <c r="A80" s="21" t="s">
        <v>16</v>
      </c>
      <c r="B80" s="21">
        <f>AVERAGE(A78:O78)</f>
        <v>13.106333333333335</v>
      </c>
      <c r="P80" s="37"/>
      <c r="Q80" s="37"/>
    </row>
    <row r="81" spans="1:17">
      <c r="A81" s="21" t="s">
        <v>61</v>
      </c>
      <c r="B81" s="21">
        <f>MEDIAN(A78:O78)</f>
        <v>4.3700000000000045</v>
      </c>
      <c r="P81" s="36"/>
      <c r="Q81" s="36"/>
    </row>
    <row r="82" spans="1:17">
      <c r="P82" s="36"/>
      <c r="Q82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82"/>
  <sheetViews>
    <sheetView zoomScale="114" zoomScaleNormal="30" workbookViewId="0">
      <selection activeCell="A2" sqref="A2"/>
    </sheetView>
  </sheetViews>
  <sheetFormatPr defaultColWidth="12.5546875" defaultRowHeight="15.75" customHeight="1"/>
  <sheetData>
    <row r="1" spans="1:20">
      <c r="A1" s="21">
        <v>1</v>
      </c>
      <c r="B1" s="21">
        <v>2</v>
      </c>
      <c r="C1" s="21">
        <v>3</v>
      </c>
      <c r="D1" s="21">
        <v>4</v>
      </c>
      <c r="E1" s="21">
        <v>5</v>
      </c>
      <c r="F1" s="21">
        <v>6</v>
      </c>
      <c r="G1" s="21">
        <v>7</v>
      </c>
      <c r="H1" s="21">
        <v>8</v>
      </c>
      <c r="I1" s="21">
        <v>9</v>
      </c>
      <c r="J1" s="21">
        <v>10</v>
      </c>
      <c r="K1" s="21">
        <v>11</v>
      </c>
      <c r="L1" s="21">
        <v>12</v>
      </c>
      <c r="M1" s="21">
        <v>13</v>
      </c>
      <c r="N1" s="21">
        <v>14</v>
      </c>
      <c r="O1" s="21">
        <v>15</v>
      </c>
      <c r="P1" s="21">
        <v>16</v>
      </c>
      <c r="Q1" s="21">
        <v>17</v>
      </c>
      <c r="R1" s="21">
        <v>18</v>
      </c>
      <c r="S1" s="37"/>
      <c r="T1" s="37"/>
    </row>
    <row r="2" spans="1:2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2"/>
      <c r="T2" s="42"/>
    </row>
    <row r="3" spans="1:20">
      <c r="A3" s="3">
        <v>8</v>
      </c>
      <c r="B3" s="3">
        <v>12</v>
      </c>
      <c r="C3" s="3">
        <v>8</v>
      </c>
      <c r="D3" s="3">
        <v>12</v>
      </c>
      <c r="E3" s="3">
        <v>12</v>
      </c>
      <c r="F3" s="3">
        <v>10</v>
      </c>
      <c r="G3" s="3">
        <v>11</v>
      </c>
      <c r="H3" s="3">
        <v>8</v>
      </c>
      <c r="I3" s="3">
        <v>9</v>
      </c>
      <c r="J3" s="3">
        <v>12</v>
      </c>
      <c r="K3" s="3">
        <v>8</v>
      </c>
      <c r="L3" s="3">
        <v>10</v>
      </c>
      <c r="M3" s="3">
        <v>10</v>
      </c>
      <c r="N3" s="3">
        <v>12</v>
      </c>
      <c r="O3" s="3">
        <v>8</v>
      </c>
      <c r="P3" s="3">
        <v>10</v>
      </c>
      <c r="Q3" s="3">
        <v>8</v>
      </c>
      <c r="R3" s="3">
        <v>12</v>
      </c>
      <c r="S3" s="37"/>
      <c r="T3" s="37"/>
    </row>
    <row r="4" spans="1:20">
      <c r="A4" s="3" t="s">
        <v>8</v>
      </c>
      <c r="B4" s="3" t="s">
        <v>7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7</v>
      </c>
      <c r="H4" s="3" t="s">
        <v>7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7</v>
      </c>
      <c r="O4" s="3" t="s">
        <v>7</v>
      </c>
      <c r="P4" s="3" t="s">
        <v>7</v>
      </c>
      <c r="Q4" s="3" t="s">
        <v>8</v>
      </c>
      <c r="R4" s="3" t="s">
        <v>8</v>
      </c>
      <c r="S4" s="37"/>
      <c r="T4" s="37"/>
    </row>
    <row r="5" spans="1:20">
      <c r="A5" s="3" t="s">
        <v>10</v>
      </c>
      <c r="B5" s="3" t="s">
        <v>13</v>
      </c>
      <c r="C5" s="3" t="s">
        <v>10</v>
      </c>
      <c r="D5" s="3" t="s">
        <v>12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7"/>
      <c r="T5" s="37"/>
    </row>
    <row r="6" spans="1:2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7"/>
      <c r="T6" s="37"/>
    </row>
    <row r="7" spans="1:20">
      <c r="A7" s="3" t="s">
        <v>183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7"/>
      <c r="T7" s="37"/>
    </row>
    <row r="8" spans="1:20">
      <c r="A8" s="3" t="s">
        <v>183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7"/>
      <c r="T8" s="37"/>
    </row>
    <row r="9" spans="1:20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37"/>
      <c r="T9" s="37"/>
    </row>
    <row r="10" spans="1:2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37"/>
      <c r="T10" s="37"/>
    </row>
    <row r="11" spans="1:20">
      <c r="A11" s="7">
        <v>1</v>
      </c>
      <c r="B11" s="7">
        <v>1</v>
      </c>
      <c r="C11" s="7">
        <v>1</v>
      </c>
      <c r="D11" s="7">
        <v>1.5</v>
      </c>
      <c r="E11" s="7">
        <v>2</v>
      </c>
      <c r="F11" s="7">
        <v>1.5</v>
      </c>
      <c r="G11" s="7">
        <v>1</v>
      </c>
      <c r="H11" s="7">
        <v>2.5</v>
      </c>
      <c r="I11" s="7">
        <v>2</v>
      </c>
      <c r="J11" s="7">
        <v>1</v>
      </c>
      <c r="K11" s="7">
        <v>1</v>
      </c>
      <c r="L11" s="7">
        <v>2</v>
      </c>
      <c r="M11" s="7">
        <v>2</v>
      </c>
      <c r="N11" s="7">
        <v>2</v>
      </c>
      <c r="O11" s="7">
        <v>2</v>
      </c>
      <c r="P11" s="7">
        <v>2</v>
      </c>
      <c r="Q11" s="7">
        <v>1</v>
      </c>
      <c r="R11" s="7">
        <v>1</v>
      </c>
      <c r="S11" s="37"/>
      <c r="T11" s="37"/>
    </row>
    <row r="12" spans="1:20">
      <c r="A12" s="7">
        <v>4</v>
      </c>
      <c r="B12" s="7">
        <v>1</v>
      </c>
      <c r="C12" s="7">
        <v>5</v>
      </c>
      <c r="D12" s="7">
        <v>1.5</v>
      </c>
      <c r="E12" s="7">
        <v>2</v>
      </c>
      <c r="F12" s="7">
        <v>3</v>
      </c>
      <c r="G12" s="7">
        <v>2</v>
      </c>
      <c r="H12" s="7">
        <v>3</v>
      </c>
      <c r="I12" s="7">
        <v>4</v>
      </c>
      <c r="J12" s="7"/>
      <c r="K12" s="7">
        <v>1</v>
      </c>
      <c r="L12" s="7">
        <v>2</v>
      </c>
      <c r="M12" s="7">
        <v>2</v>
      </c>
      <c r="N12" s="7">
        <v>2</v>
      </c>
      <c r="O12" s="7">
        <v>3</v>
      </c>
      <c r="P12" s="7">
        <v>3</v>
      </c>
      <c r="Q12" s="7">
        <v>1</v>
      </c>
      <c r="R12" s="7">
        <v>2</v>
      </c>
      <c r="S12" s="37"/>
      <c r="T12" s="37"/>
    </row>
    <row r="13" spans="1:20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7"/>
      <c r="T13" s="37"/>
    </row>
    <row r="14" spans="1:20">
      <c r="A14" s="7"/>
      <c r="B14" s="7">
        <v>3</v>
      </c>
      <c r="C14" s="7">
        <v>3</v>
      </c>
      <c r="D14" s="7">
        <v>2</v>
      </c>
      <c r="E14" s="7">
        <v>6</v>
      </c>
      <c r="F14" s="7">
        <v>2</v>
      </c>
      <c r="G14" s="7">
        <v>2</v>
      </c>
      <c r="H14" s="7">
        <v>3</v>
      </c>
      <c r="I14" s="7">
        <v>5</v>
      </c>
      <c r="J14" s="7">
        <v>1</v>
      </c>
      <c r="K14" s="7">
        <v>1</v>
      </c>
      <c r="L14" s="7">
        <v>4</v>
      </c>
      <c r="M14" s="7">
        <v>4</v>
      </c>
      <c r="N14" s="7">
        <v>4</v>
      </c>
      <c r="O14" s="7">
        <v>3</v>
      </c>
      <c r="P14" s="7">
        <v>3</v>
      </c>
      <c r="Q14" s="7">
        <v>2</v>
      </c>
      <c r="R14" s="7">
        <v>2</v>
      </c>
      <c r="S14" s="37"/>
      <c r="T14" s="37"/>
    </row>
    <row r="15" spans="1:20">
      <c r="A15" s="7"/>
      <c r="B15" s="7">
        <v>3</v>
      </c>
      <c r="C15" s="7">
        <v>7</v>
      </c>
      <c r="D15" s="7">
        <v>2</v>
      </c>
      <c r="E15" s="7">
        <v>4</v>
      </c>
      <c r="F15" s="7">
        <v>5</v>
      </c>
      <c r="G15" s="7">
        <v>2</v>
      </c>
      <c r="H15" s="7">
        <v>4</v>
      </c>
      <c r="I15" s="7">
        <v>5</v>
      </c>
      <c r="J15" s="7"/>
      <c r="K15" s="7">
        <v>1</v>
      </c>
      <c r="L15" s="7">
        <v>4</v>
      </c>
      <c r="M15" s="7">
        <v>4</v>
      </c>
      <c r="N15" s="7">
        <v>4</v>
      </c>
      <c r="O15" s="7">
        <v>4</v>
      </c>
      <c r="P15" s="7">
        <v>4</v>
      </c>
      <c r="Q15" s="7">
        <v>2</v>
      </c>
      <c r="R15" s="7">
        <v>3</v>
      </c>
      <c r="S15" s="37"/>
      <c r="T15" s="37"/>
    </row>
    <row r="16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37"/>
      <c r="T16" s="37"/>
    </row>
    <row r="17" spans="1:20">
      <c r="A17" s="7">
        <v>8</v>
      </c>
      <c r="B17" s="7">
        <v>5</v>
      </c>
      <c r="C17" s="7">
        <v>8</v>
      </c>
      <c r="D17" s="7"/>
      <c r="E17" s="7">
        <v>1</v>
      </c>
      <c r="F17" s="7">
        <v>10</v>
      </c>
      <c r="G17" s="7">
        <v>11</v>
      </c>
      <c r="H17" s="7">
        <v>8</v>
      </c>
      <c r="I17" s="7">
        <v>9</v>
      </c>
      <c r="J17" s="7">
        <v>12</v>
      </c>
      <c r="K17" s="7">
        <v>8</v>
      </c>
      <c r="L17" s="7">
        <v>10</v>
      </c>
      <c r="M17" s="7">
        <v>10</v>
      </c>
      <c r="N17" s="7">
        <v>12</v>
      </c>
      <c r="O17" s="7">
        <v>8</v>
      </c>
      <c r="P17" s="7">
        <v>10</v>
      </c>
      <c r="Q17" s="7">
        <v>8</v>
      </c>
      <c r="R17" s="7">
        <v>12</v>
      </c>
      <c r="S17" s="37"/>
      <c r="T17" s="37"/>
    </row>
    <row r="18" spans="1:20">
      <c r="A18" s="7"/>
      <c r="B18" s="7">
        <v>8</v>
      </c>
      <c r="C18" s="7">
        <v>1</v>
      </c>
      <c r="D18" s="7"/>
      <c r="E18" s="7">
        <v>11</v>
      </c>
      <c r="F18" s="7"/>
      <c r="G18" s="7">
        <v>11</v>
      </c>
      <c r="H18" s="7"/>
      <c r="I18" s="7"/>
      <c r="J18" s="7">
        <v>12</v>
      </c>
      <c r="K18" s="7">
        <v>8</v>
      </c>
      <c r="L18" s="7">
        <v>10</v>
      </c>
      <c r="M18" s="7">
        <v>10</v>
      </c>
      <c r="N18" s="7">
        <v>12</v>
      </c>
      <c r="O18" s="7">
        <v>8</v>
      </c>
      <c r="P18" s="7">
        <v>10</v>
      </c>
      <c r="Q18" s="7"/>
      <c r="R18" s="7"/>
      <c r="S18" s="37"/>
      <c r="T18" s="37"/>
    </row>
    <row r="19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37"/>
      <c r="T19" s="37"/>
    </row>
    <row r="20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37"/>
      <c r="T20" s="37"/>
    </row>
    <row r="21" spans="1:20">
      <c r="A21" s="7"/>
      <c r="B21" s="7"/>
      <c r="C21" s="7"/>
      <c r="D21" s="7"/>
      <c r="E21" s="7">
        <v>2</v>
      </c>
      <c r="F21" s="7"/>
      <c r="G21" s="7">
        <v>3</v>
      </c>
      <c r="H21" s="7">
        <v>3</v>
      </c>
      <c r="I21" s="7">
        <v>3</v>
      </c>
      <c r="J21" s="7"/>
      <c r="K21" s="7"/>
      <c r="L21" s="7"/>
      <c r="M21" s="7"/>
      <c r="N21" s="7"/>
      <c r="O21" s="7"/>
      <c r="P21" s="7"/>
      <c r="Q21" s="7"/>
      <c r="R21" s="7"/>
      <c r="S21" s="37"/>
      <c r="T21" s="37"/>
    </row>
    <row r="22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37"/>
      <c r="T22" s="37"/>
    </row>
    <row r="23" spans="1:2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>
        <v>2</v>
      </c>
      <c r="P23" s="7"/>
      <c r="Q23" s="7"/>
      <c r="R23" s="7"/>
      <c r="S23" s="37"/>
      <c r="T23" s="37"/>
    </row>
    <row r="24" spans="1:20">
      <c r="A24" s="7"/>
      <c r="B24" s="7">
        <v>1</v>
      </c>
      <c r="C24" s="7"/>
      <c r="D24" s="7">
        <v>2</v>
      </c>
      <c r="E24" s="7">
        <v>4</v>
      </c>
      <c r="F24" s="7"/>
      <c r="G24" s="7">
        <v>3</v>
      </c>
      <c r="H24" s="7">
        <v>3</v>
      </c>
      <c r="I24" s="7">
        <v>3</v>
      </c>
      <c r="J24" s="7"/>
      <c r="K24" s="7"/>
      <c r="L24" s="7"/>
      <c r="M24" s="7"/>
      <c r="N24" s="7"/>
      <c r="O24" s="7">
        <v>2</v>
      </c>
      <c r="P24" s="7"/>
      <c r="Q24" s="7"/>
      <c r="R24" s="7"/>
      <c r="S24" s="37"/>
      <c r="T24" s="37"/>
    </row>
    <row r="25" spans="1:2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37"/>
      <c r="T25" s="37"/>
    </row>
    <row r="26" spans="1:20">
      <c r="A26" s="7"/>
      <c r="B26" s="7"/>
      <c r="C26" s="7">
        <v>3</v>
      </c>
      <c r="D26" s="7"/>
      <c r="E26" s="7"/>
      <c r="F26" s="7">
        <v>3</v>
      </c>
      <c r="G26" s="7">
        <v>5</v>
      </c>
      <c r="H26" s="7"/>
      <c r="I26" s="7"/>
      <c r="J26" s="7">
        <v>6</v>
      </c>
      <c r="K26" s="7"/>
      <c r="L26" s="7"/>
      <c r="M26" s="7"/>
      <c r="N26" s="7"/>
      <c r="O26" s="7">
        <v>2</v>
      </c>
      <c r="P26" s="7">
        <v>5</v>
      </c>
      <c r="Q26" s="7"/>
      <c r="R26" s="7">
        <v>5</v>
      </c>
      <c r="S26" s="37"/>
      <c r="T26" s="37"/>
    </row>
    <row r="27" spans="1:20">
      <c r="A27" s="7">
        <v>2</v>
      </c>
      <c r="B27" s="7">
        <v>6</v>
      </c>
      <c r="C27" s="7">
        <v>3</v>
      </c>
      <c r="D27" s="7">
        <v>5</v>
      </c>
      <c r="E27" s="7">
        <v>6</v>
      </c>
      <c r="F27" s="7">
        <v>5</v>
      </c>
      <c r="G27" s="7">
        <v>5</v>
      </c>
      <c r="H27" s="7">
        <v>2</v>
      </c>
      <c r="I27" s="7">
        <v>3</v>
      </c>
      <c r="J27" s="7">
        <v>6</v>
      </c>
      <c r="K27" s="7"/>
      <c r="L27" s="7">
        <v>3</v>
      </c>
      <c r="M27" s="7">
        <v>3</v>
      </c>
      <c r="N27" s="7">
        <v>5</v>
      </c>
      <c r="O27" s="7">
        <v>2</v>
      </c>
      <c r="P27" s="7">
        <v>5</v>
      </c>
      <c r="Q27" s="7">
        <v>2</v>
      </c>
      <c r="R27" s="7">
        <v>6</v>
      </c>
      <c r="S27" s="37"/>
      <c r="T27" s="37"/>
    </row>
    <row r="28" spans="1:2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36"/>
      <c r="T28" s="36"/>
    </row>
    <row r="29" spans="1:2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36"/>
      <c r="T29" s="36"/>
    </row>
    <row r="30" spans="1:20">
      <c r="A30" s="11"/>
      <c r="B30" s="11">
        <v>10</v>
      </c>
      <c r="C30" s="11">
        <v>60</v>
      </c>
      <c r="D30" s="11">
        <v>50</v>
      </c>
      <c r="E30" s="11">
        <v>70</v>
      </c>
      <c r="F30" s="11">
        <v>95</v>
      </c>
      <c r="G30" s="11">
        <v>50</v>
      </c>
      <c r="H30" s="11">
        <v>100</v>
      </c>
      <c r="I30" s="11">
        <v>100</v>
      </c>
      <c r="J30" s="11">
        <v>70</v>
      </c>
      <c r="K30" s="11">
        <v>50</v>
      </c>
      <c r="L30" s="11">
        <v>35</v>
      </c>
      <c r="M30" s="11">
        <v>35</v>
      </c>
      <c r="N30" s="11">
        <v>40</v>
      </c>
      <c r="O30" s="11">
        <v>50</v>
      </c>
      <c r="P30" s="11">
        <v>70</v>
      </c>
      <c r="Q30" s="11">
        <v>80</v>
      </c>
      <c r="R30" s="11">
        <v>70</v>
      </c>
      <c r="S30" s="37"/>
      <c r="T30" s="37"/>
    </row>
    <row r="31" spans="1:20">
      <c r="A31" s="11">
        <v>100</v>
      </c>
      <c r="B31" s="11">
        <v>87</v>
      </c>
      <c r="C31" s="11">
        <v>40</v>
      </c>
      <c r="D31" s="11">
        <v>50</v>
      </c>
      <c r="E31" s="11">
        <v>30</v>
      </c>
      <c r="F31" s="11">
        <v>5</v>
      </c>
      <c r="G31" s="11">
        <v>50</v>
      </c>
      <c r="H31" s="11"/>
      <c r="I31" s="11"/>
      <c r="J31" s="11">
        <v>30</v>
      </c>
      <c r="K31" s="11">
        <v>50</v>
      </c>
      <c r="L31" s="11">
        <v>65</v>
      </c>
      <c r="M31" s="11">
        <v>65</v>
      </c>
      <c r="N31" s="11">
        <v>60</v>
      </c>
      <c r="O31" s="11">
        <v>50</v>
      </c>
      <c r="P31" s="11">
        <v>30</v>
      </c>
      <c r="Q31" s="11">
        <v>20</v>
      </c>
      <c r="R31" s="11">
        <v>30</v>
      </c>
      <c r="S31" s="37"/>
      <c r="T31" s="37"/>
    </row>
    <row r="32" spans="1:20">
      <c r="A32" s="11"/>
      <c r="B32" s="11">
        <v>3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37"/>
      <c r="T32" s="37"/>
    </row>
    <row r="33" spans="1:2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37"/>
      <c r="T33" s="37"/>
    </row>
    <row r="34" spans="1:20">
      <c r="A34" s="11"/>
      <c r="B34" s="11">
        <v>24</v>
      </c>
      <c r="C34" s="11">
        <v>70</v>
      </c>
      <c r="D34" s="11">
        <v>50</v>
      </c>
      <c r="E34" s="11">
        <v>70</v>
      </c>
      <c r="F34" s="11">
        <v>80</v>
      </c>
      <c r="G34" s="11">
        <v>10</v>
      </c>
      <c r="H34" s="11">
        <v>100</v>
      </c>
      <c r="I34" s="11">
        <v>100</v>
      </c>
      <c r="J34" s="11">
        <v>60</v>
      </c>
      <c r="K34" s="11">
        <v>50</v>
      </c>
      <c r="L34" s="11">
        <v>35</v>
      </c>
      <c r="M34" s="11">
        <v>35</v>
      </c>
      <c r="N34" s="11">
        <v>40</v>
      </c>
      <c r="O34" s="11">
        <v>75</v>
      </c>
      <c r="P34" s="11">
        <v>50</v>
      </c>
      <c r="Q34" s="11">
        <v>100</v>
      </c>
      <c r="R34" s="11">
        <v>50</v>
      </c>
      <c r="S34" s="37"/>
      <c r="T34" s="37"/>
    </row>
    <row r="35" spans="1:20">
      <c r="A35" s="11">
        <v>100</v>
      </c>
      <c r="B35" s="11">
        <v>75</v>
      </c>
      <c r="C35" s="11">
        <v>30</v>
      </c>
      <c r="D35" s="11">
        <v>50</v>
      </c>
      <c r="E35" s="11">
        <v>30</v>
      </c>
      <c r="F35" s="11">
        <v>20</v>
      </c>
      <c r="G35" s="11">
        <v>90</v>
      </c>
      <c r="H35" s="11"/>
      <c r="I35" s="11"/>
      <c r="J35" s="11">
        <v>40</v>
      </c>
      <c r="K35" s="11">
        <v>50</v>
      </c>
      <c r="L35" s="11">
        <v>65</v>
      </c>
      <c r="M35" s="11">
        <v>65</v>
      </c>
      <c r="N35" s="11">
        <v>60</v>
      </c>
      <c r="O35" s="11">
        <v>25</v>
      </c>
      <c r="P35" s="11">
        <v>50</v>
      </c>
      <c r="Q35" s="11"/>
      <c r="R35" s="11">
        <v>50</v>
      </c>
      <c r="S35" s="37"/>
      <c r="T35" s="37"/>
    </row>
    <row r="36" spans="1:20">
      <c r="A36" s="11"/>
      <c r="B36" s="11">
        <v>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37"/>
      <c r="T36" s="37"/>
    </row>
    <row r="37" spans="1:2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37"/>
      <c r="T37" s="37"/>
    </row>
    <row r="38" spans="1:20">
      <c r="A38" s="11"/>
      <c r="B38" s="11">
        <v>75</v>
      </c>
      <c r="C38" s="11">
        <v>30</v>
      </c>
      <c r="D38" s="11">
        <v>60</v>
      </c>
      <c r="E38" s="11">
        <v>80</v>
      </c>
      <c r="F38" s="11">
        <v>100</v>
      </c>
      <c r="G38" s="11">
        <v>50</v>
      </c>
      <c r="H38" s="11">
        <v>100</v>
      </c>
      <c r="I38" s="11">
        <v>100</v>
      </c>
      <c r="J38" s="11">
        <v>70</v>
      </c>
      <c r="K38" s="11">
        <v>50</v>
      </c>
      <c r="L38" s="11">
        <v>30</v>
      </c>
      <c r="M38" s="11">
        <v>30</v>
      </c>
      <c r="N38" s="11">
        <v>30</v>
      </c>
      <c r="O38" s="11">
        <v>60</v>
      </c>
      <c r="P38" s="11">
        <v>40</v>
      </c>
      <c r="Q38" s="11">
        <v>100</v>
      </c>
      <c r="R38" s="11">
        <v>100</v>
      </c>
      <c r="S38" s="37"/>
      <c r="T38" s="37"/>
    </row>
    <row r="39" spans="1:20">
      <c r="A39" s="11">
        <v>100</v>
      </c>
      <c r="B39" s="11">
        <v>25</v>
      </c>
      <c r="C39" s="11">
        <v>70</v>
      </c>
      <c r="D39" s="11">
        <v>40</v>
      </c>
      <c r="E39" s="11">
        <v>20</v>
      </c>
      <c r="F39" s="11"/>
      <c r="G39" s="11">
        <v>50</v>
      </c>
      <c r="H39" s="11"/>
      <c r="I39" s="11"/>
      <c r="J39" s="11">
        <v>30</v>
      </c>
      <c r="K39" s="11">
        <v>50</v>
      </c>
      <c r="L39" s="11">
        <v>70</v>
      </c>
      <c r="M39" s="11">
        <v>70</v>
      </c>
      <c r="N39" s="11">
        <v>70</v>
      </c>
      <c r="O39" s="11">
        <v>40</v>
      </c>
      <c r="P39" s="11">
        <v>60</v>
      </c>
      <c r="Q39" s="11"/>
      <c r="R39" s="11"/>
      <c r="S39" s="37"/>
      <c r="T39" s="37"/>
    </row>
    <row r="40" spans="1:2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37"/>
      <c r="T40" s="37"/>
    </row>
    <row r="41" spans="1:2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37"/>
      <c r="T41" s="37"/>
    </row>
    <row r="42" spans="1:20">
      <c r="A42" s="11">
        <v>100</v>
      </c>
      <c r="B42" s="11">
        <v>3</v>
      </c>
      <c r="C42" s="11">
        <v>50</v>
      </c>
      <c r="D42" s="11">
        <v>50</v>
      </c>
      <c r="E42" s="11">
        <v>20</v>
      </c>
      <c r="F42" s="11">
        <v>70</v>
      </c>
      <c r="G42" s="11"/>
      <c r="H42" s="11">
        <v>100</v>
      </c>
      <c r="I42" s="11">
        <v>100</v>
      </c>
      <c r="J42" s="11">
        <v>50</v>
      </c>
      <c r="K42" s="11">
        <v>50</v>
      </c>
      <c r="L42" s="11">
        <v>30</v>
      </c>
      <c r="M42" s="11">
        <v>30</v>
      </c>
      <c r="N42" s="11">
        <v>60</v>
      </c>
      <c r="O42" s="11">
        <v>50</v>
      </c>
      <c r="P42" s="11">
        <v>60</v>
      </c>
      <c r="Q42" s="11">
        <v>100</v>
      </c>
      <c r="R42" s="11">
        <v>50</v>
      </c>
      <c r="S42" s="37"/>
      <c r="T42" s="37"/>
    </row>
    <row r="43" spans="1:20">
      <c r="A43" s="11"/>
      <c r="B43" s="11">
        <v>96</v>
      </c>
      <c r="C43" s="11">
        <v>50</v>
      </c>
      <c r="D43" s="11">
        <v>50</v>
      </c>
      <c r="E43" s="11">
        <v>80</v>
      </c>
      <c r="F43" s="11">
        <v>30</v>
      </c>
      <c r="G43" s="11">
        <v>100</v>
      </c>
      <c r="H43" s="11"/>
      <c r="I43" s="11"/>
      <c r="J43" s="11">
        <v>50</v>
      </c>
      <c r="K43" s="11">
        <v>50</v>
      </c>
      <c r="L43" s="11">
        <v>70</v>
      </c>
      <c r="M43" s="11">
        <v>70</v>
      </c>
      <c r="N43" s="11">
        <v>40</v>
      </c>
      <c r="O43" s="11">
        <v>50</v>
      </c>
      <c r="P43" s="11">
        <v>40</v>
      </c>
      <c r="Q43" s="11"/>
      <c r="R43" s="11">
        <v>50</v>
      </c>
      <c r="S43" s="37"/>
      <c r="T43" s="37"/>
    </row>
    <row r="44" spans="1:20">
      <c r="A44" s="11"/>
      <c r="B44" s="11">
        <v>1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37"/>
      <c r="T44" s="37"/>
    </row>
    <row r="45" spans="1:20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37"/>
      <c r="T45" s="37"/>
    </row>
    <row r="46" spans="1:20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37"/>
      <c r="T46" s="37"/>
    </row>
    <row r="47" spans="1:20">
      <c r="A47" s="15">
        <v>6</v>
      </c>
      <c r="B47" s="15">
        <v>2</v>
      </c>
      <c r="C47" s="15">
        <v>6</v>
      </c>
      <c r="D47" s="15">
        <v>5</v>
      </c>
      <c r="E47" s="15">
        <v>5</v>
      </c>
      <c r="F47" s="15">
        <v>6</v>
      </c>
      <c r="G47" s="15">
        <v>6</v>
      </c>
      <c r="H47" s="15">
        <v>5</v>
      </c>
      <c r="I47" s="15">
        <v>5</v>
      </c>
      <c r="J47" s="15">
        <v>6</v>
      </c>
      <c r="K47" s="15">
        <v>5</v>
      </c>
      <c r="L47" s="15">
        <v>5</v>
      </c>
      <c r="M47" s="15">
        <v>5</v>
      </c>
      <c r="N47" s="15">
        <v>5</v>
      </c>
      <c r="O47" s="15">
        <v>6</v>
      </c>
      <c r="P47" s="15">
        <v>5</v>
      </c>
      <c r="Q47" s="15">
        <v>6</v>
      </c>
      <c r="R47" s="15">
        <v>6</v>
      </c>
      <c r="S47" s="36"/>
      <c r="T47" s="36"/>
    </row>
    <row r="48" spans="1:20">
      <c r="A48" s="15">
        <v>6</v>
      </c>
      <c r="B48" s="15">
        <v>5</v>
      </c>
      <c r="C48" s="15">
        <v>6</v>
      </c>
      <c r="D48" s="15">
        <v>6</v>
      </c>
      <c r="E48" s="15">
        <v>6</v>
      </c>
      <c r="F48" s="15">
        <v>6</v>
      </c>
      <c r="G48" s="15">
        <v>6</v>
      </c>
      <c r="H48" s="15">
        <v>3</v>
      </c>
      <c r="I48" s="15">
        <v>3</v>
      </c>
      <c r="J48" s="15">
        <v>6</v>
      </c>
      <c r="K48" s="15">
        <v>6</v>
      </c>
      <c r="L48" s="15">
        <v>5</v>
      </c>
      <c r="M48" s="15">
        <v>5</v>
      </c>
      <c r="N48" s="15">
        <v>6</v>
      </c>
      <c r="O48" s="15">
        <v>6</v>
      </c>
      <c r="P48" s="15">
        <v>4</v>
      </c>
      <c r="Q48" s="15">
        <v>6</v>
      </c>
      <c r="R48" s="15">
        <v>6</v>
      </c>
      <c r="S48" s="36"/>
      <c r="T48" s="36"/>
    </row>
    <row r="49" spans="1:20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36"/>
      <c r="T49" s="36"/>
    </row>
    <row r="50" spans="1:20">
      <c r="A50" s="15">
        <v>6</v>
      </c>
      <c r="B50" s="15">
        <v>3</v>
      </c>
      <c r="C50" s="15">
        <v>6</v>
      </c>
      <c r="D50" s="15">
        <v>5</v>
      </c>
      <c r="E50" s="15">
        <v>6</v>
      </c>
      <c r="F50" s="15">
        <v>6</v>
      </c>
      <c r="G50" s="15">
        <v>5</v>
      </c>
      <c r="H50" s="15">
        <v>5</v>
      </c>
      <c r="I50" s="15">
        <v>5</v>
      </c>
      <c r="J50" s="15">
        <v>6</v>
      </c>
      <c r="K50" s="15">
        <v>5</v>
      </c>
      <c r="L50" s="15">
        <v>5</v>
      </c>
      <c r="M50" s="15">
        <v>5</v>
      </c>
      <c r="N50" s="15">
        <v>5</v>
      </c>
      <c r="O50" s="15">
        <v>5</v>
      </c>
      <c r="P50" s="15">
        <v>5</v>
      </c>
      <c r="Q50" s="15">
        <v>6</v>
      </c>
      <c r="R50" s="15">
        <v>6</v>
      </c>
      <c r="S50" s="37"/>
      <c r="T50" s="37"/>
    </row>
    <row r="51" spans="1:20">
      <c r="A51" s="15">
        <v>6</v>
      </c>
      <c r="B51" s="15">
        <v>5</v>
      </c>
      <c r="C51" s="15">
        <v>6</v>
      </c>
      <c r="D51" s="15">
        <v>6</v>
      </c>
      <c r="E51" s="15">
        <v>6</v>
      </c>
      <c r="F51" s="15">
        <v>6</v>
      </c>
      <c r="G51" s="15">
        <v>6</v>
      </c>
      <c r="H51" s="15">
        <v>3</v>
      </c>
      <c r="I51" s="15">
        <v>3</v>
      </c>
      <c r="J51" s="15">
        <v>6</v>
      </c>
      <c r="K51" s="15">
        <v>6</v>
      </c>
      <c r="L51" s="15">
        <v>5</v>
      </c>
      <c r="M51" s="15">
        <v>5</v>
      </c>
      <c r="N51" s="15">
        <v>6</v>
      </c>
      <c r="O51" s="15">
        <v>5</v>
      </c>
      <c r="P51" s="15">
        <v>4</v>
      </c>
      <c r="Q51" s="15">
        <v>6</v>
      </c>
      <c r="R51" s="15">
        <v>6</v>
      </c>
      <c r="S51" s="37"/>
      <c r="T51" s="37"/>
    </row>
    <row r="52" spans="1:20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37"/>
      <c r="T52" s="37"/>
    </row>
    <row r="53" spans="1:20">
      <c r="A53" s="15">
        <v>3</v>
      </c>
      <c r="B53" s="15">
        <v>2</v>
      </c>
      <c r="C53" s="15">
        <v>6</v>
      </c>
      <c r="D53" s="15">
        <v>5</v>
      </c>
      <c r="E53" s="15">
        <v>5</v>
      </c>
      <c r="F53" s="15">
        <v>5</v>
      </c>
      <c r="G53" s="15">
        <v>6</v>
      </c>
      <c r="H53" s="15"/>
      <c r="I53" s="15"/>
      <c r="J53" s="15">
        <v>5</v>
      </c>
      <c r="K53" s="15">
        <v>4</v>
      </c>
      <c r="L53" s="15">
        <v>5</v>
      </c>
      <c r="M53" s="15">
        <v>5</v>
      </c>
      <c r="N53" s="15">
        <v>4</v>
      </c>
      <c r="O53" s="15">
        <v>4</v>
      </c>
      <c r="P53" s="15">
        <v>4</v>
      </c>
      <c r="Q53" s="15">
        <v>3</v>
      </c>
      <c r="R53" s="15">
        <v>6</v>
      </c>
      <c r="S53" s="37"/>
      <c r="T53" s="37"/>
    </row>
    <row r="54" spans="1:20">
      <c r="A54" s="15">
        <v>6</v>
      </c>
      <c r="B54" s="15">
        <v>6</v>
      </c>
      <c r="C54" s="15">
        <v>6</v>
      </c>
      <c r="D54" s="15">
        <v>6</v>
      </c>
      <c r="E54" s="15">
        <v>6</v>
      </c>
      <c r="F54" s="15">
        <v>6</v>
      </c>
      <c r="G54" s="15">
        <v>6</v>
      </c>
      <c r="H54" s="15">
        <v>4</v>
      </c>
      <c r="I54" s="15">
        <v>4</v>
      </c>
      <c r="J54" s="15">
        <v>6</v>
      </c>
      <c r="K54" s="15">
        <v>4</v>
      </c>
      <c r="L54" s="15">
        <v>5</v>
      </c>
      <c r="M54" s="15">
        <v>5</v>
      </c>
      <c r="N54" s="15">
        <v>6</v>
      </c>
      <c r="O54" s="15">
        <v>5</v>
      </c>
      <c r="P54" s="15">
        <v>5</v>
      </c>
      <c r="Q54" s="15">
        <v>5</v>
      </c>
      <c r="R54" s="15">
        <v>6</v>
      </c>
      <c r="S54" s="37"/>
      <c r="T54" s="37"/>
    </row>
    <row r="55" spans="1:20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37"/>
      <c r="T55" s="37"/>
    </row>
    <row r="56" spans="1:20">
      <c r="A56" s="15">
        <v>6</v>
      </c>
      <c r="B56" s="15">
        <v>1</v>
      </c>
      <c r="C56" s="15">
        <v>3</v>
      </c>
      <c r="D56" s="15">
        <v>4</v>
      </c>
      <c r="E56" s="15"/>
      <c r="F56" s="15">
        <v>4</v>
      </c>
      <c r="G56" s="15">
        <v>4</v>
      </c>
      <c r="H56" s="15"/>
      <c r="I56" s="15"/>
      <c r="J56" s="15">
        <v>5</v>
      </c>
      <c r="K56" s="15">
        <v>4</v>
      </c>
      <c r="L56" s="15">
        <v>4</v>
      </c>
      <c r="M56" s="15">
        <v>4</v>
      </c>
      <c r="N56" s="15">
        <v>5</v>
      </c>
      <c r="O56" s="15">
        <v>4</v>
      </c>
      <c r="P56" s="15">
        <v>4</v>
      </c>
      <c r="Q56" s="15">
        <v>3</v>
      </c>
      <c r="R56" s="15">
        <v>6</v>
      </c>
      <c r="S56" s="37"/>
      <c r="T56" s="37"/>
    </row>
    <row r="57" spans="1:20">
      <c r="A57" s="15">
        <v>6</v>
      </c>
      <c r="B57" s="15">
        <v>6</v>
      </c>
      <c r="C57" s="15">
        <v>6</v>
      </c>
      <c r="D57" s="15">
        <v>6</v>
      </c>
      <c r="E57" s="15">
        <v>6</v>
      </c>
      <c r="F57" s="15">
        <v>6</v>
      </c>
      <c r="G57" s="15">
        <v>6</v>
      </c>
      <c r="H57" s="15">
        <v>4</v>
      </c>
      <c r="I57" s="15">
        <v>4</v>
      </c>
      <c r="J57" s="15">
        <v>6</v>
      </c>
      <c r="K57" s="15">
        <v>4</v>
      </c>
      <c r="L57" s="15">
        <v>4</v>
      </c>
      <c r="M57" s="15">
        <v>4</v>
      </c>
      <c r="N57" s="15">
        <v>5</v>
      </c>
      <c r="O57" s="15">
        <v>5</v>
      </c>
      <c r="P57" s="15">
        <v>5</v>
      </c>
      <c r="Q57" s="15">
        <v>5</v>
      </c>
      <c r="R57" s="15">
        <v>6</v>
      </c>
      <c r="S57" s="37"/>
      <c r="T57" s="37"/>
    </row>
    <row r="58" spans="1:20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37"/>
      <c r="T58" s="37"/>
    </row>
    <row r="59" spans="1:20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37"/>
      <c r="T59" s="37"/>
    </row>
    <row r="60" spans="1:20">
      <c r="A60" s="19">
        <v>6</v>
      </c>
      <c r="B60" s="19">
        <v>3</v>
      </c>
      <c r="C60" s="19">
        <v>6</v>
      </c>
      <c r="D60" s="19">
        <v>5</v>
      </c>
      <c r="E60" s="19">
        <v>5</v>
      </c>
      <c r="F60" s="19">
        <v>6</v>
      </c>
      <c r="G60" s="19">
        <v>6</v>
      </c>
      <c r="H60" s="19">
        <v>5</v>
      </c>
      <c r="I60" s="19">
        <v>5</v>
      </c>
      <c r="J60" s="19">
        <v>6</v>
      </c>
      <c r="K60" s="19">
        <v>5</v>
      </c>
      <c r="L60" s="19">
        <v>4</v>
      </c>
      <c r="M60" s="19">
        <v>4</v>
      </c>
      <c r="N60" s="19">
        <v>5</v>
      </c>
      <c r="O60" s="19">
        <v>3</v>
      </c>
      <c r="P60" s="19">
        <v>3</v>
      </c>
      <c r="Q60" s="19">
        <v>6</v>
      </c>
      <c r="R60" s="19">
        <v>6</v>
      </c>
      <c r="S60" s="37"/>
      <c r="T60" s="37"/>
    </row>
    <row r="61" spans="1:20">
      <c r="A61" s="19">
        <v>6</v>
      </c>
      <c r="B61" s="19">
        <v>4</v>
      </c>
      <c r="C61" s="19">
        <v>6</v>
      </c>
      <c r="D61" s="19">
        <v>6</v>
      </c>
      <c r="E61" s="19">
        <v>6</v>
      </c>
      <c r="F61" s="19">
        <v>6</v>
      </c>
      <c r="G61" s="19">
        <v>6</v>
      </c>
      <c r="H61" s="19">
        <v>2</v>
      </c>
      <c r="I61" s="19">
        <v>2</v>
      </c>
      <c r="J61" s="19">
        <v>6</v>
      </c>
      <c r="K61" s="19">
        <v>6</v>
      </c>
      <c r="L61" s="19">
        <v>5</v>
      </c>
      <c r="M61" s="19">
        <v>5</v>
      </c>
      <c r="N61" s="19">
        <v>6</v>
      </c>
      <c r="O61" s="19">
        <v>4</v>
      </c>
      <c r="P61" s="19">
        <v>4</v>
      </c>
      <c r="Q61" s="19">
        <v>6</v>
      </c>
      <c r="R61" s="19">
        <v>6</v>
      </c>
      <c r="S61" s="37"/>
      <c r="T61" s="37"/>
    </row>
    <row r="62" spans="1:20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37"/>
      <c r="T62" s="37"/>
    </row>
    <row r="63" spans="1:20">
      <c r="A63" s="19">
        <v>6</v>
      </c>
      <c r="B63" s="19">
        <v>6</v>
      </c>
      <c r="C63" s="19">
        <v>6</v>
      </c>
      <c r="D63" s="19">
        <v>5</v>
      </c>
      <c r="E63" s="19">
        <v>5</v>
      </c>
      <c r="F63" s="19">
        <v>6</v>
      </c>
      <c r="G63" s="19">
        <v>6</v>
      </c>
      <c r="H63" s="19">
        <v>6</v>
      </c>
      <c r="I63" s="19">
        <v>5</v>
      </c>
      <c r="J63" s="19">
        <v>6</v>
      </c>
      <c r="K63" s="19">
        <v>5</v>
      </c>
      <c r="L63" s="19">
        <v>4</v>
      </c>
      <c r="M63" s="19">
        <v>4</v>
      </c>
      <c r="N63" s="19">
        <v>5</v>
      </c>
      <c r="O63" s="19">
        <v>3</v>
      </c>
      <c r="P63" s="19">
        <v>4</v>
      </c>
      <c r="Q63" s="19">
        <v>6</v>
      </c>
      <c r="R63" s="19">
        <v>6</v>
      </c>
      <c r="S63" s="36"/>
      <c r="T63" s="36"/>
    </row>
    <row r="64" spans="1:20">
      <c r="A64" s="19">
        <v>6</v>
      </c>
      <c r="B64" s="19">
        <v>6</v>
      </c>
      <c r="C64" s="19">
        <v>6</v>
      </c>
      <c r="D64" s="19">
        <v>6</v>
      </c>
      <c r="E64" s="19">
        <v>6</v>
      </c>
      <c r="F64" s="19">
        <v>6</v>
      </c>
      <c r="G64" s="19">
        <v>6</v>
      </c>
      <c r="H64" s="19">
        <v>3</v>
      </c>
      <c r="I64" s="19">
        <v>1</v>
      </c>
      <c r="J64" s="19">
        <v>6</v>
      </c>
      <c r="K64" s="19">
        <v>5</v>
      </c>
      <c r="L64" s="19">
        <v>4</v>
      </c>
      <c r="M64" s="19">
        <v>4</v>
      </c>
      <c r="N64" s="19">
        <v>5</v>
      </c>
      <c r="O64" s="19">
        <v>4</v>
      </c>
      <c r="P64" s="19">
        <v>5</v>
      </c>
      <c r="Q64" s="19">
        <v>6</v>
      </c>
      <c r="R64" s="19">
        <v>6</v>
      </c>
      <c r="S64" s="36"/>
      <c r="T64" s="36"/>
    </row>
    <row r="65" spans="1:20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37"/>
      <c r="T65" s="37"/>
    </row>
    <row r="66" spans="1:20">
      <c r="A66" s="19"/>
      <c r="B66" s="19">
        <v>3</v>
      </c>
      <c r="C66" s="19"/>
      <c r="D66" s="19">
        <v>6</v>
      </c>
      <c r="E66" s="19">
        <v>5</v>
      </c>
      <c r="F66" s="19">
        <v>6</v>
      </c>
      <c r="G66" s="19">
        <v>6</v>
      </c>
      <c r="H66" s="19">
        <v>6</v>
      </c>
      <c r="I66" s="19">
        <v>6</v>
      </c>
      <c r="J66" s="19">
        <v>6</v>
      </c>
      <c r="K66" s="19">
        <v>5</v>
      </c>
      <c r="L66" s="19">
        <v>6</v>
      </c>
      <c r="M66" s="19">
        <v>6</v>
      </c>
      <c r="N66" s="19">
        <v>6</v>
      </c>
      <c r="O66" s="19">
        <v>2</v>
      </c>
      <c r="P66" s="19">
        <v>3</v>
      </c>
      <c r="Q66" s="19">
        <v>6</v>
      </c>
      <c r="R66" s="19">
        <v>6</v>
      </c>
      <c r="S66" s="37"/>
      <c r="T66" s="37"/>
    </row>
    <row r="67" spans="1:20">
      <c r="A67" s="19"/>
      <c r="B67" s="19">
        <v>3</v>
      </c>
      <c r="C67" s="19">
        <v>6</v>
      </c>
      <c r="D67" s="19">
        <v>5</v>
      </c>
      <c r="E67" s="19">
        <v>5</v>
      </c>
      <c r="F67" s="19"/>
      <c r="G67" s="19">
        <v>6</v>
      </c>
      <c r="H67" s="19"/>
      <c r="I67" s="19">
        <v>2</v>
      </c>
      <c r="J67" s="19"/>
      <c r="K67" s="19">
        <v>5</v>
      </c>
      <c r="L67" s="19">
        <v>4</v>
      </c>
      <c r="M67" s="19">
        <v>4</v>
      </c>
      <c r="N67" s="19">
        <v>3</v>
      </c>
      <c r="O67" s="19">
        <v>4</v>
      </c>
      <c r="P67" s="19">
        <v>4</v>
      </c>
      <c r="Q67" s="19"/>
      <c r="R67" s="19">
        <v>6</v>
      </c>
      <c r="S67" s="37"/>
      <c r="T67" s="37"/>
    </row>
    <row r="68" spans="1:20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37"/>
      <c r="T68" s="37"/>
    </row>
    <row r="69" spans="1:20">
      <c r="A69" s="19"/>
      <c r="B69" s="19">
        <v>2</v>
      </c>
      <c r="C69" s="19"/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5</v>
      </c>
      <c r="L69" s="19">
        <v>5</v>
      </c>
      <c r="M69" s="19">
        <v>5</v>
      </c>
      <c r="N69" s="19">
        <v>6</v>
      </c>
      <c r="O69" s="19">
        <v>5</v>
      </c>
      <c r="P69" s="19">
        <v>3</v>
      </c>
      <c r="Q69" s="19">
        <v>6</v>
      </c>
      <c r="R69" s="19">
        <v>6</v>
      </c>
      <c r="S69" s="37"/>
      <c r="T69" s="37"/>
    </row>
    <row r="70" spans="1:20">
      <c r="A70" s="19">
        <v>6</v>
      </c>
      <c r="B70" s="19">
        <v>6</v>
      </c>
      <c r="C70" s="19">
        <v>6</v>
      </c>
      <c r="D70" s="19">
        <v>5</v>
      </c>
      <c r="E70" s="19">
        <v>5</v>
      </c>
      <c r="F70" s="19"/>
      <c r="G70" s="19">
        <v>6</v>
      </c>
      <c r="H70" s="19"/>
      <c r="I70" s="19">
        <v>2</v>
      </c>
      <c r="J70" s="19">
        <v>6</v>
      </c>
      <c r="K70" s="19">
        <v>5</v>
      </c>
      <c r="L70" s="19">
        <v>3</v>
      </c>
      <c r="M70" s="19">
        <v>3</v>
      </c>
      <c r="N70" s="19">
        <v>3</v>
      </c>
      <c r="O70" s="19">
        <v>4</v>
      </c>
      <c r="P70" s="19">
        <v>4</v>
      </c>
      <c r="Q70" s="19"/>
      <c r="R70" s="19"/>
      <c r="S70" s="37"/>
      <c r="T70" s="37"/>
    </row>
    <row r="71" spans="1:20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37"/>
      <c r="T71" s="37"/>
    </row>
    <row r="72" spans="1:20">
      <c r="A72" s="20"/>
      <c r="B72" s="20">
        <v>6</v>
      </c>
      <c r="C72" s="20"/>
      <c r="D72" s="20">
        <v>6</v>
      </c>
      <c r="E72" s="20">
        <v>6</v>
      </c>
      <c r="F72" s="20">
        <v>6</v>
      </c>
      <c r="G72" s="20">
        <v>6</v>
      </c>
      <c r="H72" s="20">
        <v>6</v>
      </c>
      <c r="I72" s="20">
        <v>6</v>
      </c>
      <c r="J72" s="20">
        <v>6</v>
      </c>
      <c r="K72" s="20">
        <v>5</v>
      </c>
      <c r="L72" s="20">
        <v>5</v>
      </c>
      <c r="M72" s="20">
        <v>5</v>
      </c>
      <c r="N72" s="20">
        <v>6</v>
      </c>
      <c r="O72" s="20">
        <v>5</v>
      </c>
      <c r="P72" s="20">
        <v>4</v>
      </c>
      <c r="Q72" s="20">
        <v>6</v>
      </c>
      <c r="R72" s="20">
        <v>6</v>
      </c>
      <c r="S72" s="37"/>
      <c r="T72" s="37"/>
    </row>
    <row r="73" spans="1:20">
      <c r="A73" s="20">
        <v>6</v>
      </c>
      <c r="B73" s="20">
        <v>6</v>
      </c>
      <c r="C73" s="20">
        <v>6</v>
      </c>
      <c r="D73" s="20">
        <v>4</v>
      </c>
      <c r="E73" s="20">
        <v>6</v>
      </c>
      <c r="F73" s="20"/>
      <c r="G73" s="20">
        <v>6</v>
      </c>
      <c r="H73" s="20">
        <v>2</v>
      </c>
      <c r="I73" s="20">
        <v>2</v>
      </c>
      <c r="J73" s="20">
        <v>6</v>
      </c>
      <c r="K73" s="20">
        <v>5</v>
      </c>
      <c r="L73" s="20">
        <v>5</v>
      </c>
      <c r="M73" s="20">
        <v>5</v>
      </c>
      <c r="N73" s="20">
        <v>3</v>
      </c>
      <c r="O73" s="20">
        <v>5</v>
      </c>
      <c r="P73" s="20">
        <v>4</v>
      </c>
      <c r="Q73" s="20"/>
      <c r="R73" s="20"/>
      <c r="S73" s="37"/>
      <c r="T73" s="37"/>
    </row>
    <row r="74" spans="1:20">
      <c r="S74" s="37"/>
      <c r="T74" s="37"/>
    </row>
    <row r="75" spans="1:20">
      <c r="S75" s="37"/>
      <c r="T75" s="37"/>
    </row>
    <row r="76" spans="1:20">
      <c r="A76" s="21">
        <f t="shared" ref="A76:R76" si="0">0.61*((15-ROUND(A11,0)) + (15-ROUND(A14,0)) + A17 + A20 + A23 + A26) + 0.136*(A30+A34+A38+A42) + 2.27*(A47+A50+A53+A56) + 1.8*(A60+A63+A66+A69+A72)</f>
        <v>105.44</v>
      </c>
      <c r="B76" s="21">
        <f t="shared" si="0"/>
        <v>88.302000000000007</v>
      </c>
      <c r="C76" s="21">
        <f t="shared" si="0"/>
        <v>120.4</v>
      </c>
      <c r="D76" s="21">
        <f t="shared" si="0"/>
        <v>137.95000000000002</v>
      </c>
      <c r="E76" s="21">
        <f t="shared" si="0"/>
        <v>131.59</v>
      </c>
      <c r="F76" s="21">
        <f t="shared" si="0"/>
        <v>172.38</v>
      </c>
      <c r="G76" s="21">
        <f t="shared" si="0"/>
        <v>142.86000000000001</v>
      </c>
      <c r="H76" s="21">
        <f t="shared" si="0"/>
        <v>148.82</v>
      </c>
      <c r="I76" s="21">
        <f t="shared" si="0"/>
        <v>147.02000000000001</v>
      </c>
      <c r="J76" s="21">
        <f t="shared" si="0"/>
        <v>166</v>
      </c>
      <c r="K76" s="21">
        <f t="shared" si="0"/>
        <v>135.02000000000001</v>
      </c>
      <c r="L76" s="21">
        <f t="shared" si="0"/>
        <v>124.75000000000001</v>
      </c>
      <c r="M76" s="21">
        <f t="shared" si="0"/>
        <v>124.75000000000001</v>
      </c>
      <c r="N76" s="21">
        <f t="shared" si="0"/>
        <v>138.61000000000001</v>
      </c>
      <c r="O76" s="21">
        <f t="shared" si="0"/>
        <v>130.06</v>
      </c>
      <c r="P76" s="21">
        <f t="shared" si="0"/>
        <v>125.78</v>
      </c>
      <c r="Q76" s="21">
        <f t="shared" si="0"/>
        <v>167.89</v>
      </c>
      <c r="R76" s="21">
        <f t="shared" si="0"/>
        <v>172.04000000000002</v>
      </c>
      <c r="S76" s="37"/>
      <c r="T76" s="37"/>
    </row>
    <row r="77" spans="1:20">
      <c r="A77" s="22">
        <f t="shared" ref="A77:R77" si="1">0.61*((15-ROUND(A12,0)) + (15-ROUND(A15,0)) + A18 + A21 + A24 + A27) + 0.136*(A31+A35+A39+A43) + 2.27*(A48+A51+A54+A57) + 1.8*(A61+A64+A67+A70+A73)</f>
        <v>155.56</v>
      </c>
      <c r="B77" s="22">
        <f t="shared" si="1"/>
        <v>158.43799999999999</v>
      </c>
      <c r="C77" s="22">
        <f t="shared" si="1"/>
        <v>147.74</v>
      </c>
      <c r="D77" s="22">
        <f t="shared" si="1"/>
        <v>147.25</v>
      </c>
      <c r="E77" s="22">
        <f t="shared" si="1"/>
        <v>155.31</v>
      </c>
      <c r="F77" s="22">
        <f t="shared" si="1"/>
        <v>100.03</v>
      </c>
      <c r="G77" s="22">
        <f t="shared" si="1"/>
        <v>177.2</v>
      </c>
      <c r="H77" s="22">
        <f t="shared" si="1"/>
        <v>63.29</v>
      </c>
      <c r="I77" s="22">
        <f t="shared" si="1"/>
        <v>66.28</v>
      </c>
      <c r="J77" s="22">
        <f t="shared" si="1"/>
        <v>147.36000000000001</v>
      </c>
      <c r="K77" s="22">
        <f t="shared" si="1"/>
        <v>141.36000000000001</v>
      </c>
      <c r="L77" s="22">
        <f t="shared" si="1"/>
        <v>140.22000000000003</v>
      </c>
      <c r="M77" s="22">
        <f t="shared" si="1"/>
        <v>140.22000000000003</v>
      </c>
      <c r="N77" s="22">
        <f t="shared" si="1"/>
        <v>144.5</v>
      </c>
      <c r="O77" s="22">
        <f t="shared" si="1"/>
        <v>129.26000000000002</v>
      </c>
      <c r="P77" s="22">
        <f t="shared" si="1"/>
        <v>126.32</v>
      </c>
      <c r="Q77" s="22">
        <f t="shared" si="1"/>
        <v>91.949999999999989</v>
      </c>
      <c r="R77" s="22">
        <f t="shared" si="1"/>
        <v>123.47</v>
      </c>
      <c r="S77" s="37"/>
      <c r="T77" s="37"/>
    </row>
    <row r="78" spans="1:20">
      <c r="A78" s="24">
        <f>A76-A77</f>
        <v>-50.120000000000005</v>
      </c>
      <c r="B78" s="24">
        <v>-70.135999999999996</v>
      </c>
      <c r="C78" s="24">
        <v>-27.34</v>
      </c>
      <c r="D78" s="24">
        <v>-9.3000000000000007</v>
      </c>
      <c r="E78" s="24">
        <v>-23.72</v>
      </c>
      <c r="F78" s="24">
        <v>72.349999999999994</v>
      </c>
      <c r="G78" s="24">
        <v>-34.340000000000003</v>
      </c>
      <c r="H78" s="24">
        <v>85.53</v>
      </c>
      <c r="I78" s="24">
        <v>80.739999999999995</v>
      </c>
      <c r="J78" s="24">
        <v>18.64</v>
      </c>
      <c r="K78" s="24">
        <v>-6.34</v>
      </c>
      <c r="L78" s="24">
        <v>15.47</v>
      </c>
      <c r="M78" s="24">
        <v>15.47</v>
      </c>
      <c r="N78" s="24">
        <v>-5.89</v>
      </c>
      <c r="O78" s="24">
        <v>0.8</v>
      </c>
      <c r="P78" s="24">
        <v>-0.54</v>
      </c>
      <c r="Q78" s="24">
        <v>75.94</v>
      </c>
      <c r="R78" s="24">
        <v>48.57</v>
      </c>
      <c r="S78" s="37"/>
      <c r="T78" s="37"/>
    </row>
    <row r="79" spans="1:20">
      <c r="S79" s="37"/>
      <c r="T79" s="37"/>
    </row>
    <row r="80" spans="1:20">
      <c r="A80" s="21" t="s">
        <v>16</v>
      </c>
      <c r="B80" s="21">
        <f>AVERAGE(A78:R78)</f>
        <v>10.321333333333332</v>
      </c>
      <c r="S80" s="37"/>
      <c r="T80" s="37"/>
    </row>
    <row r="81" spans="1:20">
      <c r="A81" s="21" t="s">
        <v>61</v>
      </c>
      <c r="B81" s="21">
        <f>MEDIAN(A78:R78)</f>
        <v>0.13</v>
      </c>
      <c r="S81" s="36"/>
      <c r="T81" s="36"/>
    </row>
    <row r="82" spans="1:20">
      <c r="S82" s="36"/>
      <c r="T82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3"/>
  <sheetViews>
    <sheetView zoomScale="77" zoomScaleNormal="55" workbookViewId="0">
      <selection activeCell="A3" sqref="A3"/>
    </sheetView>
  </sheetViews>
  <sheetFormatPr defaultColWidth="12.5546875" defaultRowHeight="15.75" customHeight="1"/>
  <sheetData>
    <row r="1" spans="1:15" ht="13.2">
      <c r="A1" s="21">
        <v>1</v>
      </c>
      <c r="B1" s="21">
        <v>2</v>
      </c>
      <c r="C1" s="21">
        <v>3</v>
      </c>
      <c r="D1" s="21">
        <v>4</v>
      </c>
      <c r="E1" s="21">
        <v>5</v>
      </c>
      <c r="F1" s="21">
        <v>6</v>
      </c>
      <c r="G1" s="21">
        <v>7</v>
      </c>
      <c r="H1" s="21">
        <v>8</v>
      </c>
      <c r="I1" s="21">
        <v>9</v>
      </c>
      <c r="J1" s="21">
        <v>10</v>
      </c>
      <c r="K1" s="21">
        <v>11</v>
      </c>
      <c r="L1" s="21">
        <v>12</v>
      </c>
      <c r="M1" s="21">
        <v>13</v>
      </c>
      <c r="N1" s="37"/>
      <c r="O1" s="37"/>
    </row>
    <row r="2" spans="1:15" ht="13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2"/>
      <c r="O2" s="42"/>
    </row>
    <row r="3" spans="1:15" ht="13.2">
      <c r="A3" s="3">
        <v>14</v>
      </c>
      <c r="B3" s="3">
        <v>14</v>
      </c>
      <c r="C3" s="3">
        <v>14</v>
      </c>
      <c r="D3" s="3">
        <v>13</v>
      </c>
      <c r="E3" s="3">
        <v>14</v>
      </c>
      <c r="F3" s="3">
        <v>15</v>
      </c>
      <c r="G3" s="3">
        <v>15</v>
      </c>
      <c r="H3" s="3">
        <v>15</v>
      </c>
      <c r="I3" s="3">
        <v>13</v>
      </c>
      <c r="J3" s="3">
        <v>15</v>
      </c>
      <c r="K3" s="3">
        <v>13</v>
      </c>
      <c r="L3" s="3">
        <v>14</v>
      </c>
      <c r="M3" s="3">
        <v>15</v>
      </c>
      <c r="N3" s="37"/>
      <c r="O3" s="37"/>
    </row>
    <row r="4" spans="1:15" ht="13.2">
      <c r="A4" s="3" t="s">
        <v>8</v>
      </c>
      <c r="B4" s="3" t="s">
        <v>7</v>
      </c>
      <c r="C4" s="3" t="s">
        <v>8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8</v>
      </c>
      <c r="I4" s="3" t="s">
        <v>8</v>
      </c>
      <c r="J4" s="3" t="s">
        <v>8</v>
      </c>
      <c r="K4" s="3" t="s">
        <v>7</v>
      </c>
      <c r="L4" s="3" t="s">
        <v>7</v>
      </c>
      <c r="M4" s="3" t="s">
        <v>8</v>
      </c>
      <c r="N4" s="37"/>
      <c r="O4" s="37"/>
    </row>
    <row r="5" spans="1:15" ht="13.2">
      <c r="A5" s="3" t="s">
        <v>10</v>
      </c>
      <c r="B5" s="3" t="s">
        <v>11</v>
      </c>
      <c r="C5" s="3" t="s">
        <v>10</v>
      </c>
      <c r="D5" s="3" t="s">
        <v>12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13</v>
      </c>
      <c r="K5" s="3" t="s">
        <v>10</v>
      </c>
      <c r="L5" s="3" t="s">
        <v>10</v>
      </c>
      <c r="M5" s="3" t="s">
        <v>10</v>
      </c>
      <c r="N5" s="37"/>
      <c r="O5" s="37"/>
    </row>
    <row r="6" spans="1:15" ht="13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7"/>
      <c r="O6" s="37"/>
    </row>
    <row r="7" spans="1:15" ht="13.2">
      <c r="A7" s="3" t="s">
        <v>183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7"/>
      <c r="O7" s="37"/>
    </row>
    <row r="8" spans="1:15" ht="13.2">
      <c r="A8" s="3" t="s">
        <v>183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7"/>
      <c r="O8" s="37"/>
    </row>
    <row r="9" spans="1:15" ht="13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37"/>
      <c r="O9" s="37"/>
    </row>
    <row r="10" spans="1:15" ht="13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37"/>
      <c r="O10" s="37"/>
    </row>
    <row r="11" spans="1:15" ht="13.2">
      <c r="A11" s="7">
        <v>3</v>
      </c>
      <c r="B11" s="7">
        <v>3</v>
      </c>
      <c r="C11" s="7">
        <v>3</v>
      </c>
      <c r="D11" s="7">
        <v>1.5</v>
      </c>
      <c r="E11" s="7">
        <v>12</v>
      </c>
      <c r="F11" s="7">
        <v>1</v>
      </c>
      <c r="G11" s="7">
        <v>1</v>
      </c>
      <c r="H11" s="7">
        <v>1.5</v>
      </c>
      <c r="I11" s="7">
        <v>2</v>
      </c>
      <c r="J11" s="7">
        <v>2</v>
      </c>
      <c r="K11" s="7">
        <v>1</v>
      </c>
      <c r="L11" s="7">
        <v>2</v>
      </c>
      <c r="M11" s="7">
        <v>3</v>
      </c>
      <c r="N11" s="37"/>
      <c r="O11" s="37"/>
    </row>
    <row r="12" spans="1:15" ht="13.2">
      <c r="A12" s="7">
        <v>6</v>
      </c>
      <c r="B12" s="7">
        <v>2</v>
      </c>
      <c r="C12" s="7">
        <v>5</v>
      </c>
      <c r="D12" s="7">
        <v>1.5</v>
      </c>
      <c r="E12" s="7">
        <v>2</v>
      </c>
      <c r="F12" s="7">
        <v>2</v>
      </c>
      <c r="G12" s="7">
        <v>5</v>
      </c>
      <c r="H12" s="7">
        <v>3</v>
      </c>
      <c r="I12" s="7">
        <v>7</v>
      </c>
      <c r="J12" s="7">
        <v>5</v>
      </c>
      <c r="K12" s="7">
        <v>1</v>
      </c>
      <c r="L12" s="7">
        <v>7</v>
      </c>
      <c r="M12" s="7">
        <v>8</v>
      </c>
      <c r="N12" s="37"/>
      <c r="O12" s="37"/>
    </row>
    <row r="13" spans="1:15" ht="13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37"/>
      <c r="O13" s="37"/>
    </row>
    <row r="14" spans="1:15" ht="13.2">
      <c r="A14" s="7">
        <v>4</v>
      </c>
      <c r="B14" s="7">
        <v>12</v>
      </c>
      <c r="C14" s="7">
        <v>6</v>
      </c>
      <c r="D14" s="7">
        <v>2</v>
      </c>
      <c r="E14" s="7">
        <v>12</v>
      </c>
      <c r="F14" s="7">
        <v>2</v>
      </c>
      <c r="G14" s="7">
        <v>5</v>
      </c>
      <c r="H14" s="7">
        <v>3</v>
      </c>
      <c r="I14" s="7">
        <v>3</v>
      </c>
      <c r="J14" s="7">
        <v>3</v>
      </c>
      <c r="K14" s="7">
        <v>1</v>
      </c>
      <c r="L14" s="7">
        <v>5</v>
      </c>
      <c r="M14" s="7">
        <v>6</v>
      </c>
      <c r="N14" s="37"/>
      <c r="O14" s="37"/>
    </row>
    <row r="15" spans="1:15" ht="13.2">
      <c r="A15" s="7">
        <v>7</v>
      </c>
      <c r="B15" s="7">
        <v>2</v>
      </c>
      <c r="C15" s="7">
        <v>7</v>
      </c>
      <c r="D15" s="7">
        <v>2</v>
      </c>
      <c r="E15" s="7">
        <v>3</v>
      </c>
      <c r="F15" s="7">
        <v>6</v>
      </c>
      <c r="G15" s="7">
        <v>6</v>
      </c>
      <c r="H15" s="7">
        <v>3</v>
      </c>
      <c r="I15" s="7">
        <v>7</v>
      </c>
      <c r="J15" s="7">
        <v>5</v>
      </c>
      <c r="K15" s="7">
        <v>1</v>
      </c>
      <c r="L15" s="7">
        <v>8</v>
      </c>
      <c r="M15" s="7">
        <v>9</v>
      </c>
      <c r="N15" s="37"/>
      <c r="O15" s="37"/>
    </row>
    <row r="16" spans="1:15" ht="13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37"/>
      <c r="O16" s="37"/>
    </row>
    <row r="17" spans="1:15" ht="13.2">
      <c r="A17" s="7">
        <v>14</v>
      </c>
      <c r="B17" s="7">
        <v>1</v>
      </c>
      <c r="C17" s="7">
        <v>14</v>
      </c>
      <c r="D17" s="7"/>
      <c r="E17" s="7">
        <v>6</v>
      </c>
      <c r="F17" s="7">
        <v>15</v>
      </c>
      <c r="G17" s="7">
        <v>15</v>
      </c>
      <c r="H17" s="7">
        <v>15</v>
      </c>
      <c r="I17" s="7">
        <v>13</v>
      </c>
      <c r="J17" s="7">
        <v>15</v>
      </c>
      <c r="K17" s="7">
        <v>13</v>
      </c>
      <c r="L17" s="7">
        <v>14</v>
      </c>
      <c r="M17" s="7">
        <v>15</v>
      </c>
      <c r="N17" s="37"/>
      <c r="O17" s="37"/>
    </row>
    <row r="18" spans="1:15" ht="13.2">
      <c r="A18" s="7"/>
      <c r="B18" s="7">
        <v>12</v>
      </c>
      <c r="C18" s="7"/>
      <c r="D18" s="7"/>
      <c r="E18" s="7">
        <v>14</v>
      </c>
      <c r="F18" s="7"/>
      <c r="G18" s="7">
        <v>15</v>
      </c>
      <c r="H18" s="7">
        <v>15</v>
      </c>
      <c r="I18" s="7">
        <v>13</v>
      </c>
      <c r="J18" s="7">
        <v>15</v>
      </c>
      <c r="K18" s="7">
        <v>13</v>
      </c>
      <c r="L18" s="7">
        <v>14</v>
      </c>
      <c r="M18" s="7">
        <v>15</v>
      </c>
      <c r="N18" s="37"/>
      <c r="O18" s="37"/>
    </row>
    <row r="19" spans="1:15" ht="13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37"/>
      <c r="O19" s="37"/>
    </row>
    <row r="20" spans="1:15" ht="13.2">
      <c r="A20" s="7"/>
      <c r="B20" s="7"/>
      <c r="C20" s="7"/>
      <c r="D20" s="7"/>
      <c r="E20" s="7"/>
      <c r="F20" s="7"/>
      <c r="G20" s="7"/>
      <c r="H20" s="7"/>
      <c r="I20" s="7"/>
      <c r="J20" s="7">
        <v>2</v>
      </c>
      <c r="K20" s="7"/>
      <c r="L20" s="7"/>
      <c r="M20" s="7"/>
      <c r="N20" s="37"/>
      <c r="O20" s="37"/>
    </row>
    <row r="21" spans="1:15" ht="13.2">
      <c r="A21" s="7"/>
      <c r="B21" s="7"/>
      <c r="C21" s="7"/>
      <c r="D21" s="7"/>
      <c r="E21" s="7"/>
      <c r="F21" s="7"/>
      <c r="G21" s="7"/>
      <c r="H21" s="7"/>
      <c r="I21" s="7"/>
      <c r="J21" s="7">
        <v>2</v>
      </c>
      <c r="K21" s="7"/>
      <c r="L21" s="7"/>
      <c r="M21" s="7"/>
      <c r="N21" s="37"/>
      <c r="O21" s="37"/>
    </row>
    <row r="22" spans="1:15" ht="13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37"/>
      <c r="O22" s="37"/>
    </row>
    <row r="23" spans="1:15" ht="13.2">
      <c r="A23" s="7"/>
      <c r="B23" s="7"/>
      <c r="C23" s="7"/>
      <c r="D23" s="7"/>
      <c r="E23" s="7"/>
      <c r="F23" s="7"/>
      <c r="G23" s="7"/>
      <c r="H23" s="7"/>
      <c r="I23" s="7"/>
      <c r="J23" s="7">
        <v>3</v>
      </c>
      <c r="K23" s="7"/>
      <c r="L23" s="7"/>
      <c r="M23" s="7"/>
      <c r="N23" s="37"/>
      <c r="O23" s="37"/>
    </row>
    <row r="24" spans="1:15" ht="13.2">
      <c r="A24" s="7"/>
      <c r="B24" s="7">
        <v>1</v>
      </c>
      <c r="C24" s="7"/>
      <c r="D24" s="7">
        <v>2</v>
      </c>
      <c r="E24" s="7"/>
      <c r="F24" s="7"/>
      <c r="G24" s="7"/>
      <c r="H24" s="7"/>
      <c r="I24" s="7"/>
      <c r="J24" s="7">
        <v>3</v>
      </c>
      <c r="K24" s="7"/>
      <c r="L24" s="7"/>
      <c r="M24" s="7"/>
      <c r="N24" s="37"/>
      <c r="O24" s="37"/>
    </row>
    <row r="25" spans="1:15" ht="13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37"/>
      <c r="O25" s="37"/>
    </row>
    <row r="26" spans="1:15" ht="13.2">
      <c r="A26" s="7"/>
      <c r="B26" s="7"/>
      <c r="C26" s="7">
        <v>9</v>
      </c>
      <c r="D26" s="7"/>
      <c r="E26" s="7">
        <v>11</v>
      </c>
      <c r="F26" s="7">
        <v>8</v>
      </c>
      <c r="G26" s="7">
        <v>10</v>
      </c>
      <c r="H26" s="7">
        <v>10</v>
      </c>
      <c r="I26" s="7">
        <v>7</v>
      </c>
      <c r="J26" s="7">
        <v>9</v>
      </c>
      <c r="K26" s="7">
        <v>7</v>
      </c>
      <c r="L26" s="7">
        <v>6</v>
      </c>
      <c r="M26" s="7">
        <v>7</v>
      </c>
      <c r="N26" s="37"/>
      <c r="O26" s="37"/>
    </row>
    <row r="27" spans="1:15" ht="13.2">
      <c r="A27" s="7"/>
      <c r="B27" s="7">
        <v>7</v>
      </c>
      <c r="C27" s="7">
        <v>9</v>
      </c>
      <c r="D27" s="7">
        <v>6</v>
      </c>
      <c r="E27" s="7">
        <v>11</v>
      </c>
      <c r="F27" s="7">
        <v>10</v>
      </c>
      <c r="G27" s="7">
        <v>10</v>
      </c>
      <c r="H27" s="7">
        <v>10</v>
      </c>
      <c r="I27" s="7">
        <v>7</v>
      </c>
      <c r="J27" s="7">
        <v>9</v>
      </c>
      <c r="K27" s="7">
        <v>7</v>
      </c>
      <c r="L27" s="7">
        <v>6</v>
      </c>
      <c r="M27" s="7">
        <v>7</v>
      </c>
      <c r="N27" s="37"/>
      <c r="O27" s="37"/>
    </row>
    <row r="28" spans="1:15" ht="13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36"/>
      <c r="O28" s="36"/>
    </row>
    <row r="29" spans="1:15" ht="13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36"/>
      <c r="O29" s="36"/>
    </row>
    <row r="30" spans="1:15" ht="13.2">
      <c r="A30" s="11">
        <v>70</v>
      </c>
      <c r="B30" s="11">
        <v>40</v>
      </c>
      <c r="C30" s="11">
        <v>80</v>
      </c>
      <c r="D30" s="11">
        <v>50</v>
      </c>
      <c r="E30" s="11">
        <v>40</v>
      </c>
      <c r="F30" s="11">
        <v>100</v>
      </c>
      <c r="G30" s="11">
        <v>70</v>
      </c>
      <c r="H30" s="11">
        <v>50</v>
      </c>
      <c r="I30" s="11">
        <v>100</v>
      </c>
      <c r="J30" s="11">
        <v>100</v>
      </c>
      <c r="K30" s="11">
        <v>70</v>
      </c>
      <c r="L30" s="11">
        <v>70</v>
      </c>
      <c r="M30" s="11">
        <v>70</v>
      </c>
      <c r="N30" s="37"/>
      <c r="O30" s="37"/>
    </row>
    <row r="31" spans="1:15" ht="13.2">
      <c r="A31" s="11">
        <v>30</v>
      </c>
      <c r="B31" s="11">
        <v>60</v>
      </c>
      <c r="C31" s="11">
        <v>20</v>
      </c>
      <c r="D31" s="11">
        <v>50</v>
      </c>
      <c r="E31" s="11">
        <v>60</v>
      </c>
      <c r="F31" s="11"/>
      <c r="G31" s="11">
        <v>30</v>
      </c>
      <c r="H31" s="11">
        <v>50</v>
      </c>
      <c r="I31" s="11"/>
      <c r="J31" s="11"/>
      <c r="K31" s="11">
        <v>30</v>
      </c>
      <c r="L31" s="11">
        <v>30</v>
      </c>
      <c r="M31" s="11">
        <v>30</v>
      </c>
      <c r="N31" s="37"/>
      <c r="O31" s="37"/>
    </row>
    <row r="32" spans="1:15" ht="13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37"/>
      <c r="O32" s="37"/>
    </row>
    <row r="33" spans="1:15" ht="13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7"/>
      <c r="O33" s="37"/>
    </row>
    <row r="34" spans="1:15" ht="13.2">
      <c r="A34" s="11">
        <v>50</v>
      </c>
      <c r="B34" s="11">
        <v>40</v>
      </c>
      <c r="C34" s="11">
        <v>80</v>
      </c>
      <c r="D34" s="11">
        <v>50</v>
      </c>
      <c r="E34" s="11">
        <v>20</v>
      </c>
      <c r="F34" s="11">
        <v>90</v>
      </c>
      <c r="G34" s="11">
        <v>80</v>
      </c>
      <c r="H34" s="11">
        <v>30</v>
      </c>
      <c r="I34" s="11">
        <v>100</v>
      </c>
      <c r="J34" s="11">
        <v>100</v>
      </c>
      <c r="K34" s="11">
        <v>50</v>
      </c>
      <c r="L34" s="11">
        <v>70</v>
      </c>
      <c r="M34" s="11">
        <v>70</v>
      </c>
      <c r="N34" s="37"/>
      <c r="O34" s="37"/>
    </row>
    <row r="35" spans="1:15" ht="13.2">
      <c r="A35" s="11">
        <v>50</v>
      </c>
      <c r="B35" s="11">
        <v>60</v>
      </c>
      <c r="C35" s="11">
        <v>20</v>
      </c>
      <c r="D35" s="11">
        <v>50</v>
      </c>
      <c r="E35" s="11">
        <v>80</v>
      </c>
      <c r="F35" s="11">
        <v>10</v>
      </c>
      <c r="G35" s="11">
        <v>20</v>
      </c>
      <c r="H35" s="11">
        <v>70</v>
      </c>
      <c r="I35" s="11"/>
      <c r="J35" s="11"/>
      <c r="K35" s="11">
        <v>50</v>
      </c>
      <c r="L35" s="11">
        <v>30</v>
      </c>
      <c r="M35" s="11">
        <v>30</v>
      </c>
      <c r="N35" s="37"/>
      <c r="O35" s="37"/>
    </row>
    <row r="36" spans="1:15" ht="13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37"/>
      <c r="O36" s="37"/>
    </row>
    <row r="37" spans="1:15" ht="13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7"/>
      <c r="O37" s="37"/>
    </row>
    <row r="38" spans="1:15" ht="13.2">
      <c r="A38" s="11">
        <v>90</v>
      </c>
      <c r="B38" s="11">
        <v>60</v>
      </c>
      <c r="C38" s="11">
        <v>100</v>
      </c>
      <c r="D38" s="11">
        <v>60</v>
      </c>
      <c r="E38" s="11">
        <v>20</v>
      </c>
      <c r="F38" s="11">
        <v>100</v>
      </c>
      <c r="G38" s="11">
        <v>100</v>
      </c>
      <c r="H38" s="11">
        <v>90</v>
      </c>
      <c r="I38" s="11">
        <v>100</v>
      </c>
      <c r="J38" s="11">
        <v>100</v>
      </c>
      <c r="K38" s="11">
        <v>70</v>
      </c>
      <c r="L38" s="11">
        <v>100</v>
      </c>
      <c r="M38" s="11"/>
      <c r="N38" s="37"/>
      <c r="O38" s="37"/>
    </row>
    <row r="39" spans="1:15" ht="13.2">
      <c r="A39" s="11">
        <v>10</v>
      </c>
      <c r="B39" s="11">
        <v>40</v>
      </c>
      <c r="C39" s="11"/>
      <c r="D39" s="11">
        <v>40</v>
      </c>
      <c r="E39" s="11">
        <v>80</v>
      </c>
      <c r="F39" s="11"/>
      <c r="G39" s="11"/>
      <c r="H39" s="11">
        <v>10</v>
      </c>
      <c r="I39" s="11"/>
      <c r="J39" s="11"/>
      <c r="K39" s="11">
        <v>30</v>
      </c>
      <c r="L39" s="11"/>
      <c r="M39" s="11"/>
      <c r="N39" s="37"/>
      <c r="O39" s="37"/>
    </row>
    <row r="40" spans="1:15" ht="13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37"/>
      <c r="O40" s="37"/>
    </row>
    <row r="41" spans="1:15" ht="13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37"/>
      <c r="O41" s="37"/>
    </row>
    <row r="42" spans="1:15" ht="13.2">
      <c r="A42" s="11">
        <v>40</v>
      </c>
      <c r="B42" s="11"/>
      <c r="C42" s="11">
        <v>80</v>
      </c>
      <c r="D42" s="11">
        <v>50</v>
      </c>
      <c r="E42" s="11">
        <v>20</v>
      </c>
      <c r="F42" s="11">
        <v>70</v>
      </c>
      <c r="G42" s="11">
        <v>90</v>
      </c>
      <c r="H42" s="11"/>
      <c r="I42" s="11">
        <v>100</v>
      </c>
      <c r="J42" s="11">
        <v>100</v>
      </c>
      <c r="K42" s="11">
        <v>60</v>
      </c>
      <c r="L42" s="11">
        <v>100</v>
      </c>
      <c r="M42" s="11">
        <v>100</v>
      </c>
      <c r="N42" s="37"/>
      <c r="O42" s="37"/>
    </row>
    <row r="43" spans="1:15" ht="13.2">
      <c r="A43" s="11">
        <v>60</v>
      </c>
      <c r="B43" s="11">
        <v>100</v>
      </c>
      <c r="C43" s="11">
        <v>20</v>
      </c>
      <c r="D43" s="11">
        <v>50</v>
      </c>
      <c r="E43" s="11">
        <v>80</v>
      </c>
      <c r="F43" s="11">
        <v>30</v>
      </c>
      <c r="G43" s="11">
        <v>10</v>
      </c>
      <c r="H43" s="11">
        <v>100</v>
      </c>
      <c r="I43" s="11"/>
      <c r="J43" s="11"/>
      <c r="K43" s="11">
        <v>40</v>
      </c>
      <c r="L43" s="11"/>
      <c r="M43" s="11"/>
      <c r="N43" s="37"/>
      <c r="O43" s="37"/>
    </row>
    <row r="44" spans="1:15" ht="13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37"/>
      <c r="O44" s="37"/>
    </row>
    <row r="45" spans="1:15" ht="13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37"/>
      <c r="O45" s="37"/>
    </row>
    <row r="46" spans="1:15" ht="13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37"/>
      <c r="O46" s="37"/>
    </row>
    <row r="47" spans="1:15" ht="13.2">
      <c r="A47" s="15">
        <v>5</v>
      </c>
      <c r="B47" s="15">
        <v>4</v>
      </c>
      <c r="C47" s="15">
        <v>6</v>
      </c>
      <c r="D47" s="15">
        <v>5</v>
      </c>
      <c r="E47" s="15">
        <v>4</v>
      </c>
      <c r="F47" s="15">
        <v>6</v>
      </c>
      <c r="G47" s="15">
        <v>6</v>
      </c>
      <c r="H47" s="15">
        <v>6</v>
      </c>
      <c r="I47" s="15">
        <v>6</v>
      </c>
      <c r="J47" s="15">
        <v>6</v>
      </c>
      <c r="K47" s="15">
        <v>6</v>
      </c>
      <c r="L47" s="15">
        <v>5</v>
      </c>
      <c r="M47" s="15">
        <v>5</v>
      </c>
      <c r="N47" s="36"/>
      <c r="O47" s="36"/>
    </row>
    <row r="48" spans="1:15" ht="13.2">
      <c r="A48" s="15">
        <v>5</v>
      </c>
      <c r="B48" s="15">
        <v>6</v>
      </c>
      <c r="C48" s="15">
        <v>6</v>
      </c>
      <c r="D48" s="15">
        <v>6</v>
      </c>
      <c r="E48" s="15">
        <v>6</v>
      </c>
      <c r="F48" s="15">
        <v>6</v>
      </c>
      <c r="G48" s="15">
        <v>5</v>
      </c>
      <c r="H48" s="15">
        <v>6</v>
      </c>
      <c r="I48" s="15">
        <v>6</v>
      </c>
      <c r="J48" s="15">
        <v>6</v>
      </c>
      <c r="K48" s="15">
        <v>6</v>
      </c>
      <c r="L48" s="15">
        <v>6</v>
      </c>
      <c r="M48" s="15">
        <v>5</v>
      </c>
      <c r="N48" s="36"/>
      <c r="O48" s="36"/>
    </row>
    <row r="49" spans="1:15" ht="13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36"/>
      <c r="O49" s="36"/>
    </row>
    <row r="50" spans="1:15" ht="13.2">
      <c r="A50" s="15">
        <v>5</v>
      </c>
      <c r="B50" s="15">
        <v>6</v>
      </c>
      <c r="C50" s="15">
        <v>6</v>
      </c>
      <c r="D50" s="15">
        <v>5</v>
      </c>
      <c r="E50" s="15">
        <v>5</v>
      </c>
      <c r="F50" s="15">
        <v>6</v>
      </c>
      <c r="G50" s="15">
        <v>6</v>
      </c>
      <c r="H50" s="15">
        <v>6</v>
      </c>
      <c r="I50" s="15">
        <v>6</v>
      </c>
      <c r="J50" s="15">
        <v>6</v>
      </c>
      <c r="K50" s="15">
        <v>6</v>
      </c>
      <c r="L50" s="15">
        <v>6</v>
      </c>
      <c r="M50" s="15">
        <v>5</v>
      </c>
      <c r="N50" s="37"/>
      <c r="O50" s="37"/>
    </row>
    <row r="51" spans="1:15" ht="13.2">
      <c r="A51" s="15">
        <v>6</v>
      </c>
      <c r="B51" s="15">
        <v>6</v>
      </c>
      <c r="C51" s="15">
        <v>6</v>
      </c>
      <c r="D51" s="15">
        <v>6</v>
      </c>
      <c r="E51" s="15">
        <v>6</v>
      </c>
      <c r="F51" s="15">
        <v>6</v>
      </c>
      <c r="G51" s="15">
        <v>5</v>
      </c>
      <c r="H51" s="15">
        <v>6</v>
      </c>
      <c r="I51" s="15">
        <v>6</v>
      </c>
      <c r="J51" s="15">
        <v>6</v>
      </c>
      <c r="K51" s="15">
        <v>6</v>
      </c>
      <c r="L51" s="15">
        <v>6</v>
      </c>
      <c r="M51" s="15">
        <v>6</v>
      </c>
      <c r="N51" s="37"/>
      <c r="O51" s="37"/>
    </row>
    <row r="52" spans="1:15" ht="13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37"/>
      <c r="O52" s="37"/>
    </row>
    <row r="53" spans="1:15" ht="13.2">
      <c r="A53" s="15">
        <v>4</v>
      </c>
      <c r="B53" s="15">
        <v>3</v>
      </c>
      <c r="C53" s="15">
        <v>6</v>
      </c>
      <c r="D53" s="15">
        <v>5</v>
      </c>
      <c r="E53" s="15">
        <v>3</v>
      </c>
      <c r="F53" s="15">
        <v>5</v>
      </c>
      <c r="G53" s="15">
        <v>4</v>
      </c>
      <c r="H53" s="15">
        <v>6</v>
      </c>
      <c r="I53" s="15">
        <v>6</v>
      </c>
      <c r="J53" s="15">
        <v>6</v>
      </c>
      <c r="K53" s="15">
        <v>5</v>
      </c>
      <c r="L53" s="15">
        <v>6</v>
      </c>
      <c r="M53" s="15">
        <v>6</v>
      </c>
      <c r="N53" s="37"/>
      <c r="O53" s="37"/>
    </row>
    <row r="54" spans="1:15" ht="13.2">
      <c r="A54" s="15">
        <v>6</v>
      </c>
      <c r="B54" s="15">
        <v>6</v>
      </c>
      <c r="C54" s="15">
        <v>6</v>
      </c>
      <c r="D54" s="15">
        <v>6</v>
      </c>
      <c r="E54" s="15">
        <v>6</v>
      </c>
      <c r="F54" s="15">
        <v>6</v>
      </c>
      <c r="G54" s="15">
        <v>5</v>
      </c>
      <c r="H54" s="15">
        <v>6</v>
      </c>
      <c r="I54" s="15">
        <v>6</v>
      </c>
      <c r="J54" s="15">
        <v>6</v>
      </c>
      <c r="K54" s="15">
        <v>6</v>
      </c>
      <c r="L54" s="15">
        <v>6</v>
      </c>
      <c r="M54" s="15">
        <v>6</v>
      </c>
      <c r="N54" s="37"/>
      <c r="O54" s="37"/>
    </row>
    <row r="55" spans="1:15" ht="13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37"/>
      <c r="O55" s="37"/>
    </row>
    <row r="56" spans="1:15" ht="13.2">
      <c r="A56" s="15">
        <v>5</v>
      </c>
      <c r="B56" s="15">
        <v>3</v>
      </c>
      <c r="C56" s="15">
        <v>6</v>
      </c>
      <c r="D56" s="15">
        <v>4</v>
      </c>
      <c r="E56" s="15">
        <v>3</v>
      </c>
      <c r="F56" s="15">
        <v>5</v>
      </c>
      <c r="G56" s="15">
        <v>4</v>
      </c>
      <c r="H56" s="15">
        <v>6</v>
      </c>
      <c r="I56" s="15">
        <v>6</v>
      </c>
      <c r="J56" s="15">
        <v>6</v>
      </c>
      <c r="K56" s="15">
        <v>6</v>
      </c>
      <c r="L56" s="15">
        <v>6</v>
      </c>
      <c r="M56" s="15">
        <v>6</v>
      </c>
      <c r="N56" s="37"/>
      <c r="O56" s="37"/>
    </row>
    <row r="57" spans="1:15" ht="13.2">
      <c r="A57" s="15">
        <v>5</v>
      </c>
      <c r="B57" s="15">
        <v>6</v>
      </c>
      <c r="C57" s="15">
        <v>6</v>
      </c>
      <c r="D57" s="15">
        <v>6</v>
      </c>
      <c r="E57" s="15">
        <v>6</v>
      </c>
      <c r="F57" s="15">
        <v>6</v>
      </c>
      <c r="G57" s="15">
        <v>5</v>
      </c>
      <c r="H57" s="15">
        <v>6</v>
      </c>
      <c r="I57" s="15">
        <v>6</v>
      </c>
      <c r="J57" s="15">
        <v>6</v>
      </c>
      <c r="K57" s="15">
        <v>6</v>
      </c>
      <c r="L57" s="15">
        <v>6</v>
      </c>
      <c r="M57" s="15">
        <v>6</v>
      </c>
      <c r="N57" s="37"/>
      <c r="O57" s="37"/>
    </row>
    <row r="58" spans="1:15" ht="13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37"/>
      <c r="O58" s="37"/>
    </row>
    <row r="59" spans="1:15" ht="13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37"/>
      <c r="O59" s="37"/>
    </row>
    <row r="60" spans="1:15" ht="13.2">
      <c r="A60" s="19">
        <v>4</v>
      </c>
      <c r="B60" s="19">
        <v>4</v>
      </c>
      <c r="C60" s="19">
        <v>6</v>
      </c>
      <c r="D60" s="19">
        <v>5</v>
      </c>
      <c r="E60" s="19">
        <v>6</v>
      </c>
      <c r="F60" s="19">
        <v>6</v>
      </c>
      <c r="G60" s="19">
        <v>6</v>
      </c>
      <c r="H60" s="19">
        <v>6</v>
      </c>
      <c r="I60" s="19">
        <v>6</v>
      </c>
      <c r="J60" s="19">
        <v>6</v>
      </c>
      <c r="K60" s="19">
        <v>6</v>
      </c>
      <c r="L60" s="19">
        <v>6</v>
      </c>
      <c r="M60" s="19">
        <v>6</v>
      </c>
      <c r="N60" s="37"/>
      <c r="O60" s="37"/>
    </row>
    <row r="61" spans="1:15" ht="13.2">
      <c r="A61" s="19">
        <v>6</v>
      </c>
      <c r="B61" s="19">
        <v>5</v>
      </c>
      <c r="C61" s="19">
        <v>6</v>
      </c>
      <c r="D61" s="19">
        <v>6</v>
      </c>
      <c r="E61" s="19">
        <v>6</v>
      </c>
      <c r="F61" s="19">
        <v>6</v>
      </c>
      <c r="G61" s="19">
        <v>5</v>
      </c>
      <c r="H61" s="19">
        <v>6</v>
      </c>
      <c r="I61" s="19">
        <v>6</v>
      </c>
      <c r="J61" s="19">
        <v>6</v>
      </c>
      <c r="K61" s="19">
        <v>6</v>
      </c>
      <c r="L61" s="19">
        <v>6</v>
      </c>
      <c r="M61" s="19">
        <v>6</v>
      </c>
      <c r="N61" s="37"/>
      <c r="O61" s="37"/>
    </row>
    <row r="62" spans="1:15" ht="13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37"/>
      <c r="O62" s="37"/>
    </row>
    <row r="63" spans="1:15" ht="13.2">
      <c r="A63" s="19">
        <v>4</v>
      </c>
      <c r="B63" s="19">
        <v>4</v>
      </c>
      <c r="C63" s="19">
        <v>6</v>
      </c>
      <c r="D63" s="19">
        <v>5</v>
      </c>
      <c r="E63" s="19">
        <v>6</v>
      </c>
      <c r="F63" s="19">
        <v>6</v>
      </c>
      <c r="G63" s="19">
        <v>6</v>
      </c>
      <c r="H63" s="19">
        <v>6</v>
      </c>
      <c r="I63" s="19">
        <v>6</v>
      </c>
      <c r="J63" s="19">
        <v>6</v>
      </c>
      <c r="K63" s="19">
        <v>6</v>
      </c>
      <c r="L63" s="19">
        <v>6</v>
      </c>
      <c r="M63" s="19">
        <v>6</v>
      </c>
      <c r="N63" s="36"/>
      <c r="O63" s="36"/>
    </row>
    <row r="64" spans="1:15" ht="13.2">
      <c r="A64" s="19">
        <v>6</v>
      </c>
      <c r="B64" s="19">
        <v>5</v>
      </c>
      <c r="C64" s="19">
        <v>6</v>
      </c>
      <c r="D64" s="19">
        <v>6</v>
      </c>
      <c r="E64" s="19">
        <v>6</v>
      </c>
      <c r="F64" s="19">
        <v>6</v>
      </c>
      <c r="G64" s="19">
        <v>5</v>
      </c>
      <c r="H64" s="19">
        <v>6</v>
      </c>
      <c r="I64" s="19">
        <v>6</v>
      </c>
      <c r="J64" s="19">
        <v>6</v>
      </c>
      <c r="K64" s="19">
        <v>6</v>
      </c>
      <c r="L64" s="19">
        <v>6</v>
      </c>
      <c r="M64" s="19">
        <v>6</v>
      </c>
      <c r="N64" s="36"/>
      <c r="O64" s="36"/>
    </row>
    <row r="65" spans="1:15" ht="13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37"/>
      <c r="O65" s="37"/>
    </row>
    <row r="66" spans="1:15" ht="13.2">
      <c r="A66" s="19">
        <v>4</v>
      </c>
      <c r="B66" s="19">
        <v>3</v>
      </c>
      <c r="C66" s="19">
        <v>6</v>
      </c>
      <c r="D66" s="19">
        <v>6</v>
      </c>
      <c r="E66" s="19">
        <v>3</v>
      </c>
      <c r="F66" s="19">
        <v>6</v>
      </c>
      <c r="G66" s="19">
        <v>6</v>
      </c>
      <c r="H66" s="19">
        <v>6</v>
      </c>
      <c r="I66" s="19">
        <v>6</v>
      </c>
      <c r="J66" s="19">
        <v>6</v>
      </c>
      <c r="K66" s="19">
        <v>6</v>
      </c>
      <c r="L66" s="19">
        <v>6</v>
      </c>
      <c r="M66" s="19">
        <v>6</v>
      </c>
      <c r="N66" s="37"/>
      <c r="O66" s="37"/>
    </row>
    <row r="67" spans="1:15" ht="13.2">
      <c r="A67" s="19">
        <v>5</v>
      </c>
      <c r="B67" s="19">
        <v>5</v>
      </c>
      <c r="C67" s="19"/>
      <c r="D67" s="19">
        <v>5</v>
      </c>
      <c r="E67" s="19">
        <v>6</v>
      </c>
      <c r="F67" s="19"/>
      <c r="G67" s="19">
        <v>5</v>
      </c>
      <c r="H67" s="19">
        <v>6</v>
      </c>
      <c r="I67" s="19">
        <v>6</v>
      </c>
      <c r="J67" s="19">
        <v>6</v>
      </c>
      <c r="K67" s="19"/>
      <c r="L67" s="19">
        <v>6</v>
      </c>
      <c r="M67" s="19"/>
      <c r="N67" s="37"/>
      <c r="O67" s="37"/>
    </row>
    <row r="68" spans="1:15" ht="13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37"/>
      <c r="O68" s="37"/>
    </row>
    <row r="69" spans="1:15" ht="13.2">
      <c r="A69" s="19">
        <v>6</v>
      </c>
      <c r="B69" s="19">
        <v>4</v>
      </c>
      <c r="C69" s="19">
        <v>6</v>
      </c>
      <c r="D69" s="19">
        <v>6</v>
      </c>
      <c r="E69" s="19">
        <v>3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37"/>
      <c r="O69" s="37"/>
    </row>
    <row r="70" spans="1:15" ht="13.2">
      <c r="A70" s="19">
        <v>1</v>
      </c>
      <c r="B70" s="19">
        <v>5</v>
      </c>
      <c r="C70" s="19"/>
      <c r="D70" s="19">
        <v>5</v>
      </c>
      <c r="E70" s="19">
        <v>6</v>
      </c>
      <c r="F70" s="19"/>
      <c r="G70" s="19">
        <v>5</v>
      </c>
      <c r="H70" s="19">
        <v>6</v>
      </c>
      <c r="I70" s="19">
        <v>6</v>
      </c>
      <c r="J70" s="19">
        <v>6</v>
      </c>
      <c r="K70" s="19">
        <v>6</v>
      </c>
      <c r="L70" s="19"/>
      <c r="M70" s="19"/>
      <c r="N70" s="37"/>
      <c r="O70" s="37"/>
    </row>
    <row r="71" spans="1:15" ht="13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37"/>
      <c r="O71" s="37"/>
    </row>
    <row r="72" spans="1:15" ht="13.2">
      <c r="A72" s="20">
        <v>5</v>
      </c>
      <c r="B72" s="20">
        <v>5</v>
      </c>
      <c r="C72" s="20">
        <v>6</v>
      </c>
      <c r="D72" s="20">
        <v>6</v>
      </c>
      <c r="E72" s="20">
        <v>3</v>
      </c>
      <c r="F72" s="20">
        <v>6</v>
      </c>
      <c r="G72" s="20">
        <v>6</v>
      </c>
      <c r="H72" s="20">
        <v>6</v>
      </c>
      <c r="I72" s="20">
        <v>6</v>
      </c>
      <c r="J72" s="20">
        <v>6</v>
      </c>
      <c r="K72" s="20">
        <v>6</v>
      </c>
      <c r="L72" s="20">
        <v>6</v>
      </c>
      <c r="M72" s="20">
        <v>6</v>
      </c>
      <c r="N72" s="37"/>
      <c r="O72" s="37"/>
    </row>
    <row r="73" spans="1:15" ht="13.2">
      <c r="A73" s="20">
        <v>4</v>
      </c>
      <c r="B73" s="20">
        <v>5</v>
      </c>
      <c r="C73" s="20"/>
      <c r="D73" s="20">
        <v>4</v>
      </c>
      <c r="E73" s="20">
        <v>6</v>
      </c>
      <c r="F73" s="20"/>
      <c r="G73" s="20">
        <v>5</v>
      </c>
      <c r="H73" s="20">
        <v>6</v>
      </c>
      <c r="I73" s="20">
        <v>6</v>
      </c>
      <c r="J73" s="20">
        <v>6</v>
      </c>
      <c r="K73" s="20">
        <v>6</v>
      </c>
      <c r="L73" s="20"/>
      <c r="M73" s="20"/>
      <c r="N73" s="37"/>
      <c r="O73" s="37"/>
    </row>
    <row r="74" spans="1:15" ht="13.2">
      <c r="N74" s="37"/>
      <c r="O74" s="37"/>
    </row>
    <row r="75" spans="1:15" ht="13.2">
      <c r="N75" s="37"/>
      <c r="O75" s="37"/>
    </row>
    <row r="76" spans="1:15" ht="13.2">
      <c r="A76" s="21">
        <f t="shared" ref="A76:M76" si="0">0.61*((15-ROUND(A11,0)) + (15-ROUND(A14,0)) + A17 + A20 + A23 + A26) + 0.136*(A30+A34+A38+A42) + 2.27*(A47+A50+A53+A56) + 1.8*(A60+A63+A66+A69+A72)</f>
        <v>141.1</v>
      </c>
      <c r="B76" s="21">
        <f t="shared" si="0"/>
        <v>101.12</v>
      </c>
      <c r="C76" s="21">
        <f t="shared" si="0"/>
        <v>181.56</v>
      </c>
      <c r="D76" s="21">
        <f t="shared" si="0"/>
        <v>137.95000000000002</v>
      </c>
      <c r="E76" s="21">
        <f t="shared" si="0"/>
        <v>99.48</v>
      </c>
      <c r="F76" s="21">
        <f t="shared" si="0"/>
        <v>183.4</v>
      </c>
      <c r="G76" s="21">
        <f t="shared" si="0"/>
        <v>175.53</v>
      </c>
      <c r="H76" s="21">
        <f t="shared" si="0"/>
        <v>162.10000000000002</v>
      </c>
      <c r="I76" s="21">
        <f t="shared" si="0"/>
        <v>190.33</v>
      </c>
      <c r="J76" s="21">
        <f t="shared" si="0"/>
        <v>195.82</v>
      </c>
      <c r="K76" s="21">
        <f t="shared" si="0"/>
        <v>169.49</v>
      </c>
      <c r="L76" s="21">
        <f t="shared" si="0"/>
        <v>178.68</v>
      </c>
      <c r="M76" s="21">
        <f t="shared" si="0"/>
        <v>162.81</v>
      </c>
      <c r="N76" s="37"/>
      <c r="O76" s="37"/>
    </row>
    <row r="77" spans="1:15" ht="13.2">
      <c r="A77" s="22">
        <f t="shared" ref="A77:M77" si="1">0.61*((15-ROUND(A12,0)) + (15-ROUND(A15,0)) + A18 + A21 + A24 + A27) + 0.136*(A31+A35+A39+A43) + 2.27*(A48+A51+A54+A57) + 1.8*(A61+A64+A67+A70+A73)</f>
        <v>120.31</v>
      </c>
      <c r="B77" s="22">
        <f t="shared" si="1"/>
        <v>162.9</v>
      </c>
      <c r="C77" s="22">
        <f t="shared" si="1"/>
        <v>100.71000000000001</v>
      </c>
      <c r="D77" s="22">
        <f t="shared" si="1"/>
        <v>147.86000000000001</v>
      </c>
      <c r="E77" s="22">
        <f t="shared" si="1"/>
        <v>179.78000000000003</v>
      </c>
      <c r="F77" s="22">
        <f t="shared" si="1"/>
        <v>101.03999999999999</v>
      </c>
      <c r="G77" s="22">
        <f t="shared" si="1"/>
        <v>125.4</v>
      </c>
      <c r="H77" s="22">
        <f t="shared" si="1"/>
        <v>169.65</v>
      </c>
      <c r="I77" s="22">
        <f t="shared" si="1"/>
        <v>130.44</v>
      </c>
      <c r="J77" s="22">
        <f t="shared" si="1"/>
        <v>138.37</v>
      </c>
      <c r="K77" s="22">
        <f t="shared" si="1"/>
        <v>147.36000000000001</v>
      </c>
      <c r="L77" s="22">
        <f t="shared" si="1"/>
        <v>116.39000000000001</v>
      </c>
      <c r="M77" s="22">
        <f t="shared" si="1"/>
        <v>103.32</v>
      </c>
      <c r="N77" s="37"/>
      <c r="O77" s="37"/>
    </row>
    <row r="78" spans="1:15" ht="13.2">
      <c r="A78" s="24">
        <f>A76-A77</f>
        <v>20.789999999999992</v>
      </c>
      <c r="B78" s="24">
        <f t="shared" ref="B78:M78" si="2">B76-B77</f>
        <v>-61.78</v>
      </c>
      <c r="C78" s="24">
        <f t="shared" si="2"/>
        <v>80.849999999999994</v>
      </c>
      <c r="D78" s="24">
        <f t="shared" si="2"/>
        <v>-9.9099999999999966</v>
      </c>
      <c r="E78" s="24">
        <f t="shared" si="2"/>
        <v>-80.300000000000026</v>
      </c>
      <c r="F78" s="24">
        <f t="shared" si="2"/>
        <v>82.360000000000014</v>
      </c>
      <c r="G78" s="24">
        <f t="shared" si="2"/>
        <v>50.129999999999995</v>
      </c>
      <c r="H78" s="24">
        <f t="shared" si="2"/>
        <v>-7.5499999999999829</v>
      </c>
      <c r="I78" s="24">
        <f t="shared" si="2"/>
        <v>59.890000000000015</v>
      </c>
      <c r="J78" s="24">
        <f t="shared" si="2"/>
        <v>57.449999999999989</v>
      </c>
      <c r="K78" s="24">
        <f t="shared" si="2"/>
        <v>22.129999999999995</v>
      </c>
      <c r="L78" s="24">
        <f t="shared" si="2"/>
        <v>62.289999999999992</v>
      </c>
      <c r="M78" s="24">
        <f t="shared" si="2"/>
        <v>59.490000000000009</v>
      </c>
      <c r="N78" s="37"/>
      <c r="O78" s="37"/>
    </row>
    <row r="79" spans="1:15" ht="13.2">
      <c r="N79" s="37"/>
      <c r="O79" s="37"/>
    </row>
    <row r="80" spans="1:15" ht="13.2">
      <c r="N80" s="37"/>
      <c r="O80" s="37"/>
    </row>
    <row r="81" spans="1:15" ht="13.2">
      <c r="A81" s="21" t="s">
        <v>16</v>
      </c>
      <c r="B81" s="21">
        <f>AVERAGE(A78:M78)</f>
        <v>25.833846153846157</v>
      </c>
      <c r="N81" s="41"/>
      <c r="O81" s="36"/>
    </row>
    <row r="82" spans="1:15" ht="13.2">
      <c r="A82" s="21" t="s">
        <v>61</v>
      </c>
      <c r="B82" s="21">
        <f>MEDIAN(A78:M78)</f>
        <v>50.129999999999995</v>
      </c>
      <c r="N82" s="41"/>
      <c r="O82" s="36"/>
    </row>
    <row r="83" spans="1:15" ht="15.75" customHeight="1">
      <c r="N83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82"/>
  <sheetViews>
    <sheetView zoomScale="108" workbookViewId="0">
      <selection activeCell="A4" sqref="A4"/>
    </sheetView>
  </sheetViews>
  <sheetFormatPr defaultColWidth="12.5546875" defaultRowHeight="15.75" customHeight="1"/>
  <sheetData>
    <row r="1" spans="1:19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7"/>
      <c r="S1" s="37"/>
    </row>
    <row r="2" spans="1:19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42"/>
      <c r="S2" s="42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7"/>
      <c r="S3" s="37"/>
    </row>
    <row r="4" spans="1:19">
      <c r="A4" s="3">
        <v>18</v>
      </c>
      <c r="B4" s="3">
        <v>21</v>
      </c>
      <c r="C4" s="3">
        <v>23</v>
      </c>
      <c r="D4" s="3">
        <v>24</v>
      </c>
      <c r="E4" s="3">
        <v>16</v>
      </c>
      <c r="F4" s="3">
        <v>16</v>
      </c>
      <c r="G4" s="3">
        <v>18</v>
      </c>
      <c r="H4" s="3">
        <v>16</v>
      </c>
      <c r="I4" s="3">
        <v>19</v>
      </c>
      <c r="J4" s="3">
        <v>16</v>
      </c>
      <c r="K4" s="3">
        <v>28</v>
      </c>
      <c r="L4" s="3">
        <v>18</v>
      </c>
      <c r="M4" s="3">
        <v>20</v>
      </c>
      <c r="N4" s="3">
        <v>25</v>
      </c>
      <c r="O4" s="3">
        <v>28</v>
      </c>
      <c r="P4" s="3">
        <v>28</v>
      </c>
      <c r="Q4" s="3">
        <v>24</v>
      </c>
      <c r="R4" s="37"/>
      <c r="S4" s="37"/>
    </row>
    <row r="5" spans="1:19">
      <c r="A5" s="3" t="s">
        <v>7</v>
      </c>
      <c r="B5" s="3" t="s">
        <v>8</v>
      </c>
      <c r="C5" s="3" t="s">
        <v>8</v>
      </c>
      <c r="D5" s="3" t="s">
        <v>7</v>
      </c>
      <c r="E5" s="3" t="s">
        <v>8</v>
      </c>
      <c r="F5" s="3" t="s">
        <v>7</v>
      </c>
      <c r="G5" s="3" t="s">
        <v>7</v>
      </c>
      <c r="H5" s="3" t="s">
        <v>8</v>
      </c>
      <c r="I5" s="3" t="s">
        <v>8</v>
      </c>
      <c r="J5" s="3" t="s">
        <v>8</v>
      </c>
      <c r="K5" s="3" t="s">
        <v>7</v>
      </c>
      <c r="L5" s="3" t="s">
        <v>7</v>
      </c>
      <c r="M5" s="3" t="s">
        <v>7</v>
      </c>
      <c r="N5" s="3" t="s">
        <v>8</v>
      </c>
      <c r="O5" s="3" t="s">
        <v>7</v>
      </c>
      <c r="P5" s="3" t="s">
        <v>8</v>
      </c>
      <c r="Q5" s="3" t="s">
        <v>7</v>
      </c>
      <c r="R5" s="37"/>
      <c r="S5" s="37"/>
    </row>
    <row r="6" spans="1:19">
      <c r="A6" s="3" t="s">
        <v>10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13</v>
      </c>
      <c r="G6" s="3" t="s">
        <v>13</v>
      </c>
      <c r="H6" s="3" t="s">
        <v>10</v>
      </c>
      <c r="I6" s="3" t="s">
        <v>10</v>
      </c>
      <c r="J6" s="3" t="s">
        <v>10</v>
      </c>
      <c r="K6" s="3" t="s">
        <v>14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7"/>
      <c r="S6" s="37"/>
    </row>
    <row r="7" spans="1:19">
      <c r="A7" s="3" t="s">
        <v>16</v>
      </c>
      <c r="B7" s="3" t="s">
        <v>17</v>
      </c>
      <c r="C7" s="3" t="s">
        <v>18</v>
      </c>
      <c r="D7" s="3" t="s">
        <v>18</v>
      </c>
      <c r="E7" s="3"/>
      <c r="F7" s="3"/>
      <c r="G7" s="3"/>
      <c r="H7" s="3"/>
      <c r="I7" s="3"/>
      <c r="J7" s="3"/>
      <c r="K7" s="3"/>
      <c r="L7" s="3" t="s">
        <v>16</v>
      </c>
      <c r="M7" s="3" t="s">
        <v>16</v>
      </c>
      <c r="N7" s="3" t="s">
        <v>16</v>
      </c>
      <c r="O7" s="3"/>
      <c r="P7" s="3"/>
      <c r="Q7" s="3"/>
      <c r="R7" s="37"/>
      <c r="S7" s="37"/>
    </row>
    <row r="8" spans="1:1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37"/>
      <c r="S8" s="37"/>
    </row>
    <row r="9" spans="1:1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37"/>
      <c r="S9" s="37"/>
    </row>
    <row r="10" spans="1:19">
      <c r="A10" s="7">
        <v>2</v>
      </c>
      <c r="B10" s="7">
        <v>2</v>
      </c>
      <c r="C10" s="7">
        <v>3</v>
      </c>
      <c r="D10" s="7">
        <v>1</v>
      </c>
      <c r="E10" s="7">
        <v>2</v>
      </c>
      <c r="F10" s="7">
        <v>2.5</v>
      </c>
      <c r="G10" s="7">
        <v>2.1</v>
      </c>
      <c r="H10" s="7">
        <v>2.5</v>
      </c>
      <c r="I10" s="7">
        <v>3</v>
      </c>
      <c r="J10" s="7">
        <v>2</v>
      </c>
      <c r="K10" s="7">
        <v>2.5</v>
      </c>
      <c r="L10" s="7">
        <v>2</v>
      </c>
      <c r="M10" s="7">
        <v>2</v>
      </c>
      <c r="N10" s="7">
        <v>1</v>
      </c>
      <c r="O10" s="7">
        <v>1</v>
      </c>
      <c r="P10" s="7">
        <v>2</v>
      </c>
      <c r="Q10" s="7">
        <v>1</v>
      </c>
      <c r="R10" s="37"/>
      <c r="S10" s="37"/>
    </row>
    <row r="11" spans="1:19">
      <c r="A11" s="7">
        <v>8</v>
      </c>
      <c r="B11" s="7">
        <v>2</v>
      </c>
      <c r="C11" s="7">
        <v>5</v>
      </c>
      <c r="D11" s="7">
        <v>1</v>
      </c>
      <c r="E11" s="7">
        <v>6</v>
      </c>
      <c r="F11" s="7">
        <v>4</v>
      </c>
      <c r="G11" s="7">
        <v>2.4</v>
      </c>
      <c r="H11" s="7">
        <v>5</v>
      </c>
      <c r="I11" s="7">
        <v>5</v>
      </c>
      <c r="J11" s="7">
        <v>4</v>
      </c>
      <c r="K11" s="7">
        <v>8</v>
      </c>
      <c r="L11" s="7">
        <v>4</v>
      </c>
      <c r="M11" s="7">
        <v>3</v>
      </c>
      <c r="N11" s="7">
        <v>2</v>
      </c>
      <c r="O11" s="7">
        <v>6</v>
      </c>
      <c r="P11" s="7">
        <v>5</v>
      </c>
      <c r="Q11" s="7">
        <v>6</v>
      </c>
      <c r="R11" s="37"/>
      <c r="S11" s="37"/>
    </row>
    <row r="12" spans="1:1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37"/>
      <c r="S12" s="37"/>
    </row>
    <row r="13" spans="1:19">
      <c r="A13" s="7">
        <v>2</v>
      </c>
      <c r="B13" s="7">
        <v>3</v>
      </c>
      <c r="C13" s="7">
        <v>3</v>
      </c>
      <c r="D13" s="7">
        <v>3</v>
      </c>
      <c r="E13" s="7">
        <v>4</v>
      </c>
      <c r="F13" s="7">
        <v>4</v>
      </c>
      <c r="G13" s="7">
        <v>2.2999999999999998</v>
      </c>
      <c r="H13" s="7">
        <v>3</v>
      </c>
      <c r="I13" s="7">
        <v>5</v>
      </c>
      <c r="J13" s="7">
        <v>4</v>
      </c>
      <c r="K13" s="7">
        <v>3</v>
      </c>
      <c r="L13" s="7">
        <v>4</v>
      </c>
      <c r="M13" s="7">
        <v>3</v>
      </c>
      <c r="N13" s="7">
        <v>2</v>
      </c>
      <c r="O13" s="7">
        <v>2</v>
      </c>
      <c r="P13" s="7">
        <v>2</v>
      </c>
      <c r="Q13" s="7">
        <v>2</v>
      </c>
      <c r="R13" s="37"/>
      <c r="S13" s="37"/>
    </row>
    <row r="14" spans="1:19">
      <c r="A14" s="7">
        <v>11</v>
      </c>
      <c r="B14" s="7">
        <v>6</v>
      </c>
      <c r="C14" s="7">
        <v>6</v>
      </c>
      <c r="D14" s="7">
        <v>3</v>
      </c>
      <c r="E14" s="7">
        <v>6</v>
      </c>
      <c r="F14" s="7">
        <v>4</v>
      </c>
      <c r="G14" s="7">
        <v>2.5</v>
      </c>
      <c r="H14" s="7">
        <v>5</v>
      </c>
      <c r="I14" s="7">
        <v>6</v>
      </c>
      <c r="J14" s="7">
        <v>6</v>
      </c>
      <c r="K14" s="7">
        <v>8</v>
      </c>
      <c r="L14" s="7">
        <v>5</v>
      </c>
      <c r="M14" s="7">
        <v>4</v>
      </c>
      <c r="N14" s="7">
        <v>3</v>
      </c>
      <c r="O14" s="7">
        <v>7</v>
      </c>
      <c r="P14" s="7">
        <v>6</v>
      </c>
      <c r="Q14" s="7">
        <v>6</v>
      </c>
      <c r="R14" s="37"/>
      <c r="S14" s="37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37"/>
      <c r="S15" s="37"/>
    </row>
    <row r="16" spans="1:19">
      <c r="A16" s="7">
        <v>9</v>
      </c>
      <c r="B16" s="7">
        <v>5</v>
      </c>
      <c r="C16" s="7">
        <v>5</v>
      </c>
      <c r="D16" s="7">
        <v>5</v>
      </c>
      <c r="E16" s="7"/>
      <c r="F16" s="7">
        <v>2</v>
      </c>
      <c r="G16" s="7">
        <v>4</v>
      </c>
      <c r="H16" s="7">
        <v>9</v>
      </c>
      <c r="I16" s="7">
        <v>9</v>
      </c>
      <c r="J16" s="7">
        <v>9</v>
      </c>
      <c r="K16" s="7">
        <v>12</v>
      </c>
      <c r="L16" s="7">
        <v>11</v>
      </c>
      <c r="M16" s="7">
        <v>9</v>
      </c>
      <c r="N16" s="7">
        <v>10</v>
      </c>
      <c r="O16" s="7">
        <v>9</v>
      </c>
      <c r="P16" s="7">
        <v>10</v>
      </c>
      <c r="Q16" s="7">
        <v>8</v>
      </c>
      <c r="R16" s="37"/>
      <c r="S16" s="37"/>
    </row>
    <row r="17" spans="1:19">
      <c r="A17" s="7">
        <v>9</v>
      </c>
      <c r="B17" s="7">
        <v>16</v>
      </c>
      <c r="C17" s="7">
        <v>18</v>
      </c>
      <c r="D17" s="7">
        <v>19</v>
      </c>
      <c r="E17" s="7"/>
      <c r="F17" s="7">
        <v>9</v>
      </c>
      <c r="G17" s="7">
        <v>5</v>
      </c>
      <c r="H17" s="7">
        <v>9</v>
      </c>
      <c r="I17" s="7">
        <v>11</v>
      </c>
      <c r="J17" s="7">
        <v>9</v>
      </c>
      <c r="K17" s="7">
        <v>12</v>
      </c>
      <c r="L17" s="7">
        <v>11</v>
      </c>
      <c r="M17" s="7">
        <v>13</v>
      </c>
      <c r="N17" s="7">
        <v>12</v>
      </c>
      <c r="O17" s="7">
        <v>11</v>
      </c>
      <c r="P17" s="7">
        <v>14</v>
      </c>
      <c r="Q17" s="7">
        <v>10</v>
      </c>
      <c r="R17" s="37"/>
      <c r="S17" s="37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37"/>
      <c r="S18" s="37"/>
    </row>
    <row r="19" spans="1:19">
      <c r="A19" s="7">
        <v>18</v>
      </c>
      <c r="B19" s="7">
        <v>21</v>
      </c>
      <c r="C19" s="7">
        <v>23</v>
      </c>
      <c r="D19" s="7">
        <v>24</v>
      </c>
      <c r="E19" s="7">
        <v>16</v>
      </c>
      <c r="F19" s="7">
        <v>16</v>
      </c>
      <c r="G19" s="7">
        <v>9</v>
      </c>
      <c r="H19" s="7">
        <v>16</v>
      </c>
      <c r="I19" s="7">
        <v>19</v>
      </c>
      <c r="J19" s="7">
        <v>16</v>
      </c>
      <c r="K19" s="7">
        <v>28</v>
      </c>
      <c r="L19" s="7">
        <v>18</v>
      </c>
      <c r="M19" s="7">
        <v>20</v>
      </c>
      <c r="N19" s="7">
        <v>25</v>
      </c>
      <c r="O19" s="7">
        <v>28</v>
      </c>
      <c r="P19" s="7">
        <v>28</v>
      </c>
      <c r="Q19" s="7">
        <v>24</v>
      </c>
      <c r="R19" s="37"/>
      <c r="S19" s="37"/>
    </row>
    <row r="20" spans="1:19">
      <c r="A20" s="7">
        <v>18</v>
      </c>
      <c r="B20" s="7">
        <v>21</v>
      </c>
      <c r="C20" s="7">
        <v>23</v>
      </c>
      <c r="D20" s="7">
        <v>24</v>
      </c>
      <c r="E20" s="7"/>
      <c r="F20" s="7">
        <v>16</v>
      </c>
      <c r="G20" s="7">
        <v>9</v>
      </c>
      <c r="H20" s="7"/>
      <c r="I20" s="7"/>
      <c r="J20" s="7"/>
      <c r="K20" s="7">
        <v>28</v>
      </c>
      <c r="L20" s="7">
        <v>18</v>
      </c>
      <c r="M20" s="7">
        <v>20</v>
      </c>
      <c r="N20" s="7"/>
      <c r="O20" s="7"/>
      <c r="P20" s="7"/>
      <c r="Q20" s="7"/>
      <c r="R20" s="37"/>
      <c r="S20" s="37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37"/>
      <c r="S21" s="37"/>
    </row>
    <row r="22" spans="1:19">
      <c r="A22" s="7">
        <v>18</v>
      </c>
      <c r="B22" s="7">
        <v>21</v>
      </c>
      <c r="C22" s="7">
        <v>23</v>
      </c>
      <c r="D22" s="7">
        <v>24</v>
      </c>
      <c r="E22" s="7">
        <v>16</v>
      </c>
      <c r="F22" s="7">
        <v>16</v>
      </c>
      <c r="G22" s="7">
        <v>18</v>
      </c>
      <c r="H22" s="7">
        <v>16</v>
      </c>
      <c r="I22" s="7">
        <v>19</v>
      </c>
      <c r="J22" s="7">
        <v>16</v>
      </c>
      <c r="K22" s="7">
        <v>28</v>
      </c>
      <c r="L22" s="7">
        <v>18</v>
      </c>
      <c r="M22" s="7">
        <v>20</v>
      </c>
      <c r="N22" s="7">
        <v>25</v>
      </c>
      <c r="O22" s="7">
        <v>28</v>
      </c>
      <c r="P22" s="7">
        <v>28</v>
      </c>
      <c r="Q22" s="7">
        <v>24</v>
      </c>
      <c r="R22" s="37"/>
      <c r="S22" s="37"/>
    </row>
    <row r="23" spans="1:19">
      <c r="A23" s="7">
        <v>18</v>
      </c>
      <c r="B23" s="7">
        <v>21</v>
      </c>
      <c r="C23" s="7">
        <v>23</v>
      </c>
      <c r="D23" s="7">
        <v>24</v>
      </c>
      <c r="E23" s="7"/>
      <c r="F23" s="7">
        <v>16</v>
      </c>
      <c r="G23" s="7">
        <v>18</v>
      </c>
      <c r="H23" s="7"/>
      <c r="I23" s="7"/>
      <c r="J23" s="7"/>
      <c r="K23" s="7"/>
      <c r="L23" s="7">
        <v>18</v>
      </c>
      <c r="M23" s="7">
        <v>20</v>
      </c>
      <c r="N23" s="7"/>
      <c r="O23" s="7"/>
      <c r="P23" s="7"/>
      <c r="Q23" s="7"/>
      <c r="R23" s="37"/>
      <c r="S23" s="37"/>
    </row>
    <row r="24" spans="1:19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37"/>
      <c r="S24" s="37"/>
    </row>
    <row r="25" spans="1:19">
      <c r="A25" s="7"/>
      <c r="B25" s="7">
        <v>12</v>
      </c>
      <c r="C25" s="7">
        <v>12</v>
      </c>
      <c r="D25" s="7">
        <v>12</v>
      </c>
      <c r="E25" s="7"/>
      <c r="F25" s="7">
        <v>10</v>
      </c>
      <c r="G25" s="7">
        <v>5</v>
      </c>
      <c r="H25" s="7"/>
      <c r="I25" s="7">
        <v>19</v>
      </c>
      <c r="J25" s="7"/>
      <c r="K25" s="7">
        <v>5</v>
      </c>
      <c r="L25" s="7"/>
      <c r="M25" s="7"/>
      <c r="N25" s="7"/>
      <c r="O25" s="7">
        <v>28</v>
      </c>
      <c r="P25" s="7">
        <v>28</v>
      </c>
      <c r="Q25" s="7">
        <v>24</v>
      </c>
      <c r="R25" s="37"/>
      <c r="S25" s="37"/>
    </row>
    <row r="26" spans="1:19">
      <c r="A26" s="7"/>
      <c r="B26" s="7">
        <v>16</v>
      </c>
      <c r="C26" s="7">
        <v>18</v>
      </c>
      <c r="D26" s="7">
        <v>19</v>
      </c>
      <c r="E26" s="7"/>
      <c r="F26" s="7">
        <v>13</v>
      </c>
      <c r="G26" s="7">
        <v>11</v>
      </c>
      <c r="H26" s="7"/>
      <c r="I26" s="7"/>
      <c r="J26" s="7"/>
      <c r="K26" s="7">
        <v>3</v>
      </c>
      <c r="L26" s="7"/>
      <c r="M26" s="7"/>
      <c r="N26" s="7">
        <v>5</v>
      </c>
      <c r="O26" s="7">
        <v>28</v>
      </c>
      <c r="P26" s="7"/>
      <c r="Q26" s="7"/>
      <c r="R26" s="37"/>
      <c r="S26" s="37"/>
    </row>
    <row r="27" spans="1:19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36"/>
      <c r="S27" s="36"/>
    </row>
    <row r="28" spans="1:19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36"/>
      <c r="S28" s="36"/>
    </row>
    <row r="29" spans="1:19">
      <c r="A29" s="11">
        <v>70</v>
      </c>
      <c r="B29" s="11">
        <v>50</v>
      </c>
      <c r="C29" s="11">
        <v>50</v>
      </c>
      <c r="D29" s="11">
        <v>70</v>
      </c>
      <c r="E29" s="11">
        <v>100</v>
      </c>
      <c r="F29" s="11">
        <v>70</v>
      </c>
      <c r="G29" s="11">
        <v>90</v>
      </c>
      <c r="H29" s="11">
        <v>100</v>
      </c>
      <c r="I29" s="11">
        <v>100</v>
      </c>
      <c r="J29" s="11">
        <v>100</v>
      </c>
      <c r="K29" s="11">
        <v>100</v>
      </c>
      <c r="L29" s="11">
        <v>70</v>
      </c>
      <c r="M29" s="11">
        <v>60</v>
      </c>
      <c r="N29" s="11">
        <v>50</v>
      </c>
      <c r="O29" s="11">
        <v>70</v>
      </c>
      <c r="P29" s="11">
        <v>100</v>
      </c>
      <c r="Q29" s="11">
        <v>100</v>
      </c>
      <c r="R29" s="37"/>
      <c r="S29" s="37"/>
    </row>
    <row r="30" spans="1:19">
      <c r="A30" s="11">
        <v>30</v>
      </c>
      <c r="B30" s="11">
        <v>45</v>
      </c>
      <c r="C30" s="11">
        <v>45</v>
      </c>
      <c r="D30" s="11">
        <v>30</v>
      </c>
      <c r="E30" s="11"/>
      <c r="F30" s="11">
        <v>25</v>
      </c>
      <c r="G30" s="11">
        <v>10</v>
      </c>
      <c r="H30" s="11"/>
      <c r="I30" s="11"/>
      <c r="J30" s="11"/>
      <c r="K30" s="11"/>
      <c r="L30" s="11">
        <v>30</v>
      </c>
      <c r="M30" s="11">
        <v>40</v>
      </c>
      <c r="N30" s="11">
        <v>50</v>
      </c>
      <c r="O30" s="11">
        <v>30</v>
      </c>
      <c r="P30" s="11"/>
      <c r="Q30" s="11"/>
      <c r="R30" s="37"/>
      <c r="S30" s="37"/>
    </row>
    <row r="31" spans="1:19">
      <c r="A31" s="11"/>
      <c r="B31" s="11">
        <v>5</v>
      </c>
      <c r="C31" s="11">
        <v>5</v>
      </c>
      <c r="D31" s="11"/>
      <c r="E31" s="11"/>
      <c r="F31" s="11">
        <v>5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37"/>
      <c r="S31" s="37"/>
    </row>
    <row r="32" spans="1:19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37"/>
      <c r="S32" s="37"/>
    </row>
    <row r="33" spans="1:19">
      <c r="A33" s="11">
        <v>90</v>
      </c>
      <c r="B33" s="11">
        <v>65</v>
      </c>
      <c r="C33" s="11">
        <v>65</v>
      </c>
      <c r="D33" s="11">
        <v>65</v>
      </c>
      <c r="E33" s="11">
        <v>100</v>
      </c>
      <c r="F33" s="11">
        <v>8</v>
      </c>
      <c r="G33" s="11">
        <v>97</v>
      </c>
      <c r="H33" s="11">
        <v>50</v>
      </c>
      <c r="I33" s="11">
        <v>100</v>
      </c>
      <c r="J33" s="11">
        <v>100</v>
      </c>
      <c r="K33" s="11"/>
      <c r="L33" s="11">
        <v>80</v>
      </c>
      <c r="M33" s="11">
        <v>50</v>
      </c>
      <c r="N33" s="11">
        <v>100</v>
      </c>
      <c r="O33" s="11">
        <v>80</v>
      </c>
      <c r="P33" s="11">
        <v>100</v>
      </c>
      <c r="Q33" s="11">
        <v>100</v>
      </c>
      <c r="R33" s="37"/>
      <c r="S33" s="37"/>
    </row>
    <row r="34" spans="1:19">
      <c r="A34" s="11">
        <v>10</v>
      </c>
      <c r="B34" s="11">
        <v>30</v>
      </c>
      <c r="C34" s="11">
        <v>30</v>
      </c>
      <c r="D34" s="11">
        <v>30</v>
      </c>
      <c r="E34" s="11"/>
      <c r="F34" s="11">
        <v>10</v>
      </c>
      <c r="G34" s="11">
        <v>3</v>
      </c>
      <c r="H34" s="11">
        <v>50</v>
      </c>
      <c r="I34" s="11"/>
      <c r="J34" s="11"/>
      <c r="K34" s="11"/>
      <c r="L34" s="11">
        <v>20</v>
      </c>
      <c r="M34" s="11">
        <v>50</v>
      </c>
      <c r="N34" s="11"/>
      <c r="O34" s="11">
        <v>20</v>
      </c>
      <c r="P34" s="11"/>
      <c r="Q34" s="11"/>
      <c r="R34" s="37"/>
      <c r="S34" s="37"/>
    </row>
    <row r="35" spans="1:19">
      <c r="A35" s="11"/>
      <c r="B35" s="11">
        <v>5</v>
      </c>
      <c r="C35" s="11">
        <v>5</v>
      </c>
      <c r="D35" s="11">
        <v>5</v>
      </c>
      <c r="E35" s="11"/>
      <c r="F35" s="11">
        <v>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37"/>
      <c r="S35" s="37"/>
    </row>
    <row r="36" spans="1:19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37"/>
      <c r="S36" s="37"/>
    </row>
    <row r="37" spans="1:19">
      <c r="A37" s="11"/>
      <c r="B37" s="11">
        <v>50</v>
      </c>
      <c r="C37" s="11">
        <v>10</v>
      </c>
      <c r="D37" s="11"/>
      <c r="E37" s="11"/>
      <c r="F37" s="11">
        <v>60</v>
      </c>
      <c r="G37" s="11"/>
      <c r="H37" s="11"/>
      <c r="I37" s="11">
        <v>100</v>
      </c>
      <c r="J37" s="11"/>
      <c r="K37" s="11">
        <v>50</v>
      </c>
      <c r="L37" s="11"/>
      <c r="M37" s="11"/>
      <c r="N37" s="11">
        <v>100</v>
      </c>
      <c r="O37" s="11">
        <v>100</v>
      </c>
      <c r="P37" s="11"/>
      <c r="Q37" s="11"/>
      <c r="R37" s="37"/>
      <c r="S37" s="37"/>
    </row>
    <row r="38" spans="1:19">
      <c r="A38" s="11"/>
      <c r="B38" s="11">
        <v>50</v>
      </c>
      <c r="C38" s="11">
        <v>90</v>
      </c>
      <c r="D38" s="11">
        <v>95</v>
      </c>
      <c r="E38" s="11"/>
      <c r="F38" s="11">
        <v>39</v>
      </c>
      <c r="G38" s="11"/>
      <c r="H38" s="11"/>
      <c r="I38" s="11"/>
      <c r="J38" s="11"/>
      <c r="K38" s="11">
        <v>50</v>
      </c>
      <c r="L38" s="11"/>
      <c r="M38" s="11">
        <v>100</v>
      </c>
      <c r="N38" s="11"/>
      <c r="O38" s="11"/>
      <c r="P38" s="11">
        <v>100</v>
      </c>
      <c r="Q38" s="11">
        <v>100</v>
      </c>
      <c r="R38" s="37"/>
      <c r="S38" s="37"/>
    </row>
    <row r="39" spans="1:19">
      <c r="A39" s="11"/>
      <c r="B39" s="11"/>
      <c r="C39" s="11"/>
      <c r="D39" s="11">
        <v>5</v>
      </c>
      <c r="E39" s="11"/>
      <c r="F39" s="11">
        <v>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37"/>
      <c r="S39" s="37"/>
    </row>
    <row r="40" spans="1:1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37"/>
      <c r="S40" s="37"/>
    </row>
    <row r="41" spans="1:19">
      <c r="A41" s="11">
        <v>50</v>
      </c>
      <c r="B41" s="11">
        <v>30</v>
      </c>
      <c r="C41" s="11">
        <v>60</v>
      </c>
      <c r="D41" s="11">
        <v>50</v>
      </c>
      <c r="E41" s="11"/>
      <c r="F41" s="11">
        <v>90</v>
      </c>
      <c r="G41" s="11">
        <v>90</v>
      </c>
      <c r="H41" s="11">
        <v>100</v>
      </c>
      <c r="I41" s="11">
        <v>100</v>
      </c>
      <c r="J41" s="11">
        <v>100</v>
      </c>
      <c r="K41" s="11">
        <v>100</v>
      </c>
      <c r="L41" s="11">
        <v>100</v>
      </c>
      <c r="M41" s="11">
        <v>50</v>
      </c>
      <c r="N41" s="11">
        <v>70</v>
      </c>
      <c r="O41" s="11">
        <v>100</v>
      </c>
      <c r="P41" s="11">
        <v>100</v>
      </c>
      <c r="Q41" s="11">
        <v>100</v>
      </c>
      <c r="R41" s="37"/>
      <c r="S41" s="37"/>
    </row>
    <row r="42" spans="1:19">
      <c r="A42" s="11">
        <v>50</v>
      </c>
      <c r="B42" s="11">
        <v>60</v>
      </c>
      <c r="C42" s="11">
        <v>40</v>
      </c>
      <c r="D42" s="11">
        <v>50</v>
      </c>
      <c r="E42" s="11"/>
      <c r="F42" s="11">
        <v>7</v>
      </c>
      <c r="G42" s="11">
        <v>10</v>
      </c>
      <c r="H42" s="11"/>
      <c r="I42" s="11"/>
      <c r="J42" s="11"/>
      <c r="K42" s="11"/>
      <c r="L42" s="11"/>
      <c r="M42" s="11">
        <v>50</v>
      </c>
      <c r="N42" s="11">
        <v>30</v>
      </c>
      <c r="O42" s="11"/>
      <c r="P42" s="11"/>
      <c r="Q42" s="11"/>
      <c r="R42" s="37"/>
      <c r="S42" s="37"/>
    </row>
    <row r="43" spans="1:19">
      <c r="A43" s="11"/>
      <c r="B43" s="11">
        <v>10</v>
      </c>
      <c r="C43" s="11"/>
      <c r="D43" s="11"/>
      <c r="E43" s="11"/>
      <c r="F43" s="11">
        <v>3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37"/>
      <c r="S43" s="37"/>
    </row>
    <row r="44" spans="1:19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37"/>
      <c r="S44" s="37"/>
    </row>
    <row r="45" spans="1:19">
      <c r="A45" s="11"/>
      <c r="B45" s="11">
        <v>10</v>
      </c>
      <c r="C45" s="11">
        <v>35</v>
      </c>
      <c r="D45" s="11">
        <v>5</v>
      </c>
      <c r="E45" s="11">
        <v>50</v>
      </c>
      <c r="F45" s="11">
        <v>60</v>
      </c>
      <c r="G45" s="11">
        <v>50</v>
      </c>
      <c r="H45" s="11">
        <v>30</v>
      </c>
      <c r="I45" s="11">
        <v>100</v>
      </c>
      <c r="J45" s="11">
        <v>50</v>
      </c>
      <c r="K45" s="11">
        <v>50</v>
      </c>
      <c r="L45" s="11"/>
      <c r="M45" s="11"/>
      <c r="N45" s="11">
        <v>50</v>
      </c>
      <c r="O45" s="11">
        <v>50</v>
      </c>
      <c r="P45" s="11">
        <v>100</v>
      </c>
      <c r="Q45" s="11">
        <v>100</v>
      </c>
      <c r="R45" s="37"/>
      <c r="S45" s="37"/>
    </row>
    <row r="46" spans="1:19">
      <c r="A46" s="11"/>
      <c r="B46" s="11">
        <v>90</v>
      </c>
      <c r="C46" s="11">
        <v>60</v>
      </c>
      <c r="D46" s="11">
        <v>90</v>
      </c>
      <c r="E46" s="11">
        <v>50</v>
      </c>
      <c r="F46" s="11">
        <v>35</v>
      </c>
      <c r="G46" s="11">
        <v>50</v>
      </c>
      <c r="H46" s="11">
        <v>70</v>
      </c>
      <c r="I46" s="11"/>
      <c r="J46" s="11">
        <v>50</v>
      </c>
      <c r="K46" s="11">
        <v>50</v>
      </c>
      <c r="L46" s="11">
        <v>100</v>
      </c>
      <c r="M46" s="11">
        <v>100</v>
      </c>
      <c r="N46" s="11">
        <v>50</v>
      </c>
      <c r="O46" s="11">
        <v>50</v>
      </c>
      <c r="P46" s="11"/>
      <c r="Q46" s="11"/>
      <c r="R46" s="37"/>
      <c r="S46" s="37"/>
    </row>
    <row r="47" spans="1:19">
      <c r="A47" s="11"/>
      <c r="B47" s="11"/>
      <c r="C47" s="11">
        <v>5</v>
      </c>
      <c r="D47" s="11">
        <v>5</v>
      </c>
      <c r="E47" s="11"/>
      <c r="F47" s="11">
        <v>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37"/>
      <c r="S47" s="37"/>
    </row>
    <row r="48" spans="1:19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37"/>
      <c r="S48" s="37"/>
    </row>
    <row r="49" spans="1:1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37"/>
      <c r="S49" s="37"/>
    </row>
    <row r="50" spans="1:19">
      <c r="A50" s="15">
        <v>6</v>
      </c>
      <c r="B50" s="15">
        <v>6</v>
      </c>
      <c r="C50" s="15">
        <v>5</v>
      </c>
      <c r="D50" s="15">
        <v>6</v>
      </c>
      <c r="E50" s="15">
        <v>6</v>
      </c>
      <c r="F50" s="15">
        <v>5</v>
      </c>
      <c r="G50" s="15">
        <v>4</v>
      </c>
      <c r="H50" s="15">
        <v>6</v>
      </c>
      <c r="I50" s="15">
        <v>6</v>
      </c>
      <c r="J50" s="15">
        <v>6</v>
      </c>
      <c r="K50" s="15">
        <v>6</v>
      </c>
      <c r="L50" s="15">
        <v>5</v>
      </c>
      <c r="M50" s="15">
        <v>5</v>
      </c>
      <c r="N50" s="15">
        <v>6</v>
      </c>
      <c r="O50" s="15">
        <v>6</v>
      </c>
      <c r="P50" s="15">
        <v>6</v>
      </c>
      <c r="Q50" s="15">
        <v>6</v>
      </c>
      <c r="R50" s="36"/>
      <c r="S50" s="36"/>
    </row>
    <row r="51" spans="1:19">
      <c r="A51" s="15">
        <v>6</v>
      </c>
      <c r="B51" s="15">
        <v>6</v>
      </c>
      <c r="C51" s="15">
        <v>5</v>
      </c>
      <c r="D51" s="15">
        <v>5</v>
      </c>
      <c r="E51" s="15">
        <v>6</v>
      </c>
      <c r="F51" s="15">
        <v>5</v>
      </c>
      <c r="G51" s="15">
        <v>4</v>
      </c>
      <c r="H51" s="15">
        <v>6</v>
      </c>
      <c r="I51" s="15">
        <v>6</v>
      </c>
      <c r="J51" s="15">
        <v>6</v>
      </c>
      <c r="K51" s="15">
        <v>6</v>
      </c>
      <c r="L51" s="15">
        <v>5</v>
      </c>
      <c r="M51" s="15">
        <v>5</v>
      </c>
      <c r="N51" s="15">
        <v>6</v>
      </c>
      <c r="O51" s="15">
        <v>6</v>
      </c>
      <c r="P51" s="15">
        <v>6</v>
      </c>
      <c r="Q51" s="15">
        <v>6</v>
      </c>
      <c r="R51" s="36"/>
      <c r="S51" s="36"/>
    </row>
    <row r="52" spans="1:19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36"/>
      <c r="S52" s="36"/>
    </row>
    <row r="53" spans="1:19">
      <c r="A53" s="15">
        <v>6</v>
      </c>
      <c r="B53" s="15">
        <v>6</v>
      </c>
      <c r="C53" s="15">
        <v>5</v>
      </c>
      <c r="D53" s="15">
        <v>6</v>
      </c>
      <c r="E53" s="15">
        <v>6</v>
      </c>
      <c r="F53" s="15">
        <v>4</v>
      </c>
      <c r="G53" s="15">
        <v>5</v>
      </c>
      <c r="H53" s="15">
        <v>6</v>
      </c>
      <c r="I53" s="15">
        <v>6</v>
      </c>
      <c r="J53" s="15">
        <v>6</v>
      </c>
      <c r="K53" s="15">
        <v>6</v>
      </c>
      <c r="L53" s="15">
        <v>6</v>
      </c>
      <c r="M53" s="15">
        <v>5</v>
      </c>
      <c r="N53" s="15">
        <v>6</v>
      </c>
      <c r="O53" s="15">
        <v>6</v>
      </c>
      <c r="P53" s="15">
        <v>6</v>
      </c>
      <c r="Q53" s="15">
        <v>6</v>
      </c>
      <c r="R53" s="37"/>
      <c r="S53" s="37"/>
    </row>
    <row r="54" spans="1:19">
      <c r="A54" s="15">
        <v>6</v>
      </c>
      <c r="B54" s="15">
        <v>6</v>
      </c>
      <c r="C54" s="15">
        <v>6</v>
      </c>
      <c r="D54" s="15">
        <v>6</v>
      </c>
      <c r="E54" s="15">
        <v>6</v>
      </c>
      <c r="F54" s="15">
        <v>5</v>
      </c>
      <c r="G54" s="15">
        <v>5</v>
      </c>
      <c r="H54" s="15">
        <v>6</v>
      </c>
      <c r="I54" s="15">
        <v>6</v>
      </c>
      <c r="J54" s="15">
        <v>6</v>
      </c>
      <c r="K54" s="15">
        <v>6</v>
      </c>
      <c r="L54" s="15">
        <v>6</v>
      </c>
      <c r="M54" s="15">
        <v>5</v>
      </c>
      <c r="N54" s="15">
        <v>6</v>
      </c>
      <c r="O54" s="15">
        <v>6</v>
      </c>
      <c r="P54" s="15">
        <v>6</v>
      </c>
      <c r="Q54" s="15">
        <v>6</v>
      </c>
      <c r="R54" s="37"/>
      <c r="S54" s="37"/>
    </row>
    <row r="55" spans="1:19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37"/>
      <c r="S55" s="37"/>
    </row>
    <row r="56" spans="1:19">
      <c r="A56" s="15">
        <v>6</v>
      </c>
      <c r="B56" s="15">
        <v>6</v>
      </c>
      <c r="C56" s="15">
        <v>4</v>
      </c>
      <c r="D56" s="15">
        <v>5</v>
      </c>
      <c r="E56" s="15">
        <v>6</v>
      </c>
      <c r="F56" s="15">
        <v>4</v>
      </c>
      <c r="G56" s="15">
        <v>3</v>
      </c>
      <c r="H56" s="15">
        <v>6</v>
      </c>
      <c r="I56" s="15">
        <v>6</v>
      </c>
      <c r="J56" s="15">
        <v>6</v>
      </c>
      <c r="K56" s="15">
        <v>6</v>
      </c>
      <c r="L56" s="15">
        <v>5</v>
      </c>
      <c r="M56" s="15">
        <v>6</v>
      </c>
      <c r="N56" s="15">
        <v>6</v>
      </c>
      <c r="O56" s="15">
        <v>6</v>
      </c>
      <c r="P56" s="15">
        <v>6</v>
      </c>
      <c r="Q56" s="15">
        <v>6</v>
      </c>
      <c r="R56" s="37"/>
      <c r="S56" s="37"/>
    </row>
    <row r="57" spans="1:19">
      <c r="A57" s="15">
        <v>6</v>
      </c>
      <c r="B57" s="15">
        <v>6</v>
      </c>
      <c r="C57" s="15">
        <v>6</v>
      </c>
      <c r="D57" s="15">
        <v>6</v>
      </c>
      <c r="E57" s="15">
        <v>6</v>
      </c>
      <c r="F57" s="15">
        <v>5</v>
      </c>
      <c r="G57" s="15">
        <v>5</v>
      </c>
      <c r="H57" s="15">
        <v>6</v>
      </c>
      <c r="I57" s="15">
        <v>6</v>
      </c>
      <c r="J57" s="15">
        <v>6</v>
      </c>
      <c r="K57" s="15">
        <v>6</v>
      </c>
      <c r="L57" s="15">
        <v>6</v>
      </c>
      <c r="M57" s="15">
        <v>6</v>
      </c>
      <c r="N57" s="15">
        <v>6</v>
      </c>
      <c r="O57" s="15">
        <v>6</v>
      </c>
      <c r="P57" s="15">
        <v>6</v>
      </c>
      <c r="Q57" s="15">
        <v>6</v>
      </c>
      <c r="R57" s="37"/>
      <c r="S57" s="37"/>
    </row>
    <row r="58" spans="1:19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37"/>
      <c r="S58" s="37"/>
    </row>
    <row r="59" spans="1:19">
      <c r="A59" s="15">
        <v>6</v>
      </c>
      <c r="B59" s="15">
        <v>6</v>
      </c>
      <c r="C59" s="15">
        <v>4</v>
      </c>
      <c r="D59" s="15">
        <v>4</v>
      </c>
      <c r="E59" s="15">
        <v>6</v>
      </c>
      <c r="F59" s="15">
        <v>4</v>
      </c>
      <c r="G59" s="15">
        <v>3</v>
      </c>
      <c r="H59" s="15">
        <v>6</v>
      </c>
      <c r="I59" s="15">
        <v>6</v>
      </c>
      <c r="J59" s="15">
        <v>6</v>
      </c>
      <c r="K59" s="15">
        <v>6</v>
      </c>
      <c r="L59" s="15">
        <v>5</v>
      </c>
      <c r="M59" s="15">
        <v>6</v>
      </c>
      <c r="N59" s="15">
        <v>6</v>
      </c>
      <c r="O59" s="15">
        <v>6</v>
      </c>
      <c r="P59" s="15">
        <v>6</v>
      </c>
      <c r="Q59" s="15">
        <v>6</v>
      </c>
      <c r="R59" s="37"/>
      <c r="S59" s="37"/>
    </row>
    <row r="60" spans="1:19">
      <c r="A60" s="15">
        <v>6</v>
      </c>
      <c r="B60" s="15">
        <v>6</v>
      </c>
      <c r="C60" s="15">
        <v>6</v>
      </c>
      <c r="D60" s="15">
        <v>5</v>
      </c>
      <c r="E60" s="15">
        <v>6</v>
      </c>
      <c r="F60" s="15">
        <v>5</v>
      </c>
      <c r="G60" s="15">
        <v>5</v>
      </c>
      <c r="H60" s="15">
        <v>6</v>
      </c>
      <c r="I60" s="15">
        <v>6</v>
      </c>
      <c r="J60" s="15">
        <v>6</v>
      </c>
      <c r="K60" s="15">
        <v>6</v>
      </c>
      <c r="L60" s="15">
        <v>6</v>
      </c>
      <c r="M60" s="15">
        <v>6</v>
      </c>
      <c r="N60" s="15">
        <v>6</v>
      </c>
      <c r="O60" s="15">
        <v>6</v>
      </c>
      <c r="P60" s="15">
        <v>6</v>
      </c>
      <c r="Q60" s="15">
        <v>6</v>
      </c>
      <c r="R60" s="37"/>
      <c r="S60" s="37"/>
    </row>
    <row r="61" spans="1:1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37"/>
      <c r="S61" s="37"/>
    </row>
    <row r="62" spans="1:1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37"/>
      <c r="S62" s="37"/>
    </row>
    <row r="63" spans="1:19">
      <c r="A63" s="19">
        <v>6</v>
      </c>
      <c r="B63" s="19">
        <v>6</v>
      </c>
      <c r="C63" s="19">
        <v>6</v>
      </c>
      <c r="D63" s="19">
        <v>6</v>
      </c>
      <c r="E63" s="19">
        <v>6</v>
      </c>
      <c r="F63" s="19">
        <v>6</v>
      </c>
      <c r="G63" s="19">
        <v>6</v>
      </c>
      <c r="H63" s="19">
        <v>6</v>
      </c>
      <c r="I63" s="19">
        <v>6</v>
      </c>
      <c r="J63" s="19">
        <v>6</v>
      </c>
      <c r="K63" s="19">
        <v>6</v>
      </c>
      <c r="L63" s="19">
        <v>6</v>
      </c>
      <c r="M63" s="19">
        <v>6</v>
      </c>
      <c r="N63" s="19">
        <v>6</v>
      </c>
      <c r="O63" s="19">
        <v>6</v>
      </c>
      <c r="P63" s="19">
        <v>6</v>
      </c>
      <c r="Q63" s="19">
        <v>6</v>
      </c>
      <c r="R63" s="37"/>
      <c r="S63" s="37"/>
    </row>
    <row r="64" spans="1:19">
      <c r="A64" s="19">
        <v>6</v>
      </c>
      <c r="B64" s="19">
        <v>6</v>
      </c>
      <c r="C64" s="19">
        <v>5</v>
      </c>
      <c r="D64" s="19">
        <v>6</v>
      </c>
      <c r="E64" s="19">
        <v>1</v>
      </c>
      <c r="F64" s="19">
        <v>6</v>
      </c>
      <c r="G64" s="19">
        <v>5</v>
      </c>
      <c r="H64" s="19">
        <v>4</v>
      </c>
      <c r="I64" s="19"/>
      <c r="J64" s="19"/>
      <c r="K64" s="19">
        <v>6</v>
      </c>
      <c r="L64" s="19"/>
      <c r="M64" s="19">
        <v>5</v>
      </c>
      <c r="N64" s="19">
        <v>6</v>
      </c>
      <c r="O64" s="19">
        <v>6</v>
      </c>
      <c r="P64" s="19">
        <v>6</v>
      </c>
      <c r="Q64" s="19">
        <v>6</v>
      </c>
      <c r="R64" s="37"/>
      <c r="S64" s="37"/>
    </row>
    <row r="65" spans="1:1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37"/>
      <c r="S65" s="37"/>
    </row>
    <row r="66" spans="1:19">
      <c r="A66" s="19">
        <v>6</v>
      </c>
      <c r="B66" s="19">
        <v>6</v>
      </c>
      <c r="C66" s="19">
        <v>4</v>
      </c>
      <c r="D66" s="19">
        <v>4</v>
      </c>
      <c r="E66" s="19">
        <v>6</v>
      </c>
      <c r="F66" s="19">
        <v>6</v>
      </c>
      <c r="G66" s="19">
        <v>6</v>
      </c>
      <c r="H66" s="19">
        <v>6</v>
      </c>
      <c r="I66" s="19">
        <v>6</v>
      </c>
      <c r="J66" s="19">
        <v>6</v>
      </c>
      <c r="K66" s="19">
        <v>6</v>
      </c>
      <c r="L66" s="19">
        <v>6</v>
      </c>
      <c r="M66" s="19">
        <v>6</v>
      </c>
      <c r="N66" s="19">
        <v>6</v>
      </c>
      <c r="O66" s="19">
        <v>6</v>
      </c>
      <c r="P66" s="19">
        <v>6</v>
      </c>
      <c r="Q66" s="19">
        <v>6</v>
      </c>
      <c r="R66" s="36"/>
      <c r="S66" s="36"/>
    </row>
    <row r="67" spans="1:19">
      <c r="A67" s="19">
        <v>3</v>
      </c>
      <c r="B67" s="19">
        <v>3</v>
      </c>
      <c r="C67" s="19">
        <v>2</v>
      </c>
      <c r="D67" s="19">
        <v>3</v>
      </c>
      <c r="E67" s="19"/>
      <c r="F67" s="19">
        <v>2</v>
      </c>
      <c r="G67" s="19">
        <v>2</v>
      </c>
      <c r="H67" s="19"/>
      <c r="I67" s="19"/>
      <c r="J67" s="19"/>
      <c r="K67" s="19"/>
      <c r="L67" s="19"/>
      <c r="M67" s="19"/>
      <c r="N67" s="19">
        <v>6</v>
      </c>
      <c r="O67" s="19"/>
      <c r="P67" s="19"/>
      <c r="Q67" s="19"/>
      <c r="R67" s="36"/>
      <c r="S67" s="36"/>
    </row>
    <row r="68" spans="1:1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37"/>
      <c r="S68" s="37"/>
    </row>
    <row r="69" spans="1:19">
      <c r="A69" s="19">
        <v>6</v>
      </c>
      <c r="B69" s="19">
        <v>6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19">
        <v>6</v>
      </c>
      <c r="O69" s="19">
        <v>6</v>
      </c>
      <c r="P69" s="19">
        <v>6</v>
      </c>
      <c r="Q69" s="19">
        <v>6</v>
      </c>
      <c r="R69" s="37"/>
      <c r="S69" s="37"/>
    </row>
    <row r="70" spans="1:19">
      <c r="A70" s="19">
        <v>5</v>
      </c>
      <c r="B70" s="19"/>
      <c r="C70" s="19">
        <v>3</v>
      </c>
      <c r="D70" s="19">
        <v>4</v>
      </c>
      <c r="E70" s="19"/>
      <c r="F70" s="19">
        <v>3</v>
      </c>
      <c r="G70" s="19">
        <v>4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37"/>
      <c r="S70" s="37"/>
    </row>
    <row r="71" spans="1:1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37"/>
      <c r="S71" s="37"/>
    </row>
    <row r="72" spans="1:19">
      <c r="A72" s="19">
        <v>6</v>
      </c>
      <c r="B72" s="19">
        <v>6</v>
      </c>
      <c r="C72" s="19">
        <v>5</v>
      </c>
      <c r="D72" s="19">
        <v>6</v>
      </c>
      <c r="E72" s="19">
        <v>6</v>
      </c>
      <c r="F72" s="19">
        <v>3</v>
      </c>
      <c r="G72" s="19">
        <v>3</v>
      </c>
      <c r="H72" s="19">
        <v>6</v>
      </c>
      <c r="I72" s="19">
        <v>6</v>
      </c>
      <c r="J72" s="19">
        <v>6</v>
      </c>
      <c r="K72" s="19">
        <v>6</v>
      </c>
      <c r="L72" s="19">
        <v>6</v>
      </c>
      <c r="M72" s="19">
        <v>6</v>
      </c>
      <c r="N72" s="19">
        <v>6</v>
      </c>
      <c r="O72" s="19">
        <v>6</v>
      </c>
      <c r="P72" s="19">
        <v>6</v>
      </c>
      <c r="Q72" s="19">
        <v>6</v>
      </c>
      <c r="R72" s="37"/>
      <c r="S72" s="37"/>
    </row>
    <row r="73" spans="1:19">
      <c r="A73" s="19">
        <v>0</v>
      </c>
      <c r="B73" s="19">
        <v>3</v>
      </c>
      <c r="C73" s="19">
        <v>3</v>
      </c>
      <c r="D73" s="19">
        <v>5</v>
      </c>
      <c r="E73" s="19"/>
      <c r="F73" s="19">
        <v>4</v>
      </c>
      <c r="G73" s="19">
        <v>4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37"/>
      <c r="S73" s="37"/>
    </row>
    <row r="74" spans="1:19">
      <c r="R74" s="37"/>
      <c r="S74" s="37"/>
    </row>
    <row r="75" spans="1:19">
      <c r="R75" s="37"/>
      <c r="S75" s="37"/>
    </row>
    <row r="76" spans="1:19">
      <c r="A76" s="21">
        <f t="shared" ref="A76:Q76" si="0">0.454*(IF(A10&gt;20, 20, 20-ROUND(A10,0)) + IF(A13&gt;20, 20, 20-ROUND(A13,0)) + A16 + IF(A19&gt;20, 20, A19) + IF(A22&gt;20, 20, A22) + IF(A25&gt;20, 20, A25)) + (A29+A33+A37+A41+A45)*0.109 + (A50+A53+A56+A59)*2.27 + (A63+A66+A69+A72)*2.27</f>
        <v>168.62400000000002</v>
      </c>
      <c r="B76" s="21">
        <f t="shared" si="0"/>
        <v>173.07300000000001</v>
      </c>
      <c r="C76" s="21">
        <f t="shared" si="0"/>
        <v>153.82400000000001</v>
      </c>
      <c r="D76" s="21">
        <f t="shared" si="0"/>
        <v>160.542</v>
      </c>
      <c r="E76" s="21">
        <f t="shared" si="0"/>
        <v>166.17400000000001</v>
      </c>
      <c r="F76" s="21">
        <f t="shared" si="0"/>
        <v>152.61000000000001</v>
      </c>
      <c r="G76" s="21">
        <f t="shared" si="0"/>
        <v>150.05099999999999</v>
      </c>
      <c r="H76" s="21">
        <f t="shared" si="0"/>
        <v>173.53000000000003</v>
      </c>
      <c r="I76" s="21">
        <f t="shared" si="0"/>
        <v>207.952</v>
      </c>
      <c r="J76" s="21">
        <f t="shared" si="0"/>
        <v>181.16000000000003</v>
      </c>
      <c r="K76" s="21">
        <f t="shared" si="0"/>
        <v>182.97400000000005</v>
      </c>
      <c r="L76" s="21">
        <f t="shared" si="0"/>
        <v>166.17400000000001</v>
      </c>
      <c r="M76" s="21">
        <f t="shared" si="0"/>
        <v>159.99600000000001</v>
      </c>
      <c r="N76" s="21">
        <f t="shared" si="0"/>
        <v>188.78800000000001</v>
      </c>
      <c r="O76" s="21">
        <f t="shared" si="0"/>
        <v>200.68400000000003</v>
      </c>
      <c r="P76" s="21">
        <f t="shared" si="0"/>
        <v>200.68400000000003</v>
      </c>
      <c r="Q76" s="21">
        <f t="shared" si="0"/>
        <v>200.23000000000002</v>
      </c>
      <c r="R76" s="37"/>
      <c r="S76" s="37"/>
    </row>
    <row r="77" spans="1:19">
      <c r="A77" s="22">
        <f t="shared" ref="A77:Q77" si="1">0.454*(IF(A11&gt;20, 20, 20-ROUND(A11,0)) + IF(A14&gt;20, 20, 20-ROUND(A14,0)) + A17 + IF(A20&gt;20, 20, A20) + IF(A23&gt;20, 20, A23) + IF(A26&gt;20, 20, A26)) + (A30+A34+A38+A42+A46)*0.109 + (A51+A54+A57+A60)*2.27 + (A64+A67+A70+A73)*2.27</f>
        <v>126.03400000000001</v>
      </c>
      <c r="B77" s="22">
        <f t="shared" si="1"/>
        <v>158.911</v>
      </c>
      <c r="C77" s="22">
        <f t="shared" si="1"/>
        <v>158.27500000000001</v>
      </c>
      <c r="D77" s="22">
        <f t="shared" si="1"/>
        <v>174.71100000000001</v>
      </c>
      <c r="E77" s="22">
        <f t="shared" si="1"/>
        <v>74.911999999999992</v>
      </c>
      <c r="F77" s="22">
        <f t="shared" si="1"/>
        <v>131.13799999999998</v>
      </c>
      <c r="G77" s="22">
        <f t="shared" si="1"/>
        <v>120.54899999999999</v>
      </c>
      <c r="H77" s="22">
        <f t="shared" si="1"/>
        <v>94.346000000000004</v>
      </c>
      <c r="I77" s="22">
        <f t="shared" si="1"/>
        <v>72.64</v>
      </c>
      <c r="J77" s="22">
        <f t="shared" si="1"/>
        <v>77.635999999999996</v>
      </c>
      <c r="K77" s="22">
        <f t="shared" si="1"/>
        <v>105.786</v>
      </c>
      <c r="L77" s="22">
        <f t="shared" si="1"/>
        <v>103.97200000000001</v>
      </c>
      <c r="M77" s="22">
        <f t="shared" si="1"/>
        <v>137.39400000000001</v>
      </c>
      <c r="N77" s="22">
        <f t="shared" si="1"/>
        <v>119.49800000000002</v>
      </c>
      <c r="O77" s="22">
        <f t="shared" si="1"/>
        <v>105.33200000000001</v>
      </c>
      <c r="P77" s="22">
        <f t="shared" si="1"/>
        <v>98.52200000000002</v>
      </c>
      <c r="Q77" s="22">
        <f t="shared" si="1"/>
        <v>96.25200000000001</v>
      </c>
      <c r="R77" s="37"/>
      <c r="S77" s="37"/>
    </row>
    <row r="78" spans="1:19">
      <c r="A78" s="24">
        <f t="shared" ref="A78:Q78" si="2">A76-A77</f>
        <v>42.590000000000018</v>
      </c>
      <c r="B78" s="24">
        <f t="shared" si="2"/>
        <v>14.162000000000006</v>
      </c>
      <c r="C78" s="24">
        <f t="shared" si="2"/>
        <v>-4.4509999999999934</v>
      </c>
      <c r="D78" s="24">
        <f t="shared" si="2"/>
        <v>-14.169000000000011</v>
      </c>
      <c r="E78" s="24">
        <f t="shared" si="2"/>
        <v>91.262000000000015</v>
      </c>
      <c r="F78" s="24">
        <f t="shared" si="2"/>
        <v>21.472000000000037</v>
      </c>
      <c r="G78" s="24">
        <f t="shared" si="2"/>
        <v>29.501999999999995</v>
      </c>
      <c r="H78" s="24">
        <f t="shared" si="2"/>
        <v>79.184000000000026</v>
      </c>
      <c r="I78" s="24">
        <f t="shared" si="2"/>
        <v>135.31200000000001</v>
      </c>
      <c r="J78" s="24">
        <f t="shared" si="2"/>
        <v>103.52400000000003</v>
      </c>
      <c r="K78" s="24">
        <f t="shared" si="2"/>
        <v>77.188000000000045</v>
      </c>
      <c r="L78" s="24">
        <f t="shared" si="2"/>
        <v>62.201999999999998</v>
      </c>
      <c r="M78" s="24">
        <f t="shared" si="2"/>
        <v>22.602000000000004</v>
      </c>
      <c r="N78" s="24">
        <f t="shared" si="2"/>
        <v>69.289999999999992</v>
      </c>
      <c r="O78" s="24">
        <f t="shared" si="2"/>
        <v>95.352000000000018</v>
      </c>
      <c r="P78" s="24">
        <f t="shared" si="2"/>
        <v>102.16200000000001</v>
      </c>
      <c r="Q78" s="24">
        <f t="shared" si="2"/>
        <v>103.97800000000001</v>
      </c>
      <c r="R78" s="37"/>
      <c r="S78" s="37"/>
    </row>
    <row r="79" spans="1:19">
      <c r="R79" s="37"/>
      <c r="S79" s="37"/>
    </row>
    <row r="80" spans="1:19">
      <c r="A80" s="21" t="s">
        <v>16</v>
      </c>
      <c r="B80" s="21">
        <f>AVERAGE(A78:Q78)</f>
        <v>60.65658823529413</v>
      </c>
      <c r="R80" s="37"/>
      <c r="S80" s="37"/>
    </row>
    <row r="81" spans="1:19">
      <c r="A81" s="21" t="s">
        <v>61</v>
      </c>
      <c r="B81" s="21">
        <f>MEDIAN(A78:Q78)</f>
        <v>69.289999999999992</v>
      </c>
      <c r="R81" s="36"/>
      <c r="S81" s="36"/>
    </row>
    <row r="82" spans="1:19">
      <c r="R82" s="36"/>
      <c r="S82" s="36"/>
    </row>
  </sheetData>
  <sortState xmlns:xlrd2="http://schemas.microsoft.com/office/spreadsheetml/2017/richdata2" columnSort="1" ref="T1:AJ90">
    <sortCondition ref="T89:AJ8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82"/>
  <sheetViews>
    <sheetView zoomScale="88" workbookViewId="0">
      <selection activeCell="A4" sqref="A4"/>
    </sheetView>
  </sheetViews>
  <sheetFormatPr defaultColWidth="12.5546875" defaultRowHeight="15.75" customHeight="1"/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7"/>
      <c r="T1" s="37"/>
    </row>
    <row r="2" spans="1:20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42"/>
      <c r="T2" s="42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7"/>
      <c r="T3" s="37"/>
    </row>
    <row r="4" spans="1:20">
      <c r="A4" s="3">
        <v>31</v>
      </c>
      <c r="B4" s="3">
        <v>35</v>
      </c>
      <c r="C4" s="3">
        <v>36</v>
      </c>
      <c r="D4" s="3">
        <v>35</v>
      </c>
      <c r="E4" s="3">
        <v>39</v>
      </c>
      <c r="F4" s="3">
        <v>39</v>
      </c>
      <c r="G4" s="3">
        <v>39</v>
      </c>
      <c r="H4" s="3">
        <v>35</v>
      </c>
      <c r="I4" s="3">
        <v>37</v>
      </c>
      <c r="J4" s="3">
        <v>31</v>
      </c>
      <c r="K4" s="3">
        <v>31</v>
      </c>
      <c r="L4" s="3">
        <v>31</v>
      </c>
      <c r="M4" s="3">
        <v>40</v>
      </c>
      <c r="N4" s="3">
        <v>36</v>
      </c>
      <c r="O4" s="3">
        <v>39</v>
      </c>
      <c r="P4" s="3">
        <v>40</v>
      </c>
      <c r="Q4" s="3">
        <v>39</v>
      </c>
      <c r="R4" s="3">
        <v>31</v>
      </c>
      <c r="S4" s="37"/>
      <c r="T4" s="37"/>
    </row>
    <row r="5" spans="1:20">
      <c r="A5" s="3" t="s">
        <v>7</v>
      </c>
      <c r="B5" s="3" t="s">
        <v>8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  <c r="I5" s="3" t="s">
        <v>7</v>
      </c>
      <c r="J5" s="3" t="s">
        <v>8</v>
      </c>
      <c r="K5" s="3" t="s">
        <v>8</v>
      </c>
      <c r="L5" s="3" t="s">
        <v>8</v>
      </c>
      <c r="M5" s="3" t="s">
        <v>8</v>
      </c>
      <c r="N5" s="3" t="s">
        <v>7</v>
      </c>
      <c r="O5" s="3" t="s">
        <v>7</v>
      </c>
      <c r="P5" s="3" t="s">
        <v>7</v>
      </c>
      <c r="Q5" s="3" t="s">
        <v>8</v>
      </c>
      <c r="R5" s="3" t="s">
        <v>7</v>
      </c>
      <c r="S5" s="37"/>
      <c r="T5" s="37"/>
    </row>
    <row r="6" spans="1:20">
      <c r="A6" s="3" t="s">
        <v>10</v>
      </c>
      <c r="B6" s="3" t="s">
        <v>10</v>
      </c>
      <c r="C6" s="3" t="s">
        <v>10</v>
      </c>
      <c r="D6" s="3" t="s">
        <v>12</v>
      </c>
      <c r="E6" s="3" t="s">
        <v>10</v>
      </c>
      <c r="F6" s="3" t="s">
        <v>13</v>
      </c>
      <c r="G6" s="3" t="s">
        <v>10</v>
      </c>
      <c r="H6" s="3" t="s">
        <v>10</v>
      </c>
      <c r="I6" s="3" t="s">
        <v>10</v>
      </c>
      <c r="J6" s="3" t="s">
        <v>14</v>
      </c>
      <c r="K6" s="3" t="s">
        <v>14</v>
      </c>
      <c r="L6" s="3" t="s">
        <v>14</v>
      </c>
      <c r="M6" s="3" t="s">
        <v>14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7"/>
      <c r="T6" s="37"/>
    </row>
    <row r="7" spans="1:20">
      <c r="A7" s="3" t="s">
        <v>16</v>
      </c>
      <c r="B7" s="3" t="s">
        <v>16</v>
      </c>
      <c r="C7" s="3" t="s">
        <v>19</v>
      </c>
      <c r="D7" s="3" t="s">
        <v>18</v>
      </c>
      <c r="E7" s="3"/>
      <c r="F7" s="3" t="s">
        <v>18</v>
      </c>
      <c r="G7" s="3" t="s">
        <v>16</v>
      </c>
      <c r="H7" s="3"/>
      <c r="I7" s="3"/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3" t="s">
        <v>18</v>
      </c>
      <c r="Q7" s="3"/>
      <c r="R7" s="3" t="s">
        <v>16</v>
      </c>
      <c r="S7" s="37"/>
      <c r="T7" s="37"/>
    </row>
    <row r="8" spans="1:20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37"/>
      <c r="T8" s="37"/>
    </row>
    <row r="9" spans="1:20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37"/>
      <c r="T9" s="37"/>
    </row>
    <row r="10" spans="1:20">
      <c r="A10" s="7">
        <v>1.5</v>
      </c>
      <c r="B10" s="7">
        <v>1</v>
      </c>
      <c r="C10" s="7">
        <v>12</v>
      </c>
      <c r="D10" s="7">
        <v>1.5</v>
      </c>
      <c r="E10" s="7">
        <v>2.5</v>
      </c>
      <c r="F10" s="7">
        <v>3</v>
      </c>
      <c r="G10" s="7">
        <v>2</v>
      </c>
      <c r="H10" s="7">
        <v>1</v>
      </c>
      <c r="I10" s="7">
        <v>1</v>
      </c>
      <c r="J10" s="7">
        <v>2.5</v>
      </c>
      <c r="K10" s="7">
        <v>3</v>
      </c>
      <c r="L10" s="7">
        <v>2</v>
      </c>
      <c r="M10" s="7">
        <v>3</v>
      </c>
      <c r="N10" s="7">
        <v>1</v>
      </c>
      <c r="O10" s="7">
        <v>3</v>
      </c>
      <c r="P10" s="7">
        <v>1</v>
      </c>
      <c r="Q10" s="7">
        <v>2</v>
      </c>
      <c r="R10" s="7">
        <v>2</v>
      </c>
      <c r="S10" s="37"/>
      <c r="T10" s="37"/>
    </row>
    <row r="11" spans="1:20">
      <c r="A11" s="7">
        <v>1.5</v>
      </c>
      <c r="B11" s="7"/>
      <c r="C11" s="7">
        <v>2</v>
      </c>
      <c r="D11" s="7">
        <v>3</v>
      </c>
      <c r="E11" s="7">
        <v>3</v>
      </c>
      <c r="F11" s="7">
        <v>2.5</v>
      </c>
      <c r="G11" s="7">
        <v>6</v>
      </c>
      <c r="H11" s="7">
        <v>1</v>
      </c>
      <c r="I11" s="7">
        <v>3</v>
      </c>
      <c r="J11" s="7">
        <v>6</v>
      </c>
      <c r="K11" s="7">
        <v>7</v>
      </c>
      <c r="L11" s="7">
        <v>7</v>
      </c>
      <c r="M11" s="7">
        <v>4</v>
      </c>
      <c r="N11" s="7">
        <v>7</v>
      </c>
      <c r="O11" s="7">
        <v>9</v>
      </c>
      <c r="P11" s="7"/>
      <c r="Q11" s="7">
        <v>2</v>
      </c>
      <c r="R11" s="7">
        <v>7</v>
      </c>
      <c r="S11" s="37"/>
      <c r="T11" s="37"/>
    </row>
    <row r="12" spans="1:20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37"/>
      <c r="T12" s="37"/>
    </row>
    <row r="13" spans="1:20">
      <c r="A13" s="7">
        <v>2</v>
      </c>
      <c r="B13" s="7">
        <v>1</v>
      </c>
      <c r="C13" s="7">
        <v>16</v>
      </c>
      <c r="D13" s="7">
        <v>2</v>
      </c>
      <c r="E13" s="7">
        <v>3</v>
      </c>
      <c r="F13" s="7">
        <v>3.3</v>
      </c>
      <c r="G13" s="7">
        <v>3</v>
      </c>
      <c r="H13" s="7">
        <v>2</v>
      </c>
      <c r="I13" s="7">
        <v>1</v>
      </c>
      <c r="J13" s="7">
        <v>3</v>
      </c>
      <c r="K13" s="7">
        <v>5</v>
      </c>
      <c r="L13" s="7">
        <v>4</v>
      </c>
      <c r="M13" s="7">
        <v>5</v>
      </c>
      <c r="N13" s="7">
        <v>2</v>
      </c>
      <c r="O13" s="7">
        <v>5</v>
      </c>
      <c r="P13" s="7">
        <v>2</v>
      </c>
      <c r="Q13" s="7">
        <v>4</v>
      </c>
      <c r="R13" s="7">
        <v>3</v>
      </c>
      <c r="S13" s="37"/>
      <c r="T13" s="37"/>
    </row>
    <row r="14" spans="1:20">
      <c r="A14" s="7">
        <v>2</v>
      </c>
      <c r="B14" s="7"/>
      <c r="C14" s="7">
        <v>3</v>
      </c>
      <c r="D14" s="7">
        <v>8</v>
      </c>
      <c r="E14" s="7">
        <v>5</v>
      </c>
      <c r="F14" s="7">
        <v>2.7</v>
      </c>
      <c r="G14" s="7">
        <v>7</v>
      </c>
      <c r="H14" s="7">
        <v>2</v>
      </c>
      <c r="I14" s="7">
        <v>5</v>
      </c>
      <c r="J14" s="7">
        <v>8</v>
      </c>
      <c r="K14" s="7">
        <v>7</v>
      </c>
      <c r="L14" s="7">
        <v>10</v>
      </c>
      <c r="M14" s="7">
        <v>5</v>
      </c>
      <c r="N14" s="7">
        <v>7</v>
      </c>
      <c r="O14" s="7">
        <v>13</v>
      </c>
      <c r="P14" s="7"/>
      <c r="Q14" s="7">
        <v>4</v>
      </c>
      <c r="R14" s="7">
        <v>7</v>
      </c>
      <c r="S14" s="37"/>
      <c r="T14" s="37"/>
    </row>
    <row r="15" spans="1:20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37"/>
      <c r="T15" s="37"/>
    </row>
    <row r="16" spans="1:20">
      <c r="A16" s="7">
        <v>9</v>
      </c>
      <c r="B16" s="7">
        <v>11</v>
      </c>
      <c r="C16" s="7"/>
      <c r="D16" s="7"/>
      <c r="E16" s="7">
        <v>11</v>
      </c>
      <c r="F16" s="7"/>
      <c r="G16" s="7"/>
      <c r="H16" s="7"/>
      <c r="I16" s="7">
        <v>6</v>
      </c>
      <c r="J16" s="7">
        <v>15</v>
      </c>
      <c r="K16" s="7">
        <v>15</v>
      </c>
      <c r="L16" s="7">
        <v>9</v>
      </c>
      <c r="M16" s="7">
        <v>18</v>
      </c>
      <c r="N16" s="7">
        <v>9</v>
      </c>
      <c r="O16" s="7">
        <v>11</v>
      </c>
      <c r="P16" s="7">
        <v>11</v>
      </c>
      <c r="Q16" s="7">
        <v>4</v>
      </c>
      <c r="R16" s="7">
        <v>2</v>
      </c>
      <c r="S16" s="37"/>
      <c r="T16" s="37"/>
    </row>
    <row r="17" spans="1:20">
      <c r="A17" s="7">
        <v>9</v>
      </c>
      <c r="B17" s="7">
        <v>11</v>
      </c>
      <c r="C17" s="7">
        <v>6</v>
      </c>
      <c r="D17" s="7">
        <v>16</v>
      </c>
      <c r="E17" s="7">
        <v>15</v>
      </c>
      <c r="F17" s="7">
        <v>15</v>
      </c>
      <c r="G17" s="7"/>
      <c r="H17" s="7">
        <v>11</v>
      </c>
      <c r="I17" s="7">
        <v>34</v>
      </c>
      <c r="J17" s="7">
        <v>15</v>
      </c>
      <c r="K17" s="7">
        <v>15</v>
      </c>
      <c r="L17" s="7">
        <v>9</v>
      </c>
      <c r="M17" s="7">
        <v>23</v>
      </c>
      <c r="N17" s="7">
        <v>9</v>
      </c>
      <c r="O17" s="7">
        <v>14</v>
      </c>
      <c r="P17" s="7">
        <v>6</v>
      </c>
      <c r="Q17" s="7">
        <v>11</v>
      </c>
      <c r="R17" s="7">
        <v>9</v>
      </c>
      <c r="S17" s="37"/>
      <c r="T17" s="37"/>
    </row>
    <row r="18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37"/>
      <c r="T18" s="37"/>
    </row>
    <row r="19" spans="1:20">
      <c r="A19" s="7">
        <v>31</v>
      </c>
      <c r="B19" s="7">
        <v>35</v>
      </c>
      <c r="C19" s="7">
        <v>18</v>
      </c>
      <c r="D19" s="7"/>
      <c r="E19" s="7">
        <v>39</v>
      </c>
      <c r="F19" s="7">
        <v>39</v>
      </c>
      <c r="G19" s="7">
        <v>39</v>
      </c>
      <c r="H19" s="7">
        <v>16</v>
      </c>
      <c r="I19" s="7">
        <v>37</v>
      </c>
      <c r="J19" s="7">
        <v>31</v>
      </c>
      <c r="K19" s="7">
        <v>31</v>
      </c>
      <c r="L19" s="7">
        <v>31</v>
      </c>
      <c r="M19" s="7">
        <v>40</v>
      </c>
      <c r="N19" s="7">
        <v>36</v>
      </c>
      <c r="O19" s="7">
        <v>30</v>
      </c>
      <c r="P19" s="7">
        <v>40</v>
      </c>
      <c r="Q19" s="7">
        <v>19</v>
      </c>
      <c r="R19" s="7">
        <v>31</v>
      </c>
      <c r="S19" s="37"/>
      <c r="T19" s="37"/>
    </row>
    <row r="20" spans="1:20">
      <c r="A20" s="7"/>
      <c r="B20" s="7"/>
      <c r="C20" s="7">
        <v>36</v>
      </c>
      <c r="D20" s="7"/>
      <c r="E20" s="7">
        <v>6</v>
      </c>
      <c r="F20" s="7">
        <v>39</v>
      </c>
      <c r="G20" s="7">
        <v>39</v>
      </c>
      <c r="H20" s="7">
        <v>19</v>
      </c>
      <c r="I20" s="7"/>
      <c r="J20" s="7"/>
      <c r="K20" s="7"/>
      <c r="L20" s="7">
        <v>31</v>
      </c>
      <c r="M20" s="7">
        <v>4</v>
      </c>
      <c r="N20" s="7">
        <v>36</v>
      </c>
      <c r="O20" s="7">
        <v>39</v>
      </c>
      <c r="P20" s="7"/>
      <c r="Q20" s="7">
        <v>20</v>
      </c>
      <c r="R20" s="7"/>
      <c r="S20" s="37"/>
      <c r="T20" s="37"/>
    </row>
    <row r="2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37"/>
      <c r="T21" s="37"/>
    </row>
    <row r="22" spans="1:20">
      <c r="A22" s="7">
        <v>31</v>
      </c>
      <c r="B22" s="7">
        <v>35</v>
      </c>
      <c r="C22" s="7">
        <v>18</v>
      </c>
      <c r="D22" s="7">
        <v>35</v>
      </c>
      <c r="E22" s="7">
        <v>39</v>
      </c>
      <c r="F22" s="7">
        <v>39</v>
      </c>
      <c r="G22" s="7">
        <v>39</v>
      </c>
      <c r="H22" s="7">
        <v>16</v>
      </c>
      <c r="I22" s="7">
        <v>37</v>
      </c>
      <c r="J22" s="7">
        <v>31</v>
      </c>
      <c r="K22" s="7">
        <v>31</v>
      </c>
      <c r="L22" s="7">
        <v>31</v>
      </c>
      <c r="M22" s="7">
        <v>40</v>
      </c>
      <c r="N22" s="7">
        <v>36</v>
      </c>
      <c r="O22" s="7">
        <v>39</v>
      </c>
      <c r="P22" s="7"/>
      <c r="Q22" s="7">
        <v>39</v>
      </c>
      <c r="R22" s="7">
        <v>31</v>
      </c>
      <c r="S22" s="37"/>
      <c r="T22" s="37"/>
    </row>
    <row r="23" spans="1:20">
      <c r="A23" s="7"/>
      <c r="B23" s="7"/>
      <c r="C23" s="7">
        <v>36</v>
      </c>
      <c r="D23" s="7"/>
      <c r="E23" s="7"/>
      <c r="F23" s="7">
        <v>39</v>
      </c>
      <c r="G23" s="7"/>
      <c r="H23" s="7">
        <v>19</v>
      </c>
      <c r="I23" s="7"/>
      <c r="J23" s="7"/>
      <c r="K23" s="7"/>
      <c r="L23" s="7">
        <v>31</v>
      </c>
      <c r="M23" s="7"/>
      <c r="N23" s="7">
        <v>36</v>
      </c>
      <c r="O23" s="7">
        <v>26</v>
      </c>
      <c r="P23" s="7"/>
      <c r="Q23" s="7"/>
      <c r="R23" s="7"/>
      <c r="S23" s="37"/>
      <c r="T23" s="37"/>
    </row>
    <row r="24" spans="1:2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37"/>
      <c r="T24" s="37"/>
    </row>
    <row r="25" spans="1:20">
      <c r="A25" s="7"/>
      <c r="B25" s="7">
        <v>33</v>
      </c>
      <c r="C25" s="7">
        <v>18</v>
      </c>
      <c r="D25" s="7"/>
      <c r="E25" s="7">
        <v>9</v>
      </c>
      <c r="F25" s="7"/>
      <c r="G25" s="7">
        <v>12</v>
      </c>
      <c r="H25" s="7">
        <v>16</v>
      </c>
      <c r="I25" s="7">
        <v>37</v>
      </c>
      <c r="J25" s="7"/>
      <c r="K25" s="7"/>
      <c r="L25" s="7">
        <v>20</v>
      </c>
      <c r="M25" s="7">
        <v>10</v>
      </c>
      <c r="N25" s="7"/>
      <c r="O25" s="7"/>
      <c r="P25" s="7"/>
      <c r="Q25" s="7">
        <v>3</v>
      </c>
      <c r="R25" s="7">
        <v>20</v>
      </c>
      <c r="S25" s="37"/>
      <c r="T25" s="37"/>
    </row>
    <row r="26" spans="1:20">
      <c r="A26" s="7">
        <v>7</v>
      </c>
      <c r="B26" s="7">
        <v>2</v>
      </c>
      <c r="C26" s="7">
        <v>36</v>
      </c>
      <c r="D26" s="7">
        <v>10</v>
      </c>
      <c r="E26" s="7">
        <v>4</v>
      </c>
      <c r="F26" s="7">
        <v>39</v>
      </c>
      <c r="G26" s="7"/>
      <c r="H26" s="7">
        <v>19</v>
      </c>
      <c r="I26" s="7">
        <v>37</v>
      </c>
      <c r="J26" s="7"/>
      <c r="K26" s="7">
        <v>19</v>
      </c>
      <c r="L26" s="7">
        <v>11</v>
      </c>
      <c r="M26" s="7">
        <v>12</v>
      </c>
      <c r="N26" s="7"/>
      <c r="O26" s="7"/>
      <c r="P26" s="7"/>
      <c r="Q26" s="7">
        <v>20</v>
      </c>
      <c r="R26" s="7">
        <v>11</v>
      </c>
      <c r="S26" s="37"/>
      <c r="T26" s="37"/>
    </row>
    <row r="27" spans="1:2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36"/>
      <c r="T27" s="36"/>
    </row>
    <row r="28" spans="1:2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36"/>
      <c r="T28" s="36"/>
    </row>
    <row r="29" spans="1:20">
      <c r="A29" s="11">
        <v>100</v>
      </c>
      <c r="B29" s="11">
        <v>50</v>
      </c>
      <c r="C29" s="11">
        <v>30</v>
      </c>
      <c r="D29" s="11">
        <v>80</v>
      </c>
      <c r="E29" s="11">
        <v>45</v>
      </c>
      <c r="F29" s="11">
        <v>90</v>
      </c>
      <c r="G29" s="11">
        <v>100</v>
      </c>
      <c r="H29" s="11">
        <v>30</v>
      </c>
      <c r="I29" s="11">
        <v>60</v>
      </c>
      <c r="J29" s="11">
        <v>75</v>
      </c>
      <c r="K29" s="11">
        <v>100</v>
      </c>
      <c r="L29" s="11">
        <v>80</v>
      </c>
      <c r="M29" s="11">
        <v>75</v>
      </c>
      <c r="N29" s="11">
        <v>100</v>
      </c>
      <c r="O29" s="11">
        <v>85</v>
      </c>
      <c r="P29" s="11">
        <v>80</v>
      </c>
      <c r="Q29" s="11">
        <v>100</v>
      </c>
      <c r="R29" s="11">
        <v>60</v>
      </c>
      <c r="S29" s="37"/>
      <c r="T29" s="37"/>
    </row>
    <row r="30" spans="1:20">
      <c r="A30" s="11"/>
      <c r="B30" s="11">
        <v>50</v>
      </c>
      <c r="C30" s="11">
        <v>70</v>
      </c>
      <c r="D30" s="11">
        <v>20</v>
      </c>
      <c r="E30" s="11">
        <v>45</v>
      </c>
      <c r="F30" s="11">
        <v>10</v>
      </c>
      <c r="G30" s="11"/>
      <c r="H30" s="11">
        <v>70</v>
      </c>
      <c r="I30" s="11">
        <v>40</v>
      </c>
      <c r="J30" s="11">
        <v>25</v>
      </c>
      <c r="K30" s="11"/>
      <c r="L30" s="11">
        <v>20</v>
      </c>
      <c r="M30" s="11">
        <v>25</v>
      </c>
      <c r="N30" s="11"/>
      <c r="O30" s="11">
        <v>10</v>
      </c>
      <c r="P30" s="11">
        <v>20</v>
      </c>
      <c r="Q30" s="11"/>
      <c r="R30" s="11">
        <v>40</v>
      </c>
      <c r="S30" s="37"/>
      <c r="T30" s="37"/>
    </row>
    <row r="31" spans="1:20">
      <c r="A31" s="11"/>
      <c r="B31" s="11"/>
      <c r="C31" s="11"/>
      <c r="D31" s="11"/>
      <c r="E31" s="11">
        <v>10</v>
      </c>
      <c r="F31" s="11"/>
      <c r="G31" s="11"/>
      <c r="H31" s="11"/>
      <c r="I31" s="11"/>
      <c r="J31" s="11"/>
      <c r="K31" s="11"/>
      <c r="L31" s="11"/>
      <c r="M31" s="11"/>
      <c r="N31" s="11"/>
      <c r="O31" s="11">
        <v>5</v>
      </c>
      <c r="P31" s="11"/>
      <c r="Q31" s="11"/>
      <c r="R31" s="11"/>
      <c r="S31" s="37"/>
      <c r="T31" s="37"/>
    </row>
    <row r="32" spans="1:2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37"/>
      <c r="T32" s="37"/>
    </row>
    <row r="33" spans="1:20">
      <c r="A33" s="11">
        <v>100</v>
      </c>
      <c r="B33" s="11">
        <v>100</v>
      </c>
      <c r="C33" s="11">
        <v>20</v>
      </c>
      <c r="D33" s="11">
        <v>50</v>
      </c>
      <c r="E33" s="11">
        <v>50</v>
      </c>
      <c r="F33" s="11">
        <v>97</v>
      </c>
      <c r="G33" s="11">
        <v>75</v>
      </c>
      <c r="H33" s="11">
        <v>50</v>
      </c>
      <c r="I33" s="11">
        <v>90</v>
      </c>
      <c r="J33" s="11">
        <v>60</v>
      </c>
      <c r="K33" s="11">
        <v>100</v>
      </c>
      <c r="L33" s="11">
        <v>95</v>
      </c>
      <c r="M33" s="11">
        <v>90</v>
      </c>
      <c r="N33" s="11">
        <v>100</v>
      </c>
      <c r="O33" s="11">
        <v>80</v>
      </c>
      <c r="P33" s="11">
        <v>80</v>
      </c>
      <c r="Q33" s="11">
        <v>70</v>
      </c>
      <c r="R33" s="11">
        <v>80</v>
      </c>
      <c r="S33" s="37"/>
      <c r="T33" s="37"/>
    </row>
    <row r="34" spans="1:20">
      <c r="A34" s="11"/>
      <c r="B34" s="11"/>
      <c r="C34" s="11">
        <v>80</v>
      </c>
      <c r="D34" s="11">
        <v>50</v>
      </c>
      <c r="E34" s="11">
        <v>50</v>
      </c>
      <c r="F34" s="11">
        <v>3</v>
      </c>
      <c r="G34" s="11">
        <v>25</v>
      </c>
      <c r="H34" s="11">
        <v>50</v>
      </c>
      <c r="I34" s="11">
        <v>10</v>
      </c>
      <c r="J34" s="11">
        <v>40</v>
      </c>
      <c r="K34" s="11"/>
      <c r="L34" s="11">
        <v>5</v>
      </c>
      <c r="M34" s="11">
        <v>10</v>
      </c>
      <c r="N34" s="11"/>
      <c r="O34" s="11">
        <v>20</v>
      </c>
      <c r="P34" s="11">
        <v>20</v>
      </c>
      <c r="Q34" s="11">
        <v>30</v>
      </c>
      <c r="R34" s="11">
        <v>20</v>
      </c>
      <c r="S34" s="37"/>
      <c r="T34" s="37"/>
    </row>
    <row r="35" spans="1:2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37"/>
      <c r="T35" s="37"/>
    </row>
    <row r="36" spans="1:2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37"/>
      <c r="T36" s="37"/>
    </row>
    <row r="37" spans="1:20">
      <c r="A37" s="11"/>
      <c r="B37" s="11"/>
      <c r="C37" s="11"/>
      <c r="D37" s="11">
        <v>20</v>
      </c>
      <c r="E37" s="11">
        <v>10</v>
      </c>
      <c r="F37" s="11"/>
      <c r="G37" s="11">
        <v>100</v>
      </c>
      <c r="H37" s="11">
        <v>50</v>
      </c>
      <c r="I37" s="11">
        <v>10</v>
      </c>
      <c r="J37" s="11">
        <v>10</v>
      </c>
      <c r="K37" s="11">
        <v>30</v>
      </c>
      <c r="L37" s="11">
        <v>30</v>
      </c>
      <c r="M37" s="11">
        <v>20</v>
      </c>
      <c r="N37" s="11"/>
      <c r="O37" s="11"/>
      <c r="P37" s="11">
        <v>70</v>
      </c>
      <c r="Q37" s="11">
        <v>90</v>
      </c>
      <c r="R37" s="11">
        <v>70</v>
      </c>
      <c r="S37" s="37"/>
      <c r="T37" s="37"/>
    </row>
    <row r="38" spans="1:20">
      <c r="A38" s="11"/>
      <c r="B38" s="11">
        <v>100</v>
      </c>
      <c r="C38" s="11">
        <v>100</v>
      </c>
      <c r="D38" s="11">
        <v>80</v>
      </c>
      <c r="E38" s="11">
        <v>70</v>
      </c>
      <c r="F38" s="11"/>
      <c r="G38" s="11"/>
      <c r="H38" s="11">
        <v>50</v>
      </c>
      <c r="I38" s="11">
        <v>90</v>
      </c>
      <c r="J38" s="11">
        <v>90</v>
      </c>
      <c r="K38" s="11">
        <v>70</v>
      </c>
      <c r="L38" s="11">
        <v>70</v>
      </c>
      <c r="M38" s="11">
        <v>80</v>
      </c>
      <c r="N38" s="11"/>
      <c r="O38" s="11"/>
      <c r="P38" s="11">
        <v>30</v>
      </c>
      <c r="Q38" s="11">
        <v>10</v>
      </c>
      <c r="R38" s="11">
        <v>30</v>
      </c>
      <c r="S38" s="37"/>
      <c r="T38" s="37"/>
    </row>
    <row r="39" spans="1:20">
      <c r="A39" s="11"/>
      <c r="B39" s="11"/>
      <c r="C39" s="11"/>
      <c r="D39" s="11"/>
      <c r="E39" s="11">
        <v>20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37"/>
      <c r="T39" s="37"/>
    </row>
    <row r="40" spans="1:2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37"/>
      <c r="T40" s="37"/>
    </row>
    <row r="41" spans="1:20">
      <c r="A41" s="11">
        <v>100</v>
      </c>
      <c r="B41" s="11">
        <v>50</v>
      </c>
      <c r="C41" s="11">
        <v>10</v>
      </c>
      <c r="D41" s="11">
        <v>80</v>
      </c>
      <c r="E41" s="11">
        <v>100</v>
      </c>
      <c r="F41" s="11">
        <v>90</v>
      </c>
      <c r="G41" s="11">
        <v>100</v>
      </c>
      <c r="H41" s="11">
        <v>50</v>
      </c>
      <c r="I41" s="11">
        <v>20</v>
      </c>
      <c r="J41" s="11">
        <v>100</v>
      </c>
      <c r="K41" s="11">
        <v>100</v>
      </c>
      <c r="L41" s="11">
        <v>99</v>
      </c>
      <c r="M41" s="11">
        <v>100</v>
      </c>
      <c r="N41" s="11">
        <v>100</v>
      </c>
      <c r="O41" s="11">
        <v>100</v>
      </c>
      <c r="P41" s="11">
        <v>100</v>
      </c>
      <c r="Q41" s="11">
        <v>100</v>
      </c>
      <c r="R41" s="11">
        <v>80</v>
      </c>
      <c r="S41" s="37"/>
      <c r="T41" s="37"/>
    </row>
    <row r="42" spans="1:20">
      <c r="A42" s="11"/>
      <c r="B42" s="11">
        <v>50</v>
      </c>
      <c r="C42" s="11">
        <v>90</v>
      </c>
      <c r="D42" s="11">
        <v>20</v>
      </c>
      <c r="E42" s="11"/>
      <c r="F42" s="11">
        <v>10</v>
      </c>
      <c r="G42" s="11"/>
      <c r="H42" s="11">
        <v>50</v>
      </c>
      <c r="I42" s="11">
        <v>80</v>
      </c>
      <c r="J42" s="11"/>
      <c r="K42" s="11"/>
      <c r="L42" s="11">
        <v>1</v>
      </c>
      <c r="M42" s="11"/>
      <c r="N42" s="11"/>
      <c r="O42" s="11"/>
      <c r="P42" s="11"/>
      <c r="Q42" s="11"/>
      <c r="R42" s="11">
        <v>20</v>
      </c>
      <c r="S42" s="37"/>
      <c r="T42" s="37"/>
    </row>
    <row r="43" spans="1:2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37"/>
      <c r="T43" s="37"/>
    </row>
    <row r="44" spans="1:2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37"/>
      <c r="T44" s="37"/>
    </row>
    <row r="45" spans="1:20">
      <c r="A45" s="11"/>
      <c r="B45" s="11">
        <v>50</v>
      </c>
      <c r="C45" s="11">
        <v>10</v>
      </c>
      <c r="D45" s="11"/>
      <c r="E45" s="11"/>
      <c r="F45" s="11">
        <v>90</v>
      </c>
      <c r="G45" s="11">
        <v>50</v>
      </c>
      <c r="H45" s="11"/>
      <c r="I45" s="11">
        <v>50</v>
      </c>
      <c r="J45" s="11">
        <v>50</v>
      </c>
      <c r="K45" s="11">
        <v>50</v>
      </c>
      <c r="L45" s="11">
        <v>50</v>
      </c>
      <c r="M45" s="11">
        <v>50</v>
      </c>
      <c r="N45" s="11">
        <v>50</v>
      </c>
      <c r="O45" s="11"/>
      <c r="P45" s="11">
        <v>50</v>
      </c>
      <c r="Q45" s="11">
        <v>100</v>
      </c>
      <c r="R45" s="11">
        <v>60</v>
      </c>
      <c r="S45" s="37"/>
      <c r="T45" s="37"/>
    </row>
    <row r="46" spans="1:20">
      <c r="A46" s="11">
        <v>100</v>
      </c>
      <c r="B46" s="11">
        <v>50</v>
      </c>
      <c r="C46" s="11">
        <v>90</v>
      </c>
      <c r="D46" s="11">
        <v>100</v>
      </c>
      <c r="E46" s="11">
        <v>100</v>
      </c>
      <c r="F46" s="11">
        <v>10</v>
      </c>
      <c r="G46" s="11">
        <v>50</v>
      </c>
      <c r="H46" s="11">
        <v>100</v>
      </c>
      <c r="I46" s="11">
        <v>50</v>
      </c>
      <c r="J46" s="11">
        <v>50</v>
      </c>
      <c r="K46" s="11">
        <v>50</v>
      </c>
      <c r="L46" s="11">
        <v>50</v>
      </c>
      <c r="M46" s="11">
        <v>50</v>
      </c>
      <c r="N46" s="11">
        <v>50</v>
      </c>
      <c r="O46" s="11"/>
      <c r="P46" s="11">
        <v>50</v>
      </c>
      <c r="Q46" s="11"/>
      <c r="R46" s="11">
        <v>40</v>
      </c>
      <c r="S46" s="37"/>
      <c r="T46" s="37"/>
    </row>
    <row r="47" spans="1:2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37"/>
      <c r="T47" s="37"/>
    </row>
    <row r="48" spans="1:20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37"/>
      <c r="T48" s="37"/>
    </row>
    <row r="49" spans="1:2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37"/>
      <c r="T49" s="37"/>
    </row>
    <row r="50" spans="1:21">
      <c r="A50" s="15">
        <v>6</v>
      </c>
      <c r="B50" s="15">
        <v>6</v>
      </c>
      <c r="C50" s="15">
        <v>6</v>
      </c>
      <c r="D50" s="15">
        <v>6</v>
      </c>
      <c r="E50" s="15">
        <v>6</v>
      </c>
      <c r="F50" s="15">
        <v>5</v>
      </c>
      <c r="G50" s="15">
        <v>6</v>
      </c>
      <c r="H50" s="15">
        <v>6</v>
      </c>
      <c r="I50" s="15">
        <v>6</v>
      </c>
      <c r="J50" s="15">
        <v>6</v>
      </c>
      <c r="K50" s="15">
        <v>6</v>
      </c>
      <c r="L50" s="15">
        <v>6</v>
      </c>
      <c r="M50" s="15">
        <v>6</v>
      </c>
      <c r="N50" s="15">
        <v>5</v>
      </c>
      <c r="O50" s="15">
        <v>6</v>
      </c>
      <c r="P50" s="15">
        <v>6</v>
      </c>
      <c r="Q50" s="15">
        <v>6</v>
      </c>
      <c r="R50" s="15">
        <v>6</v>
      </c>
      <c r="S50" s="36"/>
      <c r="T50" s="36"/>
      <c r="U50" s="37"/>
    </row>
    <row r="51" spans="1:21">
      <c r="A51" s="15">
        <v>6</v>
      </c>
      <c r="B51" s="15">
        <v>6</v>
      </c>
      <c r="C51" s="15">
        <v>6</v>
      </c>
      <c r="D51" s="15">
        <v>6</v>
      </c>
      <c r="E51" s="15">
        <v>6</v>
      </c>
      <c r="F51" s="15">
        <v>5</v>
      </c>
      <c r="G51" s="15">
        <v>6</v>
      </c>
      <c r="H51" s="15">
        <v>6</v>
      </c>
      <c r="I51" s="15">
        <v>6</v>
      </c>
      <c r="J51" s="15">
        <v>6</v>
      </c>
      <c r="K51" s="15">
        <v>6</v>
      </c>
      <c r="L51" s="15">
        <v>6</v>
      </c>
      <c r="M51" s="15">
        <v>6</v>
      </c>
      <c r="N51" s="15">
        <v>5</v>
      </c>
      <c r="O51" s="15">
        <v>6</v>
      </c>
      <c r="P51" s="15">
        <v>4</v>
      </c>
      <c r="Q51" s="15">
        <v>6</v>
      </c>
      <c r="R51" s="15">
        <v>6</v>
      </c>
      <c r="S51" s="36"/>
      <c r="T51" s="36"/>
      <c r="U51" s="37"/>
    </row>
    <row r="52" spans="1:2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36"/>
      <c r="T52" s="36"/>
      <c r="U52" s="37"/>
    </row>
    <row r="53" spans="1:21">
      <c r="A53" s="15">
        <v>6</v>
      </c>
      <c r="B53" s="15">
        <v>6</v>
      </c>
      <c r="C53" s="15">
        <v>6</v>
      </c>
      <c r="D53" s="15">
        <v>6</v>
      </c>
      <c r="E53" s="15">
        <v>6</v>
      </c>
      <c r="F53" s="15">
        <v>4</v>
      </c>
      <c r="G53" s="15">
        <v>6</v>
      </c>
      <c r="H53" s="15">
        <v>6</v>
      </c>
      <c r="I53" s="15">
        <v>6</v>
      </c>
      <c r="J53" s="15">
        <v>6</v>
      </c>
      <c r="K53" s="15">
        <v>6</v>
      </c>
      <c r="L53" s="15">
        <v>6</v>
      </c>
      <c r="M53" s="15">
        <v>6</v>
      </c>
      <c r="N53" s="15">
        <v>5</v>
      </c>
      <c r="O53" s="15">
        <v>6</v>
      </c>
      <c r="P53" s="15">
        <v>6</v>
      </c>
      <c r="Q53" s="15">
        <v>6</v>
      </c>
      <c r="R53" s="15">
        <v>6</v>
      </c>
      <c r="S53" s="37"/>
      <c r="T53" s="37"/>
    </row>
    <row r="54" spans="1:21">
      <c r="A54" s="15">
        <v>6</v>
      </c>
      <c r="B54" s="15">
        <v>6</v>
      </c>
      <c r="C54" s="15">
        <v>6</v>
      </c>
      <c r="D54" s="15">
        <v>6</v>
      </c>
      <c r="E54" s="15">
        <v>6</v>
      </c>
      <c r="F54" s="15">
        <v>5</v>
      </c>
      <c r="G54" s="15">
        <v>6</v>
      </c>
      <c r="H54" s="15">
        <v>6</v>
      </c>
      <c r="I54" s="15">
        <v>6</v>
      </c>
      <c r="J54" s="15">
        <v>6</v>
      </c>
      <c r="K54" s="15">
        <v>6</v>
      </c>
      <c r="L54" s="15">
        <v>6</v>
      </c>
      <c r="M54" s="15">
        <v>6</v>
      </c>
      <c r="N54" s="15">
        <v>5</v>
      </c>
      <c r="O54" s="15">
        <v>6</v>
      </c>
      <c r="P54" s="15">
        <v>6</v>
      </c>
      <c r="Q54" s="15">
        <v>6</v>
      </c>
      <c r="R54" s="15">
        <v>6</v>
      </c>
      <c r="S54" s="37"/>
      <c r="T54" s="37"/>
    </row>
    <row r="55" spans="1:2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37"/>
      <c r="T55" s="37"/>
    </row>
    <row r="56" spans="1:21">
      <c r="A56" s="15">
        <v>6</v>
      </c>
      <c r="B56" s="15">
        <v>6</v>
      </c>
      <c r="C56" s="15">
        <v>4</v>
      </c>
      <c r="D56" s="15">
        <v>6</v>
      </c>
      <c r="E56" s="15">
        <v>6</v>
      </c>
      <c r="F56" s="15">
        <v>4</v>
      </c>
      <c r="G56" s="15">
        <v>6</v>
      </c>
      <c r="H56" s="15">
        <v>3</v>
      </c>
      <c r="I56" s="15">
        <v>6</v>
      </c>
      <c r="J56" s="15">
        <v>6</v>
      </c>
      <c r="K56" s="15">
        <v>6</v>
      </c>
      <c r="L56" s="15">
        <v>6</v>
      </c>
      <c r="M56" s="15">
        <v>6</v>
      </c>
      <c r="N56" s="15">
        <v>5</v>
      </c>
      <c r="O56" s="15">
        <v>6</v>
      </c>
      <c r="P56" s="15">
        <v>6</v>
      </c>
      <c r="Q56" s="15">
        <v>4</v>
      </c>
      <c r="R56" s="15">
        <v>5</v>
      </c>
      <c r="S56" s="37"/>
      <c r="T56" s="37"/>
    </row>
    <row r="57" spans="1:21">
      <c r="A57" s="15">
        <v>6</v>
      </c>
      <c r="B57" s="15">
        <v>6</v>
      </c>
      <c r="C57" s="15">
        <v>6</v>
      </c>
      <c r="D57" s="15">
        <v>6</v>
      </c>
      <c r="E57" s="15">
        <v>6</v>
      </c>
      <c r="F57" s="15">
        <v>5</v>
      </c>
      <c r="G57" s="15">
        <v>6</v>
      </c>
      <c r="H57" s="15">
        <v>6</v>
      </c>
      <c r="I57" s="15">
        <v>6</v>
      </c>
      <c r="J57" s="15">
        <v>6</v>
      </c>
      <c r="K57" s="15">
        <v>6</v>
      </c>
      <c r="L57" s="15">
        <v>6</v>
      </c>
      <c r="M57" s="15">
        <v>6</v>
      </c>
      <c r="N57" s="15">
        <v>5</v>
      </c>
      <c r="O57" s="15">
        <v>6</v>
      </c>
      <c r="P57" s="15">
        <v>6</v>
      </c>
      <c r="Q57" s="15">
        <v>6</v>
      </c>
      <c r="R57" s="15">
        <v>6</v>
      </c>
      <c r="S57" s="37"/>
      <c r="T57" s="37"/>
    </row>
    <row r="58" spans="1:2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37"/>
      <c r="T58" s="37"/>
    </row>
    <row r="59" spans="1:21">
      <c r="A59" s="15">
        <v>6</v>
      </c>
      <c r="B59" s="15">
        <v>6</v>
      </c>
      <c r="C59" s="15">
        <v>4</v>
      </c>
      <c r="D59" s="15">
        <v>5</v>
      </c>
      <c r="E59" s="15">
        <v>6</v>
      </c>
      <c r="F59" s="15">
        <v>4</v>
      </c>
      <c r="G59" s="15">
        <v>6</v>
      </c>
      <c r="H59" s="15">
        <v>3</v>
      </c>
      <c r="I59" s="15">
        <v>6</v>
      </c>
      <c r="J59" s="15">
        <v>6</v>
      </c>
      <c r="K59" s="15">
        <v>6</v>
      </c>
      <c r="L59" s="15">
        <v>6</v>
      </c>
      <c r="M59" s="15">
        <v>6</v>
      </c>
      <c r="N59" s="15">
        <v>4</v>
      </c>
      <c r="O59" s="15">
        <v>6</v>
      </c>
      <c r="P59" s="15">
        <v>6</v>
      </c>
      <c r="Q59" s="15">
        <v>5</v>
      </c>
      <c r="R59" s="15">
        <v>4</v>
      </c>
      <c r="S59" s="37"/>
      <c r="T59" s="37"/>
    </row>
    <row r="60" spans="1:21">
      <c r="A60" s="15">
        <v>6</v>
      </c>
      <c r="B60" s="15">
        <v>6</v>
      </c>
      <c r="C60" s="15">
        <v>6</v>
      </c>
      <c r="D60" s="15">
        <v>6</v>
      </c>
      <c r="E60" s="15">
        <v>6</v>
      </c>
      <c r="F60" s="15">
        <v>5</v>
      </c>
      <c r="G60" s="15">
        <v>6</v>
      </c>
      <c r="H60" s="15">
        <v>6</v>
      </c>
      <c r="I60" s="15">
        <v>6</v>
      </c>
      <c r="J60" s="15">
        <v>6</v>
      </c>
      <c r="K60" s="15">
        <v>6</v>
      </c>
      <c r="L60" s="15">
        <v>6</v>
      </c>
      <c r="M60" s="15">
        <v>6</v>
      </c>
      <c r="N60" s="15">
        <v>4</v>
      </c>
      <c r="O60" s="15">
        <v>6</v>
      </c>
      <c r="P60" s="15">
        <v>6</v>
      </c>
      <c r="Q60" s="15">
        <v>6</v>
      </c>
      <c r="R60" s="15">
        <v>6</v>
      </c>
      <c r="S60" s="37"/>
      <c r="T60" s="37"/>
    </row>
    <row r="61" spans="1:2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37"/>
      <c r="T61" s="37"/>
    </row>
    <row r="62" spans="1:2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37"/>
      <c r="T62" s="37"/>
    </row>
    <row r="63" spans="1:21">
      <c r="A63" s="19">
        <v>6</v>
      </c>
      <c r="B63" s="19">
        <v>6</v>
      </c>
      <c r="C63" s="19">
        <v>6</v>
      </c>
      <c r="D63" s="19">
        <v>6</v>
      </c>
      <c r="E63" s="19">
        <v>6</v>
      </c>
      <c r="F63" s="19">
        <v>6</v>
      </c>
      <c r="G63" s="19">
        <v>6</v>
      </c>
      <c r="H63" s="19">
        <v>6</v>
      </c>
      <c r="I63" s="19">
        <v>6</v>
      </c>
      <c r="J63" s="19">
        <v>6</v>
      </c>
      <c r="K63" s="19">
        <v>6</v>
      </c>
      <c r="L63" s="19">
        <v>5</v>
      </c>
      <c r="M63" s="19">
        <v>6</v>
      </c>
      <c r="N63" s="19">
        <v>6</v>
      </c>
      <c r="O63" s="19">
        <v>6</v>
      </c>
      <c r="P63" s="19">
        <v>6</v>
      </c>
      <c r="Q63" s="19">
        <v>6</v>
      </c>
      <c r="R63" s="19">
        <v>6</v>
      </c>
      <c r="S63" s="37"/>
      <c r="T63" s="37"/>
    </row>
    <row r="64" spans="1:21">
      <c r="A64" s="19">
        <v>6</v>
      </c>
      <c r="B64" s="19"/>
      <c r="C64" s="19">
        <v>6</v>
      </c>
      <c r="D64" s="19">
        <v>6</v>
      </c>
      <c r="E64" s="19">
        <v>6</v>
      </c>
      <c r="F64" s="19">
        <v>4</v>
      </c>
      <c r="G64" s="19"/>
      <c r="H64" s="19">
        <v>6</v>
      </c>
      <c r="I64" s="19">
        <v>6</v>
      </c>
      <c r="J64" s="19">
        <v>6</v>
      </c>
      <c r="K64" s="19">
        <v>6</v>
      </c>
      <c r="L64" s="19">
        <v>5</v>
      </c>
      <c r="M64" s="19">
        <v>6</v>
      </c>
      <c r="N64" s="19"/>
      <c r="O64" s="19">
        <v>6</v>
      </c>
      <c r="P64" s="19">
        <v>4</v>
      </c>
      <c r="Q64" s="19">
        <v>6</v>
      </c>
      <c r="R64" s="19">
        <v>4</v>
      </c>
      <c r="S64" s="37"/>
      <c r="T64" s="37"/>
    </row>
    <row r="65" spans="1:20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37"/>
      <c r="T65" s="37"/>
    </row>
    <row r="66" spans="1:20">
      <c r="A66" s="19">
        <v>6</v>
      </c>
      <c r="B66" s="19">
        <v>6</v>
      </c>
      <c r="C66" s="19">
        <v>6</v>
      </c>
      <c r="D66" s="19">
        <v>6</v>
      </c>
      <c r="E66" s="19">
        <v>6</v>
      </c>
      <c r="F66" s="19">
        <v>6</v>
      </c>
      <c r="G66" s="19">
        <v>6</v>
      </c>
      <c r="H66" s="19">
        <v>6</v>
      </c>
      <c r="I66" s="19">
        <v>6</v>
      </c>
      <c r="J66" s="19">
        <v>6</v>
      </c>
      <c r="K66" s="19">
        <v>6</v>
      </c>
      <c r="L66" s="19">
        <v>6</v>
      </c>
      <c r="M66" s="19">
        <v>6</v>
      </c>
      <c r="N66" s="19">
        <v>6</v>
      </c>
      <c r="O66" s="19">
        <v>6</v>
      </c>
      <c r="P66" s="19">
        <v>6</v>
      </c>
      <c r="Q66" s="19">
        <v>6</v>
      </c>
      <c r="R66" s="19">
        <v>6</v>
      </c>
      <c r="S66" s="36"/>
      <c r="T66" s="36"/>
    </row>
    <row r="67" spans="1:20">
      <c r="A67" s="19"/>
      <c r="B67" s="19"/>
      <c r="C67" s="19">
        <v>3</v>
      </c>
      <c r="D67" s="19">
        <v>5</v>
      </c>
      <c r="E67" s="19"/>
      <c r="F67" s="19">
        <v>3</v>
      </c>
      <c r="G67" s="19"/>
      <c r="H67" s="19"/>
      <c r="I67" s="19"/>
      <c r="J67" s="19">
        <v>6</v>
      </c>
      <c r="K67" s="19"/>
      <c r="L67" s="19"/>
      <c r="M67" s="19"/>
      <c r="N67" s="19"/>
      <c r="O67" s="19"/>
      <c r="P67" s="19"/>
      <c r="Q67" s="19"/>
      <c r="R67" s="19"/>
      <c r="S67" s="36"/>
      <c r="T67" s="36"/>
    </row>
    <row r="68" spans="1:20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37"/>
      <c r="T68" s="37"/>
    </row>
    <row r="69" spans="1:20">
      <c r="A69" s="19">
        <v>6</v>
      </c>
      <c r="B69" s="19">
        <v>6</v>
      </c>
      <c r="C69" s="19">
        <v>6</v>
      </c>
      <c r="D69" s="19">
        <v>6</v>
      </c>
      <c r="E69" s="19">
        <v>6</v>
      </c>
      <c r="F69" s="19">
        <v>5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19">
        <v>6</v>
      </c>
      <c r="O69" s="19">
        <v>6</v>
      </c>
      <c r="P69" s="19">
        <v>6</v>
      </c>
      <c r="Q69" s="19">
        <v>6</v>
      </c>
      <c r="R69" s="19">
        <v>6</v>
      </c>
      <c r="S69" s="37"/>
      <c r="T69" s="37"/>
    </row>
    <row r="70" spans="1:20">
      <c r="A70" s="19"/>
      <c r="B70" s="19"/>
      <c r="C70" s="19">
        <v>2</v>
      </c>
      <c r="D70" s="19">
        <v>5</v>
      </c>
      <c r="E70" s="19"/>
      <c r="F70" s="19">
        <v>4</v>
      </c>
      <c r="G70" s="19"/>
      <c r="H70" s="19"/>
      <c r="I70" s="19"/>
      <c r="J70" s="19">
        <v>6</v>
      </c>
      <c r="K70" s="19"/>
      <c r="L70" s="19"/>
      <c r="M70" s="19"/>
      <c r="N70" s="19"/>
      <c r="O70" s="19">
        <v>4</v>
      </c>
      <c r="P70" s="19"/>
      <c r="Q70" s="19"/>
      <c r="R70" s="19"/>
      <c r="S70" s="37"/>
      <c r="T70" s="37"/>
    </row>
    <row r="71" spans="1:20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37"/>
      <c r="T71" s="37"/>
    </row>
    <row r="72" spans="1:20">
      <c r="A72" s="19">
        <v>6</v>
      </c>
      <c r="B72" s="19">
        <v>6</v>
      </c>
      <c r="C72" s="19">
        <v>6</v>
      </c>
      <c r="D72" s="19">
        <v>5</v>
      </c>
      <c r="E72" s="19">
        <v>6</v>
      </c>
      <c r="F72" s="19">
        <v>3</v>
      </c>
      <c r="G72" s="19">
        <v>6</v>
      </c>
      <c r="H72" s="19">
        <v>6</v>
      </c>
      <c r="I72" s="19">
        <v>6</v>
      </c>
      <c r="J72" s="19">
        <v>6</v>
      </c>
      <c r="K72" s="19">
        <v>6</v>
      </c>
      <c r="L72" s="19">
        <v>6</v>
      </c>
      <c r="M72" s="19">
        <v>6</v>
      </c>
      <c r="N72" s="19">
        <v>6</v>
      </c>
      <c r="O72" s="19">
        <v>6</v>
      </c>
      <c r="P72" s="19">
        <v>6</v>
      </c>
      <c r="Q72" s="19">
        <v>6</v>
      </c>
      <c r="R72" s="19">
        <v>6</v>
      </c>
      <c r="S72" s="37"/>
      <c r="T72" s="37"/>
    </row>
    <row r="73" spans="1:20">
      <c r="A73" s="19"/>
      <c r="B73" s="19"/>
      <c r="C73" s="19">
        <v>2</v>
      </c>
      <c r="D73" s="19">
        <v>5</v>
      </c>
      <c r="E73" s="19"/>
      <c r="F73" s="19">
        <v>4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37"/>
      <c r="T73" s="37"/>
    </row>
    <row r="74" spans="1:20">
      <c r="S74" s="37"/>
      <c r="T74" s="37"/>
    </row>
    <row r="75" spans="1:20">
      <c r="S75" s="37"/>
      <c r="T75" s="37"/>
    </row>
    <row r="76" spans="1:20">
      <c r="A76" s="21">
        <f t="shared" ref="A76:R76" si="0">0.454*(IF(A10&gt;20, 20, 20-ROUND(A10,0)) + IF(A13&gt;20, 20, 20-ROUND(A13,0)) + A16 + IF(A19&gt;20, 20, A19) + IF(A22&gt;20, 20, A22) + IF(A25&gt;20, 20, A25)) + (A29+A33+A37+A41+A45)*0.109 + (A50+A53+A56+A59)*2.27 + (A63+A66+A69+A72)*2.27</f>
        <v>180.25</v>
      </c>
      <c r="B76" s="21">
        <f t="shared" si="0"/>
        <v>185.69600000000003</v>
      </c>
      <c r="C76" s="21">
        <f t="shared" si="0"/>
        <v>137.47399999999999</v>
      </c>
      <c r="D76" s="21">
        <f t="shared" si="0"/>
        <v>154.91400000000002</v>
      </c>
      <c r="E76" s="21">
        <f t="shared" si="0"/>
        <v>173.98099999999999</v>
      </c>
      <c r="F76" s="21">
        <f t="shared" si="0"/>
        <v>157.589</v>
      </c>
      <c r="G76" s="21">
        <f t="shared" si="0"/>
        <v>194.78300000000002</v>
      </c>
      <c r="H76" s="21">
        <f t="shared" si="0"/>
        <v>153.55000000000001</v>
      </c>
      <c r="I76" s="21">
        <f t="shared" si="0"/>
        <v>181.24600000000001</v>
      </c>
      <c r="J76" s="21">
        <f t="shared" si="0"/>
        <v>181.52100000000002</v>
      </c>
      <c r="K76" s="21">
        <f t="shared" si="0"/>
        <v>189.87800000000004</v>
      </c>
      <c r="L76" s="21">
        <f t="shared" si="0"/>
        <v>192.03800000000001</v>
      </c>
      <c r="M76" s="21">
        <f t="shared" si="0"/>
        <v>190.875</v>
      </c>
      <c r="N76" s="21">
        <f t="shared" si="0"/>
        <v>174.80400000000003</v>
      </c>
      <c r="O76" s="21">
        <f t="shared" si="0"/>
        <v>175.52700000000002</v>
      </c>
      <c r="P76" s="21">
        <f t="shared" si="0"/>
        <v>181.25200000000001</v>
      </c>
      <c r="Q76" s="21">
        <f t="shared" si="0"/>
        <v>188.61</v>
      </c>
      <c r="R76" s="21">
        <f t="shared" si="0"/>
        <v>184.33800000000002</v>
      </c>
      <c r="S76" s="37"/>
      <c r="T76" s="37"/>
    </row>
    <row r="77" spans="1:20">
      <c r="A77" s="22">
        <f t="shared" ref="A77:R77" si="1">0.454*(IF(A11&gt;20, 20, 20-ROUND(A11,0)) + IF(A14&gt;20, 20, 20-ROUND(A14,0)) + A17 + IF(A20&gt;20, 20, A20) + IF(A23&gt;20, 20, A23) + IF(A26&gt;20, 20, A26)) + (A30+A34+A38+A42+A46)*0.109 + (A51+A54+A57+A60)*2.27 + (A64+A67+A70+A73)*2.27</f>
        <v>102.608</v>
      </c>
      <c r="B77" s="22">
        <f t="shared" si="1"/>
        <v>105.792</v>
      </c>
      <c r="C77" s="22">
        <f t="shared" si="1"/>
        <v>176.714</v>
      </c>
      <c r="D77" s="22">
        <f t="shared" si="1"/>
        <v>156.55000000000001</v>
      </c>
      <c r="E77" s="22">
        <f t="shared" si="1"/>
        <v>122.86300000000001</v>
      </c>
      <c r="F77" s="22">
        <f t="shared" si="1"/>
        <v>132.53300000000002</v>
      </c>
      <c r="G77" s="22">
        <f t="shared" si="1"/>
        <v>83.993000000000009</v>
      </c>
      <c r="H77" s="22">
        <f t="shared" si="1"/>
        <v>150.65000000000003</v>
      </c>
      <c r="I77" s="22">
        <f t="shared" si="1"/>
        <v>136.57400000000001</v>
      </c>
      <c r="J77" s="22">
        <f t="shared" si="1"/>
        <v>136.29900000000001</v>
      </c>
      <c r="K77" s="22">
        <f t="shared" si="1"/>
        <v>108.42000000000002</v>
      </c>
      <c r="L77" s="22">
        <f t="shared" si="1"/>
        <v>119.426</v>
      </c>
      <c r="M77" s="22">
        <f t="shared" si="1"/>
        <v>117.86500000000001</v>
      </c>
      <c r="N77" s="22">
        <f t="shared" si="1"/>
        <v>82.63000000000001</v>
      </c>
      <c r="O77" s="22">
        <f t="shared" si="1"/>
        <v>113.13800000000002</v>
      </c>
      <c r="P77" s="22">
        <f t="shared" si="1"/>
        <v>92.983999999999995</v>
      </c>
      <c r="Q77" s="22">
        <f t="shared" si="1"/>
        <v>111.05000000000001</v>
      </c>
      <c r="R77" s="22">
        <f t="shared" si="1"/>
        <v>100.794</v>
      </c>
      <c r="S77" s="37"/>
      <c r="T77" s="37"/>
    </row>
    <row r="78" spans="1:20">
      <c r="A78" s="24">
        <f t="shared" ref="A78:R78" si="2">A76-A77</f>
        <v>77.641999999999996</v>
      </c>
      <c r="B78" s="24">
        <f t="shared" si="2"/>
        <v>79.904000000000025</v>
      </c>
      <c r="C78" s="24">
        <f t="shared" si="2"/>
        <v>-39.240000000000009</v>
      </c>
      <c r="D78" s="24">
        <f t="shared" si="2"/>
        <v>-1.6359999999999957</v>
      </c>
      <c r="E78" s="24">
        <f t="shared" si="2"/>
        <v>51.117999999999981</v>
      </c>
      <c r="F78" s="24">
        <f t="shared" si="2"/>
        <v>25.055999999999983</v>
      </c>
      <c r="G78" s="24">
        <f t="shared" si="2"/>
        <v>110.79</v>
      </c>
      <c r="H78" s="24">
        <f t="shared" si="2"/>
        <v>2.8999999999999773</v>
      </c>
      <c r="I78" s="24">
        <f t="shared" si="2"/>
        <v>44.671999999999997</v>
      </c>
      <c r="J78" s="24">
        <f t="shared" si="2"/>
        <v>45.222000000000008</v>
      </c>
      <c r="K78" s="24">
        <f t="shared" si="2"/>
        <v>81.458000000000027</v>
      </c>
      <c r="L78" s="24">
        <f t="shared" si="2"/>
        <v>72.612000000000009</v>
      </c>
      <c r="M78" s="24">
        <f t="shared" si="2"/>
        <v>73.009999999999991</v>
      </c>
      <c r="N78" s="24">
        <f t="shared" si="2"/>
        <v>92.174000000000021</v>
      </c>
      <c r="O78" s="24">
        <f t="shared" si="2"/>
        <v>62.388999999999996</v>
      </c>
      <c r="P78" s="24">
        <f t="shared" si="2"/>
        <v>88.268000000000015</v>
      </c>
      <c r="Q78" s="24">
        <f t="shared" si="2"/>
        <v>77.56</v>
      </c>
      <c r="R78" s="24">
        <f t="shared" si="2"/>
        <v>83.544000000000025</v>
      </c>
      <c r="S78" s="37"/>
      <c r="T78" s="37"/>
    </row>
    <row r="79" spans="1:20">
      <c r="S79" s="37"/>
      <c r="T79" s="37"/>
    </row>
    <row r="80" spans="1:20">
      <c r="A80" s="21" t="s">
        <v>16</v>
      </c>
      <c r="B80" s="21">
        <f>AVERAGE(A78:R78)</f>
        <v>57.080166666666678</v>
      </c>
      <c r="S80" s="37"/>
      <c r="T80" s="37"/>
    </row>
    <row r="81" spans="1:20">
      <c r="A81" s="21" t="s">
        <v>61</v>
      </c>
      <c r="B81" s="21">
        <f>MEDIAN(A78:R78)</f>
        <v>72.811000000000007</v>
      </c>
      <c r="S81" s="36"/>
      <c r="T81" s="36"/>
    </row>
    <row r="82" spans="1:20">
      <c r="S82" s="36"/>
      <c r="T82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82"/>
  <sheetViews>
    <sheetView zoomScale="73" workbookViewId="0">
      <selection activeCell="B3" sqref="B3"/>
    </sheetView>
  </sheetViews>
  <sheetFormatPr defaultColWidth="12.5546875" defaultRowHeight="15.75" customHeight="1"/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5"/>
      <c r="O2" s="35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5">
      <c r="A4" s="3">
        <v>50</v>
      </c>
      <c r="B4" s="3">
        <v>41</v>
      </c>
      <c r="C4" s="3">
        <v>47</v>
      </c>
      <c r="D4" s="3">
        <v>44</v>
      </c>
      <c r="E4" s="3">
        <v>41</v>
      </c>
      <c r="F4" s="3">
        <v>46</v>
      </c>
      <c r="G4" s="3">
        <v>41</v>
      </c>
      <c r="H4" s="3">
        <v>41</v>
      </c>
      <c r="I4" s="3">
        <v>46</v>
      </c>
      <c r="J4" s="3">
        <v>51</v>
      </c>
      <c r="K4" s="3">
        <v>54</v>
      </c>
      <c r="L4" s="3">
        <v>53</v>
      </c>
      <c r="M4" s="3">
        <v>55</v>
      </c>
    </row>
    <row r="5" spans="1:15">
      <c r="A5" s="3" t="s">
        <v>7</v>
      </c>
      <c r="B5" s="3" t="s">
        <v>8</v>
      </c>
      <c r="C5" s="3" t="s">
        <v>8</v>
      </c>
      <c r="D5" s="3" t="s">
        <v>7</v>
      </c>
      <c r="E5" s="3" t="s">
        <v>8</v>
      </c>
      <c r="F5" s="3" t="s">
        <v>8</v>
      </c>
      <c r="G5" s="3" t="s">
        <v>8</v>
      </c>
      <c r="H5" s="3" t="s">
        <v>7</v>
      </c>
      <c r="I5" s="3" t="s">
        <v>8</v>
      </c>
      <c r="J5" s="3" t="s">
        <v>7</v>
      </c>
      <c r="K5" s="3" t="s">
        <v>8</v>
      </c>
      <c r="L5" s="3" t="s">
        <v>7</v>
      </c>
      <c r="M5" s="3" t="s">
        <v>7</v>
      </c>
    </row>
    <row r="6" spans="1:15">
      <c r="A6" s="3" t="s">
        <v>10</v>
      </c>
      <c r="B6" s="3" t="s">
        <v>11</v>
      </c>
      <c r="C6" s="3" t="s">
        <v>10</v>
      </c>
      <c r="D6" s="3" t="s">
        <v>10</v>
      </c>
      <c r="E6" s="3" t="s">
        <v>10</v>
      </c>
      <c r="F6" s="3" t="s">
        <v>13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10</v>
      </c>
    </row>
    <row r="7" spans="1:15">
      <c r="A7" s="3"/>
      <c r="B7" s="3" t="s">
        <v>18</v>
      </c>
      <c r="C7" s="3" t="s">
        <v>18</v>
      </c>
      <c r="D7" s="3" t="s">
        <v>18</v>
      </c>
      <c r="E7" s="3"/>
      <c r="F7" s="3"/>
      <c r="G7" s="3"/>
      <c r="H7" s="3" t="s">
        <v>16</v>
      </c>
      <c r="I7" s="3" t="s">
        <v>16</v>
      </c>
      <c r="J7" s="3" t="s">
        <v>16</v>
      </c>
      <c r="K7" s="3" t="s">
        <v>16</v>
      </c>
      <c r="L7" s="3"/>
      <c r="M7" s="3"/>
    </row>
    <row r="8" spans="1: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5">
      <c r="A10" s="7">
        <v>2</v>
      </c>
      <c r="B10" s="7">
        <v>1.5</v>
      </c>
      <c r="C10" s="7">
        <v>1</v>
      </c>
      <c r="D10" s="7">
        <v>2</v>
      </c>
      <c r="E10" s="7">
        <v>2</v>
      </c>
      <c r="F10" s="7">
        <v>2.5</v>
      </c>
      <c r="G10" s="7">
        <v>3</v>
      </c>
      <c r="H10" s="7">
        <v>2</v>
      </c>
      <c r="I10" s="7">
        <v>2</v>
      </c>
      <c r="J10" s="7">
        <v>2</v>
      </c>
      <c r="K10" s="7">
        <v>2</v>
      </c>
      <c r="L10" s="7">
        <v>1.5</v>
      </c>
      <c r="M10" s="7">
        <v>2</v>
      </c>
    </row>
    <row r="11" spans="1:15">
      <c r="A11" s="7">
        <v>6</v>
      </c>
      <c r="B11" s="7">
        <v>5.5</v>
      </c>
      <c r="C11" s="7">
        <v>10</v>
      </c>
      <c r="D11" s="7">
        <v>6</v>
      </c>
      <c r="E11" s="7">
        <v>2</v>
      </c>
      <c r="F11" s="7">
        <v>4</v>
      </c>
      <c r="G11" s="7">
        <v>9</v>
      </c>
      <c r="H11" s="7">
        <v>4</v>
      </c>
      <c r="I11" s="7">
        <v>4</v>
      </c>
      <c r="J11" s="7">
        <v>10</v>
      </c>
      <c r="K11" s="7">
        <v>10</v>
      </c>
      <c r="L11" s="7">
        <v>7</v>
      </c>
      <c r="M11" s="7">
        <v>7</v>
      </c>
    </row>
    <row r="12" spans="1: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5">
      <c r="A13" s="7">
        <v>3</v>
      </c>
      <c r="B13" s="7">
        <v>2</v>
      </c>
      <c r="C13" s="7">
        <v>5</v>
      </c>
      <c r="D13" s="7">
        <v>2</v>
      </c>
      <c r="E13" s="7">
        <v>3</v>
      </c>
      <c r="F13" s="7">
        <v>4</v>
      </c>
      <c r="G13" s="7">
        <v>5</v>
      </c>
      <c r="H13" s="7">
        <v>4</v>
      </c>
      <c r="I13" s="7">
        <v>4</v>
      </c>
      <c r="J13" s="7">
        <v>3</v>
      </c>
      <c r="K13" s="7">
        <v>3</v>
      </c>
      <c r="L13" s="7">
        <v>6</v>
      </c>
      <c r="M13" s="7">
        <v>2</v>
      </c>
    </row>
    <row r="14" spans="1:15">
      <c r="A14" s="7">
        <v>7</v>
      </c>
      <c r="B14" s="7">
        <v>6</v>
      </c>
      <c r="C14" s="7">
        <v>10</v>
      </c>
      <c r="D14" s="7">
        <v>7</v>
      </c>
      <c r="E14" s="7">
        <v>3</v>
      </c>
      <c r="F14" s="7">
        <v>5</v>
      </c>
      <c r="G14" s="7">
        <v>9</v>
      </c>
      <c r="H14" s="7">
        <v>5</v>
      </c>
      <c r="I14" s="7">
        <v>5</v>
      </c>
      <c r="J14" s="7"/>
      <c r="K14" s="7">
        <v>12</v>
      </c>
      <c r="L14" s="7">
        <v>7</v>
      </c>
      <c r="M14" s="7">
        <v>7</v>
      </c>
    </row>
    <row r="1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5">
      <c r="A16" s="7"/>
      <c r="B16" s="7">
        <v>11</v>
      </c>
      <c r="C16" s="7">
        <v>9</v>
      </c>
      <c r="D16" s="7">
        <v>11</v>
      </c>
      <c r="E16" s="7">
        <v>18</v>
      </c>
      <c r="F16" s="7">
        <v>11</v>
      </c>
      <c r="G16" s="7">
        <v>11</v>
      </c>
      <c r="H16" s="7">
        <v>11</v>
      </c>
      <c r="I16" s="7">
        <v>11</v>
      </c>
      <c r="J16" s="7">
        <v>10</v>
      </c>
      <c r="K16" s="7">
        <v>10</v>
      </c>
      <c r="L16" s="7"/>
      <c r="M16" s="7">
        <v>8</v>
      </c>
    </row>
    <row r="17" spans="1:15">
      <c r="A17" s="7">
        <v>8</v>
      </c>
      <c r="B17" s="7">
        <v>11</v>
      </c>
      <c r="C17" s="7">
        <v>18</v>
      </c>
      <c r="D17" s="7">
        <v>16</v>
      </c>
      <c r="E17" s="7">
        <v>23</v>
      </c>
      <c r="F17" s="7"/>
      <c r="G17" s="7">
        <v>15</v>
      </c>
      <c r="H17" s="7">
        <v>11</v>
      </c>
      <c r="I17" s="7">
        <v>11</v>
      </c>
      <c r="J17" s="7">
        <v>10</v>
      </c>
      <c r="K17" s="7">
        <v>10</v>
      </c>
      <c r="L17" s="7">
        <v>10</v>
      </c>
      <c r="M17" s="7">
        <v>10</v>
      </c>
    </row>
    <row r="18" spans="1: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5">
      <c r="A19" s="7">
        <v>50</v>
      </c>
      <c r="B19" s="7">
        <v>20</v>
      </c>
      <c r="C19" s="7">
        <v>15</v>
      </c>
      <c r="D19" s="7">
        <v>44</v>
      </c>
      <c r="E19" s="7">
        <v>18</v>
      </c>
      <c r="F19" s="7">
        <v>46</v>
      </c>
      <c r="G19" s="7">
        <v>41</v>
      </c>
      <c r="H19" s="7">
        <v>41</v>
      </c>
      <c r="I19" s="7">
        <v>39</v>
      </c>
      <c r="J19" s="7">
        <v>51</v>
      </c>
      <c r="K19" s="7">
        <v>54</v>
      </c>
      <c r="L19" s="7">
        <v>53</v>
      </c>
      <c r="M19" s="7">
        <v>55</v>
      </c>
    </row>
    <row r="20" spans="1:15">
      <c r="A20" s="7"/>
      <c r="B20" s="7">
        <v>20</v>
      </c>
      <c r="C20" s="7">
        <v>25</v>
      </c>
      <c r="D20" s="7">
        <v>44</v>
      </c>
      <c r="E20" s="7">
        <v>40</v>
      </c>
      <c r="F20" s="7"/>
      <c r="G20" s="7">
        <v>41</v>
      </c>
      <c r="H20" s="7">
        <v>41</v>
      </c>
      <c r="I20" s="7">
        <v>46</v>
      </c>
      <c r="J20" s="7">
        <v>51</v>
      </c>
      <c r="K20" s="7"/>
      <c r="L20" s="7"/>
      <c r="M20" s="7"/>
    </row>
    <row r="21" spans="1: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5">
      <c r="A22" s="7">
        <v>50</v>
      </c>
      <c r="B22" s="7">
        <v>40</v>
      </c>
      <c r="C22" s="7">
        <v>40</v>
      </c>
      <c r="D22" s="7">
        <v>44</v>
      </c>
      <c r="E22" s="7">
        <v>40</v>
      </c>
      <c r="F22" s="7">
        <v>46</v>
      </c>
      <c r="G22" s="7">
        <v>41</v>
      </c>
      <c r="H22" s="7">
        <v>41</v>
      </c>
      <c r="I22" s="7">
        <v>46</v>
      </c>
      <c r="J22" s="7">
        <v>51</v>
      </c>
      <c r="K22" s="7">
        <v>54</v>
      </c>
      <c r="L22" s="7">
        <v>53</v>
      </c>
      <c r="M22" s="7">
        <v>55</v>
      </c>
    </row>
    <row r="23" spans="1:15">
      <c r="A23" s="7"/>
      <c r="B23" s="7">
        <v>20</v>
      </c>
      <c r="C23" s="7">
        <v>40</v>
      </c>
      <c r="D23" s="7">
        <v>44</v>
      </c>
      <c r="E23" s="7">
        <v>40</v>
      </c>
      <c r="F23" s="7"/>
      <c r="G23" s="7"/>
      <c r="H23" s="7">
        <v>41</v>
      </c>
      <c r="I23" s="7">
        <v>46</v>
      </c>
      <c r="J23" s="7"/>
      <c r="K23" s="7"/>
      <c r="L23" s="7">
        <v>53</v>
      </c>
      <c r="M23" s="7"/>
    </row>
    <row r="24" spans="1: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5">
      <c r="A25" s="7">
        <v>25</v>
      </c>
      <c r="B25" s="7"/>
      <c r="C25" s="7">
        <v>10</v>
      </c>
      <c r="D25" s="7"/>
      <c r="E25" s="7">
        <v>18</v>
      </c>
      <c r="F25" s="7"/>
      <c r="G25" s="7">
        <v>20</v>
      </c>
      <c r="H25" s="7">
        <v>20</v>
      </c>
      <c r="I25" s="7">
        <v>30</v>
      </c>
      <c r="J25" s="7"/>
      <c r="K25" s="7">
        <v>20</v>
      </c>
      <c r="L25" s="7">
        <v>30</v>
      </c>
      <c r="M25" s="7">
        <v>55</v>
      </c>
    </row>
    <row r="26" spans="1:15">
      <c r="A26" s="7"/>
      <c r="B26" s="7">
        <v>20</v>
      </c>
      <c r="C26" s="7">
        <v>20</v>
      </c>
      <c r="D26" s="7">
        <v>23</v>
      </c>
      <c r="E26" s="7">
        <v>40</v>
      </c>
      <c r="F26" s="7"/>
      <c r="G26" s="7"/>
      <c r="H26" s="7">
        <v>20</v>
      </c>
      <c r="I26" s="7">
        <v>25</v>
      </c>
      <c r="J26" s="7"/>
      <c r="K26" s="7">
        <v>30</v>
      </c>
      <c r="L26" s="7">
        <v>30</v>
      </c>
      <c r="M26" s="7"/>
    </row>
    <row r="27" spans="1: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36"/>
      <c r="O27" s="36"/>
    </row>
    <row r="28" spans="1: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36"/>
      <c r="O28" s="36"/>
    </row>
    <row r="29" spans="1:15">
      <c r="A29" s="11">
        <v>90</v>
      </c>
      <c r="B29" s="11">
        <v>50</v>
      </c>
      <c r="C29" s="11">
        <v>40</v>
      </c>
      <c r="D29" s="11">
        <v>60</v>
      </c>
      <c r="E29" s="11">
        <v>50</v>
      </c>
      <c r="F29" s="11">
        <v>70</v>
      </c>
      <c r="G29" s="11">
        <v>80</v>
      </c>
      <c r="H29" s="11">
        <v>60</v>
      </c>
      <c r="I29" s="11">
        <v>80</v>
      </c>
      <c r="J29" s="11">
        <v>90</v>
      </c>
      <c r="K29" s="11">
        <v>90</v>
      </c>
      <c r="L29" s="11">
        <v>80</v>
      </c>
      <c r="M29" s="11">
        <v>100</v>
      </c>
    </row>
    <row r="30" spans="1:15">
      <c r="A30" s="11">
        <v>10</v>
      </c>
      <c r="B30" s="11">
        <v>50</v>
      </c>
      <c r="C30" s="11">
        <v>50</v>
      </c>
      <c r="D30" s="11">
        <v>40</v>
      </c>
      <c r="E30" s="11">
        <v>50</v>
      </c>
      <c r="F30" s="11">
        <v>30</v>
      </c>
      <c r="G30" s="11">
        <v>20</v>
      </c>
      <c r="H30" s="11">
        <v>40</v>
      </c>
      <c r="I30" s="11">
        <v>10</v>
      </c>
      <c r="J30" s="11">
        <v>10</v>
      </c>
      <c r="K30" s="11">
        <v>10</v>
      </c>
      <c r="L30" s="11">
        <v>20</v>
      </c>
      <c r="M30" s="11"/>
    </row>
    <row r="31" spans="1:15">
      <c r="A31" s="11"/>
      <c r="B31" s="11"/>
      <c r="C31" s="11">
        <v>10</v>
      </c>
      <c r="D31" s="11"/>
      <c r="E31" s="11"/>
      <c r="F31" s="11"/>
      <c r="G31" s="11"/>
      <c r="H31" s="11"/>
      <c r="I31" s="11">
        <v>10</v>
      </c>
      <c r="J31" s="11"/>
      <c r="K31" s="11"/>
      <c r="L31" s="11"/>
      <c r="M31" s="11"/>
    </row>
    <row r="32" spans="1: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>
      <c r="A33" s="11">
        <v>95</v>
      </c>
      <c r="B33" s="11">
        <v>40</v>
      </c>
      <c r="C33" s="11">
        <v>100</v>
      </c>
      <c r="D33" s="11">
        <v>90</v>
      </c>
      <c r="E33" s="11">
        <v>50</v>
      </c>
      <c r="F33" s="11">
        <v>90</v>
      </c>
      <c r="G33" s="11">
        <v>90</v>
      </c>
      <c r="H33" s="11">
        <v>70</v>
      </c>
      <c r="I33" s="11">
        <v>90</v>
      </c>
      <c r="J33" s="11">
        <v>100</v>
      </c>
      <c r="K33" s="11">
        <v>100</v>
      </c>
      <c r="L33" s="11">
        <v>70</v>
      </c>
      <c r="M33" s="11">
        <v>100</v>
      </c>
    </row>
    <row r="34" spans="1:13">
      <c r="A34" s="11">
        <v>5</v>
      </c>
      <c r="B34" s="11">
        <v>60</v>
      </c>
      <c r="C34" s="11"/>
      <c r="D34" s="11">
        <v>10</v>
      </c>
      <c r="E34" s="11">
        <v>50</v>
      </c>
      <c r="F34" s="11">
        <v>10</v>
      </c>
      <c r="G34" s="11">
        <v>10</v>
      </c>
      <c r="H34" s="11">
        <v>30</v>
      </c>
      <c r="I34" s="11">
        <v>5</v>
      </c>
      <c r="J34" s="11"/>
      <c r="K34" s="11"/>
      <c r="L34" s="11">
        <v>30</v>
      </c>
      <c r="M34" s="11"/>
    </row>
    <row r="35" spans="1:13">
      <c r="A35" s="11"/>
      <c r="B35" s="11"/>
      <c r="C35" s="11"/>
      <c r="D35" s="11"/>
      <c r="E35" s="11"/>
      <c r="F35" s="11"/>
      <c r="G35" s="11"/>
      <c r="H35" s="11"/>
      <c r="I35" s="11">
        <v>5</v>
      </c>
      <c r="J35" s="11"/>
      <c r="K35" s="11"/>
      <c r="L35" s="11"/>
      <c r="M35" s="11"/>
    </row>
    <row r="36" spans="1:1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>
      <c r="A37" s="11">
        <v>90</v>
      </c>
      <c r="B37" s="11"/>
      <c r="C37" s="11">
        <v>30</v>
      </c>
      <c r="D37" s="11"/>
      <c r="E37" s="11"/>
      <c r="F37" s="11">
        <v>95</v>
      </c>
      <c r="G37" s="11">
        <v>90</v>
      </c>
      <c r="H37" s="11"/>
      <c r="I37" s="11"/>
      <c r="J37" s="11">
        <v>60</v>
      </c>
      <c r="K37" s="11">
        <v>20</v>
      </c>
      <c r="L37" s="11">
        <v>60</v>
      </c>
      <c r="M37" s="11"/>
    </row>
    <row r="38" spans="1:13">
      <c r="A38" s="11">
        <v>10</v>
      </c>
      <c r="B38" s="11">
        <v>100</v>
      </c>
      <c r="C38" s="11">
        <v>70</v>
      </c>
      <c r="D38" s="11">
        <v>100</v>
      </c>
      <c r="E38" s="11">
        <v>100</v>
      </c>
      <c r="F38" s="11">
        <v>5</v>
      </c>
      <c r="G38" s="11">
        <v>10</v>
      </c>
      <c r="H38" s="11"/>
      <c r="I38" s="11"/>
      <c r="J38" s="11">
        <v>40</v>
      </c>
      <c r="K38" s="11">
        <v>80</v>
      </c>
      <c r="L38" s="11">
        <v>40</v>
      </c>
      <c r="M38" s="11">
        <v>100</v>
      </c>
    </row>
    <row r="39" spans="1:1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>
      <c r="A41" s="11">
        <v>100</v>
      </c>
      <c r="B41" s="11">
        <v>90</v>
      </c>
      <c r="C41" s="11">
        <v>70</v>
      </c>
      <c r="D41" s="11">
        <v>80</v>
      </c>
      <c r="E41" s="11">
        <v>50</v>
      </c>
      <c r="F41" s="11">
        <v>95</v>
      </c>
      <c r="G41" s="11">
        <v>50</v>
      </c>
      <c r="H41" s="11">
        <v>100</v>
      </c>
      <c r="I41" s="11">
        <v>100</v>
      </c>
      <c r="J41" s="11">
        <v>50</v>
      </c>
      <c r="K41" s="11">
        <v>90</v>
      </c>
      <c r="L41" s="11">
        <v>100</v>
      </c>
      <c r="M41" s="11">
        <v>100</v>
      </c>
    </row>
    <row r="42" spans="1:13">
      <c r="A42" s="11"/>
      <c r="B42" s="11">
        <v>10</v>
      </c>
      <c r="C42" s="11">
        <v>30</v>
      </c>
      <c r="D42" s="11">
        <v>20</v>
      </c>
      <c r="E42" s="11">
        <v>50</v>
      </c>
      <c r="F42" s="11"/>
      <c r="G42" s="11">
        <v>50</v>
      </c>
      <c r="H42" s="11"/>
      <c r="I42" s="11"/>
      <c r="J42" s="11">
        <v>50</v>
      </c>
      <c r="K42" s="11">
        <v>10</v>
      </c>
      <c r="L42" s="11"/>
      <c r="M42" s="11"/>
    </row>
    <row r="43" spans="1:1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>
      <c r="A45" s="11">
        <v>100</v>
      </c>
      <c r="B45" s="11">
        <v>90</v>
      </c>
      <c r="C45" s="11">
        <v>90</v>
      </c>
      <c r="D45" s="11"/>
      <c r="E45" s="11">
        <v>50</v>
      </c>
      <c r="F45" s="11">
        <v>97</v>
      </c>
      <c r="G45" s="11">
        <v>100</v>
      </c>
      <c r="H45" s="11"/>
      <c r="I45" s="11"/>
      <c r="J45" s="11"/>
      <c r="K45" s="11"/>
      <c r="L45" s="11">
        <v>75</v>
      </c>
      <c r="M45" s="11">
        <v>100</v>
      </c>
    </row>
    <row r="46" spans="1:13">
      <c r="A46" s="11"/>
      <c r="B46" s="11">
        <v>10</v>
      </c>
      <c r="C46" s="11">
        <v>10</v>
      </c>
      <c r="D46" s="11">
        <v>100</v>
      </c>
      <c r="E46" s="11">
        <v>50</v>
      </c>
      <c r="F46" s="11">
        <v>3</v>
      </c>
      <c r="G46" s="11"/>
      <c r="H46" s="11">
        <v>100</v>
      </c>
      <c r="I46" s="11">
        <v>100</v>
      </c>
      <c r="J46" s="11"/>
      <c r="K46" s="11"/>
      <c r="L46" s="11">
        <v>25</v>
      </c>
      <c r="M46" s="11"/>
    </row>
    <row r="47" spans="1:1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6">
      <c r="A50" s="15">
        <v>5</v>
      </c>
      <c r="B50" s="15">
        <v>6</v>
      </c>
      <c r="C50" s="15">
        <v>6</v>
      </c>
      <c r="D50" s="15">
        <v>6</v>
      </c>
      <c r="E50" s="15">
        <v>6</v>
      </c>
      <c r="F50" s="15">
        <v>5</v>
      </c>
      <c r="G50" s="15">
        <v>6</v>
      </c>
      <c r="H50" s="15">
        <v>6</v>
      </c>
      <c r="I50" s="15">
        <v>6</v>
      </c>
      <c r="J50" s="15">
        <v>6</v>
      </c>
      <c r="K50" s="15">
        <v>6</v>
      </c>
      <c r="L50" s="15">
        <v>6</v>
      </c>
      <c r="M50" s="15">
        <v>6</v>
      </c>
      <c r="N50" s="36"/>
      <c r="O50" s="36"/>
      <c r="P50" s="37"/>
    </row>
    <row r="51" spans="1:16">
      <c r="A51" s="15">
        <v>4</v>
      </c>
      <c r="B51" s="15">
        <v>6</v>
      </c>
      <c r="C51" s="15">
        <v>6</v>
      </c>
      <c r="D51" s="15">
        <v>6</v>
      </c>
      <c r="E51" s="15">
        <v>6</v>
      </c>
      <c r="F51" s="15">
        <v>5</v>
      </c>
      <c r="G51" s="15">
        <v>6</v>
      </c>
      <c r="H51" s="15">
        <v>6</v>
      </c>
      <c r="I51" s="15">
        <v>3</v>
      </c>
      <c r="J51" s="15">
        <v>6</v>
      </c>
      <c r="K51" s="15">
        <v>6</v>
      </c>
      <c r="L51" s="15">
        <v>6</v>
      </c>
      <c r="M51" s="15">
        <v>6</v>
      </c>
      <c r="N51" s="36"/>
      <c r="O51" s="36"/>
      <c r="P51" s="37"/>
    </row>
    <row r="52" spans="1:1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36"/>
      <c r="O52" s="36"/>
      <c r="P52" s="37"/>
    </row>
    <row r="53" spans="1:16">
      <c r="A53" s="15">
        <v>6</v>
      </c>
      <c r="B53" s="15">
        <v>6</v>
      </c>
      <c r="C53" s="15">
        <v>6</v>
      </c>
      <c r="D53" s="15">
        <v>6</v>
      </c>
      <c r="E53" s="15">
        <v>6</v>
      </c>
      <c r="F53" s="15">
        <v>5</v>
      </c>
      <c r="G53" s="15">
        <v>6</v>
      </c>
      <c r="H53" s="15">
        <v>6</v>
      </c>
      <c r="I53" s="15">
        <v>6</v>
      </c>
      <c r="J53" s="15">
        <v>6</v>
      </c>
      <c r="K53" s="15">
        <v>6</v>
      </c>
      <c r="L53" s="15">
        <v>6</v>
      </c>
      <c r="M53" s="15">
        <v>6</v>
      </c>
    </row>
    <row r="54" spans="1:16">
      <c r="A54" s="15">
        <v>4</v>
      </c>
      <c r="B54" s="15">
        <v>6</v>
      </c>
      <c r="C54" s="15">
        <v>6</v>
      </c>
      <c r="D54" s="15">
        <v>6</v>
      </c>
      <c r="E54" s="15">
        <v>6</v>
      </c>
      <c r="F54" s="15">
        <v>4</v>
      </c>
      <c r="G54" s="15">
        <v>6</v>
      </c>
      <c r="H54" s="15">
        <v>5</v>
      </c>
      <c r="I54" s="15">
        <v>6</v>
      </c>
      <c r="J54" s="15">
        <v>6</v>
      </c>
      <c r="K54" s="15">
        <v>6</v>
      </c>
      <c r="L54" s="15">
        <v>6</v>
      </c>
      <c r="M54" s="15">
        <v>6</v>
      </c>
    </row>
    <row r="55" spans="1:1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6">
      <c r="A56" s="15">
        <v>5</v>
      </c>
      <c r="B56" s="15">
        <v>6</v>
      </c>
      <c r="C56" s="15">
        <v>6</v>
      </c>
      <c r="D56" s="15">
        <v>6</v>
      </c>
      <c r="E56" s="15">
        <v>6</v>
      </c>
      <c r="F56" s="15">
        <v>5</v>
      </c>
      <c r="G56" s="15">
        <v>6</v>
      </c>
      <c r="H56" s="15">
        <v>6</v>
      </c>
      <c r="I56" s="15">
        <v>3</v>
      </c>
      <c r="J56" s="15">
        <v>6</v>
      </c>
      <c r="K56" s="15">
        <v>6</v>
      </c>
      <c r="L56" s="15">
        <v>6</v>
      </c>
      <c r="M56" s="15">
        <v>6</v>
      </c>
    </row>
    <row r="57" spans="1:16">
      <c r="A57" s="15">
        <v>5</v>
      </c>
      <c r="B57" s="15">
        <v>6</v>
      </c>
      <c r="C57" s="15">
        <v>6</v>
      </c>
      <c r="D57" s="15">
        <v>6</v>
      </c>
      <c r="E57" s="15">
        <v>6</v>
      </c>
      <c r="F57" s="15">
        <v>5</v>
      </c>
      <c r="G57" s="15">
        <v>6</v>
      </c>
      <c r="H57" s="15">
        <v>6</v>
      </c>
      <c r="I57" s="15">
        <v>4</v>
      </c>
      <c r="J57" s="15">
        <v>6</v>
      </c>
      <c r="K57" s="15">
        <v>6</v>
      </c>
      <c r="L57" s="15">
        <v>6</v>
      </c>
      <c r="M57" s="15">
        <v>6</v>
      </c>
    </row>
    <row r="58" spans="1:1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6">
      <c r="A59" s="15">
        <v>4</v>
      </c>
      <c r="B59" s="15">
        <v>6</v>
      </c>
      <c r="C59" s="15">
        <v>6</v>
      </c>
      <c r="D59" s="15">
        <v>6</v>
      </c>
      <c r="E59" s="15">
        <v>6</v>
      </c>
      <c r="F59" s="15">
        <v>4</v>
      </c>
      <c r="G59" s="15">
        <v>6</v>
      </c>
      <c r="H59" s="15">
        <v>5</v>
      </c>
      <c r="I59" s="15">
        <v>3</v>
      </c>
      <c r="J59" s="15">
        <v>6</v>
      </c>
      <c r="K59" s="15">
        <v>6</v>
      </c>
      <c r="L59" s="15">
        <v>6</v>
      </c>
      <c r="M59" s="15">
        <v>6</v>
      </c>
    </row>
    <row r="60" spans="1:16">
      <c r="A60" s="15">
        <v>5</v>
      </c>
      <c r="B60" s="15">
        <v>6</v>
      </c>
      <c r="C60" s="15">
        <v>6</v>
      </c>
      <c r="D60" s="15">
        <v>6</v>
      </c>
      <c r="E60" s="15">
        <v>6</v>
      </c>
      <c r="F60" s="15">
        <v>5</v>
      </c>
      <c r="G60" s="15">
        <v>6</v>
      </c>
      <c r="H60" s="15">
        <v>5</v>
      </c>
      <c r="I60" s="15">
        <v>5</v>
      </c>
      <c r="J60" s="15">
        <v>6</v>
      </c>
      <c r="K60" s="15">
        <v>6</v>
      </c>
      <c r="L60" s="15">
        <v>6</v>
      </c>
      <c r="M60" s="15">
        <v>6</v>
      </c>
    </row>
    <row r="61" spans="1:1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1:1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1:16">
      <c r="A63" s="19">
        <v>6</v>
      </c>
      <c r="B63" s="19">
        <v>6</v>
      </c>
      <c r="C63" s="19">
        <v>6</v>
      </c>
      <c r="D63" s="19">
        <v>6</v>
      </c>
      <c r="E63" s="19">
        <v>6</v>
      </c>
      <c r="F63" s="19">
        <v>6</v>
      </c>
      <c r="G63" s="19">
        <v>6</v>
      </c>
      <c r="H63" s="19">
        <v>6</v>
      </c>
      <c r="I63" s="19">
        <v>4</v>
      </c>
      <c r="J63" s="19">
        <v>6</v>
      </c>
      <c r="K63" s="19">
        <v>6</v>
      </c>
      <c r="L63" s="19">
        <v>6</v>
      </c>
      <c r="M63" s="19">
        <v>6</v>
      </c>
    </row>
    <row r="64" spans="1:16">
      <c r="A64" s="19">
        <v>2</v>
      </c>
      <c r="B64" s="19">
        <v>4</v>
      </c>
      <c r="C64" s="19">
        <v>5</v>
      </c>
      <c r="D64" s="19">
        <v>6</v>
      </c>
      <c r="E64" s="19">
        <v>6</v>
      </c>
      <c r="F64" s="19">
        <v>6</v>
      </c>
      <c r="G64" s="19"/>
      <c r="H64" s="19">
        <v>3</v>
      </c>
      <c r="I64" s="19">
        <v>4</v>
      </c>
      <c r="J64" s="19">
        <v>6</v>
      </c>
      <c r="K64" s="19">
        <v>6</v>
      </c>
      <c r="L64" s="19">
        <v>6</v>
      </c>
      <c r="M64" s="19"/>
    </row>
    <row r="65" spans="1:1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5">
      <c r="A66" s="19">
        <v>6</v>
      </c>
      <c r="B66" s="19">
        <v>6</v>
      </c>
      <c r="C66" s="19">
        <v>6</v>
      </c>
      <c r="D66" s="19">
        <v>6</v>
      </c>
      <c r="E66" s="19">
        <v>6</v>
      </c>
      <c r="F66" s="19">
        <v>6</v>
      </c>
      <c r="G66" s="19">
        <v>6</v>
      </c>
      <c r="H66" s="19">
        <v>6</v>
      </c>
      <c r="I66" s="19">
        <v>6</v>
      </c>
      <c r="J66" s="19">
        <v>6</v>
      </c>
      <c r="K66" s="19">
        <v>6</v>
      </c>
      <c r="L66" s="19">
        <v>6</v>
      </c>
      <c r="M66" s="19">
        <v>6</v>
      </c>
      <c r="N66" s="36"/>
      <c r="O66" s="36"/>
    </row>
    <row r="67" spans="1:15">
      <c r="A67" s="19">
        <v>2</v>
      </c>
      <c r="B67" s="19">
        <v>1</v>
      </c>
      <c r="C67" s="19"/>
      <c r="D67" s="19">
        <v>1</v>
      </c>
      <c r="E67" s="19"/>
      <c r="F67" s="19">
        <v>2</v>
      </c>
      <c r="G67" s="19"/>
      <c r="H67" s="19">
        <v>2</v>
      </c>
      <c r="I67" s="19"/>
      <c r="J67" s="19">
        <v>2</v>
      </c>
      <c r="K67" s="19"/>
      <c r="L67" s="19">
        <v>6</v>
      </c>
      <c r="M67" s="19"/>
      <c r="N67" s="36"/>
      <c r="O67" s="36"/>
    </row>
    <row r="68" spans="1: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5">
      <c r="A69" s="19">
        <v>6</v>
      </c>
      <c r="B69" s="19">
        <v>6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</row>
    <row r="70" spans="1:15">
      <c r="A70" s="19">
        <v>2</v>
      </c>
      <c r="B70" s="19">
        <v>3</v>
      </c>
      <c r="C70" s="19"/>
      <c r="D70" s="19">
        <v>1</v>
      </c>
      <c r="E70" s="19"/>
      <c r="F70" s="19">
        <v>4</v>
      </c>
      <c r="G70" s="19"/>
      <c r="H70" s="19"/>
      <c r="I70" s="19"/>
      <c r="J70" s="19"/>
      <c r="K70" s="19"/>
      <c r="L70" s="19">
        <v>6</v>
      </c>
      <c r="M70" s="19"/>
    </row>
    <row r="71" spans="1:1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5">
      <c r="A72" s="19">
        <v>6</v>
      </c>
      <c r="B72" s="19">
        <v>6</v>
      </c>
      <c r="C72" s="19">
        <v>6</v>
      </c>
      <c r="D72" s="19">
        <v>6</v>
      </c>
      <c r="E72" s="19">
        <v>6</v>
      </c>
      <c r="F72" s="19">
        <v>3</v>
      </c>
      <c r="G72" s="19">
        <v>6</v>
      </c>
      <c r="H72" s="19">
        <v>6</v>
      </c>
      <c r="I72" s="19">
        <v>6</v>
      </c>
      <c r="J72" s="19">
        <v>6</v>
      </c>
      <c r="K72" s="19">
        <v>6</v>
      </c>
      <c r="L72" s="19">
        <v>6</v>
      </c>
      <c r="M72" s="19">
        <v>6</v>
      </c>
    </row>
    <row r="73" spans="1:15">
      <c r="A73" s="19">
        <v>2</v>
      </c>
      <c r="B73" s="19">
        <v>0</v>
      </c>
      <c r="C73" s="19"/>
      <c r="D73" s="19">
        <v>6</v>
      </c>
      <c r="E73" s="19"/>
      <c r="F73" s="19">
        <v>3</v>
      </c>
      <c r="G73" s="19"/>
      <c r="H73" s="19"/>
      <c r="I73" s="19"/>
      <c r="J73" s="19"/>
      <c r="K73" s="19"/>
      <c r="L73" s="19">
        <v>6</v>
      </c>
      <c r="M73" s="19"/>
    </row>
    <row r="76" spans="1:15">
      <c r="A76" s="21">
        <f t="shared" ref="A76:M76" si="0">0.454*(IF(A10&gt;20, 20, 20-ROUND(A10,0)) + IF(A13&gt;20, 20, 20-ROUND(A13,0)) + A16 + IF(A19&gt;20, 20, A19) + IF(A22&gt;20, 20, A22) + IF(A25&gt;20, 20, A25)) + (A29+A33+A37+A41+A45)*0.109 + (A50+A53+A56+A59)*2.27 + (A63+A66+A69+A72)*2.27</f>
        <v>194.78500000000003</v>
      </c>
      <c r="B76" s="21">
        <f t="shared" si="0"/>
        <v>177.88800000000001</v>
      </c>
      <c r="C76" s="21">
        <f t="shared" si="0"/>
        <v>184.88200000000001</v>
      </c>
      <c r="D76" s="21">
        <f t="shared" si="0"/>
        <v>173.52800000000002</v>
      </c>
      <c r="E76" s="21">
        <f t="shared" si="0"/>
        <v>180.24600000000001</v>
      </c>
      <c r="F76" s="21">
        <f t="shared" si="0"/>
        <v>177.65899999999999</v>
      </c>
      <c r="G76" s="21">
        <f t="shared" si="0"/>
        <v>200.41200000000003</v>
      </c>
      <c r="H76" s="21">
        <f t="shared" si="0"/>
        <v>179.43</v>
      </c>
      <c r="I76" s="21">
        <f t="shared" si="0"/>
        <v>167.89999999999998</v>
      </c>
      <c r="J76" s="21">
        <f t="shared" si="0"/>
        <v>180.25</v>
      </c>
      <c r="K76" s="21">
        <f t="shared" si="0"/>
        <v>189.33000000000004</v>
      </c>
      <c r="L76" s="21">
        <f t="shared" si="0"/>
        <v>192.69300000000004</v>
      </c>
      <c r="M76" s="21">
        <f t="shared" si="0"/>
        <v>199.77600000000001</v>
      </c>
    </row>
    <row r="77" spans="1:15">
      <c r="A77" s="22">
        <f t="shared" ref="A77:M77" si="1">0.454*(IF(A11&gt;20, 20, 20-ROUND(A11,0)) + IF(A14&gt;20, 20, 20-ROUND(A14,0)) + A17 + IF(A20&gt;20, 20, A20) + IF(A23&gt;20, 20, A23) + IF(A26&gt;20, 20, A26)) + (A30+A34+A38+A42+A46)*0.109 + (A51+A54+A57+A60)*2.27 + (A64+A67+A70+A73)*2.27</f>
        <v>77.635000000000005</v>
      </c>
      <c r="B77" s="22">
        <f t="shared" si="1"/>
        <v>142.65600000000001</v>
      </c>
      <c r="C77" s="22">
        <f t="shared" si="1"/>
        <v>127.762</v>
      </c>
      <c r="D77" s="22">
        <f t="shared" si="1"/>
        <v>162.45200000000003</v>
      </c>
      <c r="E77" s="22">
        <f t="shared" si="1"/>
        <v>154.37200000000001</v>
      </c>
      <c r="F77" s="22">
        <f t="shared" si="1"/>
        <v>96.486000000000004</v>
      </c>
      <c r="G77" s="22">
        <f t="shared" si="1"/>
        <v>90.168000000000006</v>
      </c>
      <c r="H77" s="22">
        <f t="shared" si="1"/>
        <v>126.12799999999999</v>
      </c>
      <c r="I77" s="22">
        <f t="shared" si="1"/>
        <v>108.783</v>
      </c>
      <c r="J77" s="22">
        <f t="shared" si="1"/>
        <v>110.78</v>
      </c>
      <c r="K77" s="22">
        <f t="shared" si="1"/>
        <v>100.792</v>
      </c>
      <c r="L77" s="22">
        <f t="shared" si="1"/>
        <v>155.99900000000002</v>
      </c>
      <c r="M77" s="22">
        <f t="shared" si="1"/>
        <v>81.724000000000004</v>
      </c>
    </row>
    <row r="78" spans="1:15">
      <c r="A78" s="24">
        <f t="shared" ref="A78:M78" si="2">A76-A77</f>
        <v>117.15000000000002</v>
      </c>
      <c r="B78" s="24">
        <f t="shared" si="2"/>
        <v>35.231999999999999</v>
      </c>
      <c r="C78" s="24">
        <f t="shared" si="2"/>
        <v>57.120000000000005</v>
      </c>
      <c r="D78" s="24">
        <f t="shared" si="2"/>
        <v>11.075999999999993</v>
      </c>
      <c r="E78" s="24">
        <f t="shared" si="2"/>
        <v>25.873999999999995</v>
      </c>
      <c r="F78" s="24">
        <f t="shared" si="2"/>
        <v>81.172999999999988</v>
      </c>
      <c r="G78" s="24">
        <f t="shared" si="2"/>
        <v>110.24400000000003</v>
      </c>
      <c r="H78" s="24">
        <f t="shared" si="2"/>
        <v>53.302000000000021</v>
      </c>
      <c r="I78" s="24">
        <f t="shared" si="2"/>
        <v>59.116999999999976</v>
      </c>
      <c r="J78" s="24">
        <f t="shared" si="2"/>
        <v>69.47</v>
      </c>
      <c r="K78" s="24">
        <f t="shared" si="2"/>
        <v>88.538000000000039</v>
      </c>
      <c r="L78" s="24">
        <f t="shared" si="2"/>
        <v>36.694000000000017</v>
      </c>
      <c r="M78" s="24">
        <f t="shared" si="2"/>
        <v>118.05200000000001</v>
      </c>
    </row>
    <row r="80" spans="1:15">
      <c r="A80" s="21" t="s">
        <v>16</v>
      </c>
      <c r="B80" s="21">
        <f>AVERAGE(A78:M78)</f>
        <v>66.387846153846155</v>
      </c>
    </row>
    <row r="81" spans="1:15">
      <c r="A81" s="21" t="s">
        <v>61</v>
      </c>
      <c r="B81" s="21">
        <f>MEDIAN(A78:M78)</f>
        <v>59.116999999999976</v>
      </c>
      <c r="N81" s="36"/>
      <c r="O81" s="36"/>
    </row>
    <row r="82" spans="1:15">
      <c r="N82" s="36"/>
      <c r="O82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87"/>
  <sheetViews>
    <sheetView zoomScale="93" workbookViewId="0">
      <selection activeCell="O10" sqref="O10"/>
    </sheetView>
  </sheetViews>
  <sheetFormatPr defaultColWidth="12.5546875" defaultRowHeight="15.75" customHeight="1"/>
  <sheetData>
    <row r="1" spans="1:16" ht="13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3.2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5"/>
      <c r="P2" s="35"/>
    </row>
    <row r="3" spans="1:16" ht="13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ht="13.2">
      <c r="A4" s="3">
        <v>57</v>
      </c>
      <c r="B4" s="3">
        <v>58</v>
      </c>
      <c r="C4" s="3">
        <v>60</v>
      </c>
      <c r="D4" s="3">
        <v>85</v>
      </c>
      <c r="E4" s="3">
        <v>58</v>
      </c>
      <c r="F4" s="3">
        <v>60</v>
      </c>
      <c r="G4" s="3">
        <v>68</v>
      </c>
      <c r="H4" s="3">
        <v>69</v>
      </c>
      <c r="I4" s="3">
        <v>81</v>
      </c>
      <c r="J4" s="3">
        <v>61</v>
      </c>
      <c r="K4" s="3">
        <v>73</v>
      </c>
      <c r="L4" s="3">
        <v>64</v>
      </c>
      <c r="M4" s="3">
        <v>67</v>
      </c>
      <c r="N4" s="3">
        <v>64</v>
      </c>
    </row>
    <row r="5" spans="1:16" ht="13.2">
      <c r="A5" s="3" t="s">
        <v>7</v>
      </c>
      <c r="B5" s="3" t="s">
        <v>8</v>
      </c>
      <c r="C5" s="3" t="s">
        <v>8</v>
      </c>
      <c r="D5" s="3" t="s">
        <v>8</v>
      </c>
      <c r="E5" s="3" t="s">
        <v>7</v>
      </c>
      <c r="F5" s="3" t="s">
        <v>7</v>
      </c>
      <c r="G5" s="3" t="s">
        <v>7</v>
      </c>
      <c r="H5" s="3" t="s">
        <v>8</v>
      </c>
      <c r="I5" s="3" t="s">
        <v>7</v>
      </c>
      <c r="J5" s="3" t="s">
        <v>7</v>
      </c>
      <c r="K5" s="3" t="s">
        <v>7</v>
      </c>
      <c r="L5" s="3" t="s">
        <v>7</v>
      </c>
      <c r="M5" s="3" t="s">
        <v>8</v>
      </c>
      <c r="N5" s="3" t="s">
        <v>7</v>
      </c>
    </row>
    <row r="6" spans="1:16" ht="13.2">
      <c r="A6" s="3" t="s">
        <v>10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14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10</v>
      </c>
      <c r="N6" s="3" t="s">
        <v>10</v>
      </c>
    </row>
    <row r="7" spans="1:16" ht="13.2">
      <c r="A7" s="3"/>
      <c r="B7" s="3"/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/>
      <c r="J7" s="3" t="s">
        <v>20</v>
      </c>
      <c r="K7" s="3" t="s">
        <v>20</v>
      </c>
      <c r="L7" s="3"/>
      <c r="M7" s="3"/>
      <c r="N7" s="3"/>
    </row>
    <row r="8" spans="1:16" ht="13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6" ht="13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6" ht="13.2">
      <c r="A10" s="7">
        <v>1</v>
      </c>
      <c r="B10" s="7">
        <v>7</v>
      </c>
      <c r="C10" s="7">
        <v>1</v>
      </c>
      <c r="D10" s="7">
        <v>2</v>
      </c>
      <c r="E10" s="7">
        <v>2</v>
      </c>
      <c r="F10" s="7">
        <v>2</v>
      </c>
      <c r="G10" s="7">
        <v>2</v>
      </c>
      <c r="H10" s="7">
        <v>1</v>
      </c>
      <c r="I10" s="7"/>
      <c r="J10" s="7">
        <v>1</v>
      </c>
      <c r="K10" s="7">
        <v>1</v>
      </c>
      <c r="L10" s="7">
        <v>2</v>
      </c>
      <c r="M10" s="7">
        <v>1</v>
      </c>
      <c r="N10" s="7">
        <v>2</v>
      </c>
    </row>
    <row r="11" spans="1:16" ht="13.2">
      <c r="A11" s="7"/>
      <c r="B11" s="7">
        <v>2</v>
      </c>
      <c r="C11" s="7"/>
      <c r="D11" s="7">
        <v>6</v>
      </c>
      <c r="E11" s="7">
        <v>7</v>
      </c>
      <c r="F11" s="7">
        <v>6</v>
      </c>
      <c r="G11" s="7">
        <v>8</v>
      </c>
      <c r="H11" s="7">
        <v>7</v>
      </c>
      <c r="I11" s="7"/>
      <c r="J11" s="7">
        <v>6</v>
      </c>
      <c r="K11" s="7">
        <v>8</v>
      </c>
      <c r="L11" s="7">
        <v>6</v>
      </c>
      <c r="M11" s="7">
        <v>8</v>
      </c>
      <c r="N11" s="7">
        <v>2</v>
      </c>
    </row>
    <row r="12" spans="1:16" ht="13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6" ht="13.2">
      <c r="A13" s="7">
        <v>2</v>
      </c>
      <c r="B13" s="7">
        <v>8</v>
      </c>
      <c r="C13" s="7"/>
      <c r="D13" s="7">
        <v>3</v>
      </c>
      <c r="E13" s="7">
        <v>5</v>
      </c>
      <c r="F13" s="7">
        <v>2</v>
      </c>
      <c r="G13" s="7">
        <v>2</v>
      </c>
      <c r="H13" s="7">
        <v>2</v>
      </c>
      <c r="I13" s="7">
        <v>5</v>
      </c>
      <c r="J13" s="7">
        <v>2</v>
      </c>
      <c r="K13" s="7">
        <v>2</v>
      </c>
      <c r="L13" s="7">
        <v>3</v>
      </c>
      <c r="M13" s="7">
        <v>2</v>
      </c>
      <c r="N13" s="7">
        <v>3</v>
      </c>
    </row>
    <row r="14" spans="1:16" ht="13.2">
      <c r="A14" s="7"/>
      <c r="B14" s="7">
        <v>2</v>
      </c>
      <c r="C14" s="7"/>
      <c r="D14" s="7">
        <v>7</v>
      </c>
      <c r="E14" s="7">
        <v>10</v>
      </c>
      <c r="F14" s="7">
        <v>7</v>
      </c>
      <c r="G14" s="7">
        <v>8</v>
      </c>
      <c r="H14" s="7">
        <v>8</v>
      </c>
      <c r="I14" s="7">
        <v>5</v>
      </c>
      <c r="J14" s="7">
        <v>8</v>
      </c>
      <c r="K14" s="7">
        <v>10</v>
      </c>
      <c r="L14" s="7">
        <v>6</v>
      </c>
      <c r="M14" s="7">
        <v>9</v>
      </c>
      <c r="N14" s="7">
        <v>3</v>
      </c>
    </row>
    <row r="15" spans="1:16" ht="13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6" ht="13.2">
      <c r="A16" s="7"/>
      <c r="B16" s="7"/>
      <c r="C16" s="7"/>
      <c r="D16" s="7"/>
      <c r="E16" s="7"/>
      <c r="F16" s="7">
        <v>43</v>
      </c>
      <c r="G16" s="7"/>
      <c r="H16" s="7"/>
      <c r="I16" s="7"/>
      <c r="J16" s="7">
        <v>6</v>
      </c>
      <c r="K16" s="7">
        <v>20</v>
      </c>
      <c r="L16" s="7">
        <v>7</v>
      </c>
      <c r="M16" s="7"/>
      <c r="N16" s="7"/>
    </row>
    <row r="17" spans="1:16" ht="13.2">
      <c r="A17" s="7">
        <v>8</v>
      </c>
      <c r="B17" s="7">
        <v>8</v>
      </c>
      <c r="C17" s="7">
        <v>8</v>
      </c>
      <c r="D17" s="7">
        <v>7</v>
      </c>
      <c r="E17" s="7">
        <v>13</v>
      </c>
      <c r="F17" s="7">
        <v>43</v>
      </c>
      <c r="G17" s="7">
        <v>10</v>
      </c>
      <c r="H17" s="7"/>
      <c r="I17" s="7">
        <v>8</v>
      </c>
      <c r="J17" s="7">
        <v>9</v>
      </c>
      <c r="K17" s="7"/>
      <c r="L17" s="7">
        <v>9</v>
      </c>
      <c r="M17" s="7">
        <v>10</v>
      </c>
      <c r="N17" s="7">
        <v>22</v>
      </c>
    </row>
    <row r="18" spans="1:16" ht="13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6" ht="13.2">
      <c r="A19" s="7">
        <v>57</v>
      </c>
      <c r="B19" s="7">
        <v>51</v>
      </c>
      <c r="C19" s="7">
        <v>60</v>
      </c>
      <c r="D19" s="7">
        <v>74</v>
      </c>
      <c r="E19" s="7"/>
      <c r="F19" s="7">
        <v>60</v>
      </c>
      <c r="G19" s="7">
        <v>68</v>
      </c>
      <c r="H19" s="7">
        <v>69</v>
      </c>
      <c r="I19" s="7">
        <v>60</v>
      </c>
      <c r="J19" s="7">
        <v>61</v>
      </c>
      <c r="K19" s="7">
        <v>73</v>
      </c>
      <c r="L19" s="7">
        <v>64</v>
      </c>
      <c r="M19" s="7">
        <v>67</v>
      </c>
      <c r="N19" s="7">
        <v>64</v>
      </c>
    </row>
    <row r="20" spans="1:16" ht="13.2">
      <c r="A20" s="7"/>
      <c r="B20" s="7">
        <v>4</v>
      </c>
      <c r="C20" s="7"/>
      <c r="D20" s="7">
        <v>10</v>
      </c>
      <c r="E20" s="7"/>
      <c r="F20" s="7"/>
      <c r="G20" s="7">
        <v>68</v>
      </c>
      <c r="H20" s="7"/>
      <c r="I20" s="7">
        <v>21</v>
      </c>
      <c r="J20" s="7"/>
      <c r="K20" s="7"/>
      <c r="L20" s="7"/>
      <c r="M20" s="7"/>
      <c r="N20" s="7">
        <v>18</v>
      </c>
    </row>
    <row r="21" spans="1:16" ht="13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6" ht="13.2">
      <c r="A22" s="7">
        <v>57</v>
      </c>
      <c r="B22" s="7">
        <v>58</v>
      </c>
      <c r="C22" s="7">
        <v>60</v>
      </c>
      <c r="D22" s="7">
        <v>84</v>
      </c>
      <c r="E22" s="7">
        <v>58</v>
      </c>
      <c r="F22" s="7">
        <v>60</v>
      </c>
      <c r="G22" s="7">
        <v>68</v>
      </c>
      <c r="H22" s="7">
        <v>69</v>
      </c>
      <c r="I22" s="7">
        <v>81</v>
      </c>
      <c r="J22" s="7">
        <v>61</v>
      </c>
      <c r="K22" s="7"/>
      <c r="L22" s="7">
        <v>64</v>
      </c>
      <c r="M22" s="7">
        <v>67</v>
      </c>
      <c r="N22" s="7">
        <v>64</v>
      </c>
    </row>
    <row r="23" spans="1:16" ht="13.2">
      <c r="A23" s="7"/>
      <c r="B23" s="7"/>
      <c r="C23" s="7"/>
      <c r="D23" s="7"/>
      <c r="E23" s="7"/>
      <c r="F23" s="7"/>
      <c r="G23" s="7">
        <v>68</v>
      </c>
      <c r="H23" s="7"/>
      <c r="I23" s="7"/>
      <c r="J23" s="7"/>
      <c r="K23" s="7"/>
      <c r="L23" s="7"/>
      <c r="M23" s="7"/>
      <c r="N23" s="7">
        <v>18</v>
      </c>
    </row>
    <row r="24" spans="1:16" ht="13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6" ht="13.2">
      <c r="A25" s="7">
        <v>57</v>
      </c>
      <c r="B25" s="7">
        <v>19</v>
      </c>
      <c r="C25" s="7">
        <v>60</v>
      </c>
      <c r="D25" s="7"/>
      <c r="E25" s="7"/>
      <c r="F25" s="7"/>
      <c r="G25" s="7">
        <v>68</v>
      </c>
      <c r="H25" s="7">
        <v>69</v>
      </c>
      <c r="I25" s="7"/>
      <c r="J25" s="7">
        <v>61</v>
      </c>
      <c r="K25" s="7">
        <v>73</v>
      </c>
      <c r="L25" s="7">
        <v>64</v>
      </c>
      <c r="M25" s="7">
        <v>67</v>
      </c>
      <c r="N25" s="7">
        <v>35</v>
      </c>
    </row>
    <row r="26" spans="1:16" ht="13.2">
      <c r="A26" s="7"/>
      <c r="B26" s="7">
        <v>11</v>
      </c>
      <c r="C26" s="7"/>
      <c r="D26" s="7">
        <v>15</v>
      </c>
      <c r="E26" s="7">
        <v>39</v>
      </c>
      <c r="F26" s="7"/>
      <c r="G26" s="7">
        <v>68</v>
      </c>
      <c r="H26" s="7"/>
      <c r="I26" s="7">
        <v>18</v>
      </c>
      <c r="J26" s="7"/>
      <c r="K26" s="7"/>
      <c r="L26" s="7"/>
      <c r="M26" s="7"/>
      <c r="N26" s="7">
        <v>35</v>
      </c>
    </row>
    <row r="27" spans="1:16" ht="13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36"/>
      <c r="P27" s="36"/>
    </row>
    <row r="28" spans="1:16" ht="13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36"/>
      <c r="P28" s="36"/>
    </row>
    <row r="29" spans="1:16" ht="13.2">
      <c r="A29" s="11">
        <v>50</v>
      </c>
      <c r="B29" s="11">
        <v>90</v>
      </c>
      <c r="C29" s="11">
        <v>50</v>
      </c>
      <c r="D29" s="11">
        <v>100</v>
      </c>
      <c r="E29" s="11">
        <v>70</v>
      </c>
      <c r="F29" s="11">
        <v>75</v>
      </c>
      <c r="G29" s="11">
        <v>100</v>
      </c>
      <c r="H29" s="11">
        <v>100</v>
      </c>
      <c r="I29" s="11">
        <v>60</v>
      </c>
      <c r="J29" s="11">
        <v>80</v>
      </c>
      <c r="K29" s="11">
        <v>100</v>
      </c>
      <c r="L29" s="11">
        <v>100</v>
      </c>
      <c r="M29" s="11">
        <v>100</v>
      </c>
      <c r="N29" s="11">
        <v>80</v>
      </c>
    </row>
    <row r="30" spans="1:16" ht="13.2">
      <c r="A30" s="11">
        <v>50</v>
      </c>
      <c r="B30" s="11">
        <v>10</v>
      </c>
      <c r="C30" s="11">
        <v>50</v>
      </c>
      <c r="D30" s="11"/>
      <c r="E30" s="11">
        <v>30</v>
      </c>
      <c r="F30" s="11">
        <v>25</v>
      </c>
      <c r="G30" s="11"/>
      <c r="H30" s="11"/>
      <c r="I30" s="11">
        <v>40</v>
      </c>
      <c r="J30" s="11">
        <v>20</v>
      </c>
      <c r="K30" s="11"/>
      <c r="L30" s="11"/>
      <c r="M30" s="11"/>
      <c r="N30" s="11">
        <v>20</v>
      </c>
    </row>
    <row r="31" spans="1:16" ht="13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6" ht="13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3.2">
      <c r="A33" s="11">
        <v>50</v>
      </c>
      <c r="B33" s="11">
        <v>95</v>
      </c>
      <c r="C33" s="11">
        <v>80</v>
      </c>
      <c r="D33" s="11">
        <v>98</v>
      </c>
      <c r="E33" s="11"/>
      <c r="F33" s="11">
        <v>90</v>
      </c>
      <c r="G33" s="11">
        <v>100</v>
      </c>
      <c r="H33" s="11">
        <v>100</v>
      </c>
      <c r="I33" s="11">
        <v>60</v>
      </c>
      <c r="J33" s="11">
        <v>100</v>
      </c>
      <c r="K33" s="11">
        <v>100</v>
      </c>
      <c r="L33" s="11">
        <v>100</v>
      </c>
      <c r="M33" s="11">
        <v>100</v>
      </c>
      <c r="N33" s="11">
        <v>80</v>
      </c>
    </row>
    <row r="34" spans="1:14" ht="13.2">
      <c r="A34" s="11">
        <v>50</v>
      </c>
      <c r="B34" s="11">
        <v>5</v>
      </c>
      <c r="C34" s="11">
        <v>20</v>
      </c>
      <c r="D34" s="11">
        <v>2</v>
      </c>
      <c r="E34" s="11"/>
      <c r="F34" s="11">
        <v>10</v>
      </c>
      <c r="G34" s="11"/>
      <c r="H34" s="11"/>
      <c r="I34" s="11">
        <v>40</v>
      </c>
      <c r="J34" s="11"/>
      <c r="K34" s="11"/>
      <c r="L34" s="11"/>
      <c r="M34" s="11"/>
      <c r="N34" s="11">
        <v>20</v>
      </c>
    </row>
    <row r="35" spans="1:14" ht="13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13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ht="13.2">
      <c r="A37" s="11">
        <v>50</v>
      </c>
      <c r="B37" s="11">
        <v>50</v>
      </c>
      <c r="C37" s="11">
        <v>50</v>
      </c>
      <c r="D37" s="11">
        <v>10</v>
      </c>
      <c r="E37" s="11">
        <v>20</v>
      </c>
      <c r="F37" s="11">
        <v>80</v>
      </c>
      <c r="G37" s="11"/>
      <c r="H37" s="11">
        <v>100</v>
      </c>
      <c r="I37" s="11"/>
      <c r="J37" s="11">
        <v>80</v>
      </c>
      <c r="K37" s="11">
        <v>100</v>
      </c>
      <c r="L37" s="11"/>
      <c r="M37" s="11"/>
      <c r="N37" s="11">
        <v>30</v>
      </c>
    </row>
    <row r="38" spans="1:14" ht="13.2">
      <c r="A38" s="11">
        <v>50</v>
      </c>
      <c r="B38" s="11">
        <v>50</v>
      </c>
      <c r="C38" s="11">
        <v>50</v>
      </c>
      <c r="D38" s="11">
        <v>90</v>
      </c>
      <c r="E38" s="11">
        <v>80</v>
      </c>
      <c r="F38" s="11">
        <v>20</v>
      </c>
      <c r="G38" s="11"/>
      <c r="H38" s="11"/>
      <c r="I38" s="11"/>
      <c r="J38" s="11">
        <v>20</v>
      </c>
      <c r="K38" s="11"/>
      <c r="L38" s="11">
        <v>100</v>
      </c>
      <c r="M38" s="11">
        <v>100</v>
      </c>
      <c r="N38" s="11">
        <v>70</v>
      </c>
    </row>
    <row r="39" spans="1:14" ht="13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3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ht="13.2">
      <c r="A41" s="11">
        <v>100</v>
      </c>
      <c r="B41" s="11">
        <v>100</v>
      </c>
      <c r="C41" s="11">
        <v>100</v>
      </c>
      <c r="D41" s="11">
        <v>100</v>
      </c>
      <c r="E41" s="11">
        <v>80</v>
      </c>
      <c r="F41" s="11">
        <v>100</v>
      </c>
      <c r="G41" s="11">
        <v>100</v>
      </c>
      <c r="H41" s="11">
        <v>100</v>
      </c>
      <c r="I41" s="11">
        <v>50</v>
      </c>
      <c r="J41" s="11">
        <v>100</v>
      </c>
      <c r="K41" s="11">
        <v>100</v>
      </c>
      <c r="L41" s="11">
        <v>100</v>
      </c>
      <c r="M41" s="11">
        <v>100</v>
      </c>
      <c r="N41" s="11">
        <v>80</v>
      </c>
    </row>
    <row r="42" spans="1:14" ht="13.2">
      <c r="A42" s="11"/>
      <c r="B42" s="11"/>
      <c r="C42" s="11"/>
      <c r="D42" s="11"/>
      <c r="E42" s="11">
        <v>20</v>
      </c>
      <c r="F42" s="11"/>
      <c r="G42" s="11"/>
      <c r="H42" s="11"/>
      <c r="I42" s="11">
        <v>50</v>
      </c>
      <c r="J42" s="11"/>
      <c r="K42" s="11"/>
      <c r="L42" s="11"/>
      <c r="M42" s="11"/>
      <c r="N42" s="11">
        <v>20</v>
      </c>
    </row>
    <row r="43" spans="1:14" ht="13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ht="13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ht="13.2">
      <c r="A45" s="11"/>
      <c r="B45" s="11">
        <v>90</v>
      </c>
      <c r="C45" s="11">
        <v>100</v>
      </c>
      <c r="D45" s="11">
        <v>100</v>
      </c>
      <c r="E45" s="11"/>
      <c r="F45" s="11">
        <v>75</v>
      </c>
      <c r="G45" s="11">
        <v>100</v>
      </c>
      <c r="H45" s="11">
        <v>100</v>
      </c>
      <c r="I45" s="11">
        <v>40</v>
      </c>
      <c r="J45" s="11">
        <v>50</v>
      </c>
      <c r="K45" s="11">
        <v>100</v>
      </c>
      <c r="L45" s="11">
        <v>100</v>
      </c>
      <c r="M45" s="11">
        <v>10</v>
      </c>
      <c r="N45" s="11">
        <v>70</v>
      </c>
    </row>
    <row r="46" spans="1:14" ht="13.2">
      <c r="A46" s="11"/>
      <c r="B46" s="11">
        <v>10</v>
      </c>
      <c r="C46" s="11"/>
      <c r="D46" s="11"/>
      <c r="E46" s="11">
        <v>100</v>
      </c>
      <c r="F46" s="11">
        <v>25</v>
      </c>
      <c r="G46" s="11"/>
      <c r="H46" s="11"/>
      <c r="I46" s="11">
        <v>60</v>
      </c>
      <c r="J46" s="11">
        <v>50</v>
      </c>
      <c r="K46" s="11"/>
      <c r="L46" s="11"/>
      <c r="M46" s="11">
        <v>90</v>
      </c>
      <c r="N46" s="11">
        <v>30</v>
      </c>
    </row>
    <row r="47" spans="1:14" ht="13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ht="13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3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3.2">
      <c r="A50" s="15">
        <v>6</v>
      </c>
      <c r="B50" s="15">
        <v>6</v>
      </c>
      <c r="C50" s="15">
        <v>6</v>
      </c>
      <c r="D50" s="15">
        <v>6</v>
      </c>
      <c r="E50" s="15">
        <v>6</v>
      </c>
      <c r="F50" s="15">
        <v>6</v>
      </c>
      <c r="G50" s="15">
        <v>6</v>
      </c>
      <c r="H50" s="15">
        <v>6</v>
      </c>
      <c r="I50" s="15">
        <v>6</v>
      </c>
      <c r="J50" s="15">
        <v>6</v>
      </c>
      <c r="K50" s="15">
        <v>6</v>
      </c>
      <c r="L50" s="15">
        <v>6</v>
      </c>
      <c r="M50" s="15">
        <v>6</v>
      </c>
      <c r="N50" s="15">
        <v>6</v>
      </c>
    </row>
    <row r="51" spans="1:14" ht="13.2">
      <c r="A51" s="15">
        <v>6</v>
      </c>
      <c r="B51" s="15">
        <v>5</v>
      </c>
      <c r="C51" s="15">
        <v>6</v>
      </c>
      <c r="D51" s="15">
        <v>3</v>
      </c>
      <c r="E51" s="15">
        <v>6</v>
      </c>
      <c r="F51" s="15">
        <v>6</v>
      </c>
      <c r="G51" s="15">
        <v>6</v>
      </c>
      <c r="H51" s="15">
        <v>6</v>
      </c>
      <c r="I51" s="15">
        <v>6</v>
      </c>
      <c r="J51" s="15">
        <v>6</v>
      </c>
      <c r="K51" s="15"/>
      <c r="L51" s="15">
        <v>6</v>
      </c>
      <c r="M51" s="15">
        <v>6</v>
      </c>
      <c r="N51" s="15">
        <v>6</v>
      </c>
    </row>
    <row r="52" spans="1:14" ht="13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3.2">
      <c r="A53" s="15">
        <v>6</v>
      </c>
      <c r="B53" s="15">
        <v>6</v>
      </c>
      <c r="C53" s="15">
        <v>6</v>
      </c>
      <c r="D53" s="15">
        <v>6</v>
      </c>
      <c r="E53" s="15">
        <v>6</v>
      </c>
      <c r="F53" s="15">
        <v>6</v>
      </c>
      <c r="G53" s="15">
        <v>6</v>
      </c>
      <c r="H53" s="15">
        <v>6</v>
      </c>
      <c r="I53" s="15">
        <v>6</v>
      </c>
      <c r="J53" s="15">
        <v>6</v>
      </c>
      <c r="K53" s="15">
        <v>6</v>
      </c>
      <c r="L53" s="15">
        <v>6</v>
      </c>
      <c r="M53" s="15">
        <v>6</v>
      </c>
      <c r="N53" s="15">
        <v>6</v>
      </c>
    </row>
    <row r="54" spans="1:14" ht="13.2">
      <c r="A54" s="15">
        <v>6</v>
      </c>
      <c r="B54" s="15">
        <v>5</v>
      </c>
      <c r="C54" s="15">
        <v>6</v>
      </c>
      <c r="D54" s="15">
        <v>2</v>
      </c>
      <c r="E54" s="15">
        <v>6</v>
      </c>
      <c r="F54" s="15">
        <v>6</v>
      </c>
      <c r="G54" s="15">
        <v>6</v>
      </c>
      <c r="H54" s="15">
        <v>6</v>
      </c>
      <c r="I54" s="15">
        <v>6</v>
      </c>
      <c r="J54" s="15">
        <v>6</v>
      </c>
      <c r="K54" s="15"/>
      <c r="L54" s="15">
        <v>6</v>
      </c>
      <c r="M54" s="15">
        <v>6</v>
      </c>
      <c r="N54" s="15">
        <v>6</v>
      </c>
    </row>
    <row r="55" spans="1:14" ht="13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3.2">
      <c r="A56" s="15">
        <v>6</v>
      </c>
      <c r="B56" s="15">
        <v>2</v>
      </c>
      <c r="C56" s="15">
        <v>6</v>
      </c>
      <c r="D56" s="15">
        <v>6</v>
      </c>
      <c r="E56" s="15">
        <v>6</v>
      </c>
      <c r="F56" s="15">
        <v>6</v>
      </c>
      <c r="G56" s="15">
        <v>6</v>
      </c>
      <c r="H56" s="15">
        <v>6</v>
      </c>
      <c r="I56" s="15">
        <v>4</v>
      </c>
      <c r="J56" s="15">
        <v>6</v>
      </c>
      <c r="K56" s="15">
        <v>6</v>
      </c>
      <c r="L56" s="15">
        <v>6</v>
      </c>
      <c r="M56" s="15">
        <v>5</v>
      </c>
      <c r="N56" s="15">
        <v>6</v>
      </c>
    </row>
    <row r="57" spans="1:14" ht="13.2">
      <c r="A57" s="15">
        <v>6</v>
      </c>
      <c r="B57" s="15">
        <v>4</v>
      </c>
      <c r="C57" s="15">
        <v>6</v>
      </c>
      <c r="D57" s="15">
        <v>3</v>
      </c>
      <c r="E57" s="15">
        <v>6</v>
      </c>
      <c r="F57" s="15">
        <v>6</v>
      </c>
      <c r="G57" s="15">
        <v>6</v>
      </c>
      <c r="H57" s="15">
        <v>6</v>
      </c>
      <c r="I57" s="15">
        <v>6</v>
      </c>
      <c r="J57" s="15">
        <v>6</v>
      </c>
      <c r="K57" s="15"/>
      <c r="L57" s="15">
        <v>6</v>
      </c>
      <c r="M57" s="15">
        <v>6</v>
      </c>
      <c r="N57" s="15">
        <v>6</v>
      </c>
    </row>
    <row r="58" spans="1:14" ht="13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3.2">
      <c r="A59" s="15">
        <v>6</v>
      </c>
      <c r="B59" s="15">
        <v>1</v>
      </c>
      <c r="C59" s="15">
        <v>6</v>
      </c>
      <c r="D59" s="15">
        <v>4</v>
      </c>
      <c r="E59" s="15">
        <v>6</v>
      </c>
      <c r="F59" s="15">
        <v>6</v>
      </c>
      <c r="G59" s="15">
        <v>6</v>
      </c>
      <c r="H59" s="15">
        <v>6</v>
      </c>
      <c r="I59" s="15">
        <v>3</v>
      </c>
      <c r="J59" s="15">
        <v>6</v>
      </c>
      <c r="K59" s="15">
        <v>6</v>
      </c>
      <c r="L59" s="15">
        <v>6</v>
      </c>
      <c r="M59" s="15">
        <v>4</v>
      </c>
      <c r="N59" s="15">
        <v>6</v>
      </c>
    </row>
    <row r="60" spans="1:14" ht="13.2">
      <c r="A60" s="15">
        <v>6</v>
      </c>
      <c r="B60" s="15">
        <v>4</v>
      </c>
      <c r="C60" s="15">
        <v>6</v>
      </c>
      <c r="D60" s="15">
        <v>2</v>
      </c>
      <c r="E60" s="15">
        <v>6</v>
      </c>
      <c r="F60" s="15">
        <v>6</v>
      </c>
      <c r="G60" s="15">
        <v>6</v>
      </c>
      <c r="H60" s="15">
        <v>6</v>
      </c>
      <c r="I60" s="15">
        <v>6</v>
      </c>
      <c r="J60" s="15">
        <v>6</v>
      </c>
      <c r="K60" s="15"/>
      <c r="L60" s="15">
        <v>6</v>
      </c>
      <c r="M60" s="15">
        <v>6</v>
      </c>
      <c r="N60" s="15">
        <v>6</v>
      </c>
    </row>
    <row r="61" spans="1:14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ht="15.75" customHeight="1">
      <c r="A63" s="19">
        <v>6</v>
      </c>
      <c r="B63" s="19">
        <v>6</v>
      </c>
      <c r="C63" s="19">
        <v>6</v>
      </c>
      <c r="D63" s="19">
        <v>6</v>
      </c>
      <c r="E63" s="19">
        <v>6</v>
      </c>
      <c r="F63" s="19">
        <v>6</v>
      </c>
      <c r="G63" s="19">
        <v>6</v>
      </c>
      <c r="H63" s="19">
        <v>6</v>
      </c>
      <c r="I63" s="19">
        <v>5</v>
      </c>
      <c r="J63" s="19">
        <v>6</v>
      </c>
      <c r="K63" s="19">
        <v>6</v>
      </c>
      <c r="L63" s="19">
        <v>6</v>
      </c>
      <c r="M63" s="19">
        <v>6</v>
      </c>
      <c r="N63" s="19">
        <v>6</v>
      </c>
    </row>
    <row r="64" spans="1:14" ht="15.75" customHeight="1">
      <c r="A64" s="19">
        <v>6</v>
      </c>
      <c r="B64" s="19">
        <v>2</v>
      </c>
      <c r="C64" s="19">
        <v>6</v>
      </c>
      <c r="D64" s="19">
        <v>2</v>
      </c>
      <c r="E64" s="19">
        <v>6</v>
      </c>
      <c r="F64" s="19">
        <v>6</v>
      </c>
      <c r="G64" s="19"/>
      <c r="H64" s="19"/>
      <c r="I64" s="19">
        <v>5</v>
      </c>
      <c r="J64" s="19"/>
      <c r="K64" s="19"/>
      <c r="L64" s="19">
        <v>6</v>
      </c>
      <c r="M64" s="19"/>
      <c r="N64" s="19">
        <v>6</v>
      </c>
    </row>
    <row r="65" spans="1:16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6" ht="13.2">
      <c r="A66" s="19">
        <v>6</v>
      </c>
      <c r="B66" s="19">
        <v>6</v>
      </c>
      <c r="C66" s="19">
        <v>6</v>
      </c>
      <c r="D66" s="19">
        <v>6</v>
      </c>
      <c r="E66" s="19">
        <v>5</v>
      </c>
      <c r="F66" s="19">
        <v>6</v>
      </c>
      <c r="G66" s="19">
        <v>6</v>
      </c>
      <c r="H66" s="19">
        <v>6</v>
      </c>
      <c r="I66" s="19">
        <v>5</v>
      </c>
      <c r="J66" s="19">
        <v>6</v>
      </c>
      <c r="K66" s="19">
        <v>6</v>
      </c>
      <c r="L66" s="19">
        <v>6</v>
      </c>
      <c r="M66" s="19">
        <v>6</v>
      </c>
      <c r="N66" s="19">
        <v>6</v>
      </c>
      <c r="O66" s="36"/>
      <c r="P66" s="36"/>
    </row>
    <row r="67" spans="1:16" ht="13.2">
      <c r="A67" s="19"/>
      <c r="B67" s="19">
        <v>2</v>
      </c>
      <c r="C67" s="19"/>
      <c r="D67" s="19">
        <v>2</v>
      </c>
      <c r="E67" s="19">
        <v>5</v>
      </c>
      <c r="F67" s="19">
        <v>6</v>
      </c>
      <c r="G67" s="19"/>
      <c r="H67" s="19"/>
      <c r="I67" s="19">
        <v>4</v>
      </c>
      <c r="J67" s="19"/>
      <c r="K67" s="19"/>
      <c r="L67" s="19"/>
      <c r="M67" s="19"/>
      <c r="N67" s="19">
        <v>1</v>
      </c>
      <c r="O67" s="36"/>
      <c r="P67" s="36"/>
    </row>
    <row r="68" spans="1:16" ht="13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6" ht="13.2">
      <c r="A69" s="19">
        <v>6</v>
      </c>
      <c r="B69" s="19">
        <v>6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19">
        <v>6</v>
      </c>
    </row>
    <row r="70" spans="1:16" ht="13.2">
      <c r="A70" s="19">
        <v>0</v>
      </c>
      <c r="B70" s="19">
        <v>3</v>
      </c>
      <c r="C70" s="19">
        <v>0</v>
      </c>
      <c r="D70" s="19">
        <v>2</v>
      </c>
      <c r="E70" s="19">
        <v>5</v>
      </c>
      <c r="F70" s="19"/>
      <c r="G70" s="19"/>
      <c r="H70" s="19"/>
      <c r="I70" s="19">
        <v>4</v>
      </c>
      <c r="J70" s="19"/>
      <c r="K70" s="19"/>
      <c r="L70" s="19"/>
      <c r="M70" s="19"/>
      <c r="N70" s="19">
        <v>1</v>
      </c>
    </row>
    <row r="71" spans="1:16" ht="13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6" ht="13.2">
      <c r="A72" s="19">
        <v>6</v>
      </c>
      <c r="B72" s="19">
        <v>6</v>
      </c>
      <c r="C72" s="19">
        <v>6</v>
      </c>
      <c r="D72" s="19">
        <v>6</v>
      </c>
      <c r="E72" s="19">
        <v>6</v>
      </c>
      <c r="F72" s="19">
        <v>6</v>
      </c>
      <c r="G72" s="19">
        <v>6</v>
      </c>
      <c r="H72" s="19">
        <v>6</v>
      </c>
      <c r="I72" s="19">
        <v>6</v>
      </c>
      <c r="J72" s="19">
        <v>6</v>
      </c>
      <c r="K72" s="19">
        <v>6</v>
      </c>
      <c r="L72" s="19">
        <v>6</v>
      </c>
      <c r="M72" s="19">
        <v>6</v>
      </c>
      <c r="N72" s="19">
        <v>6</v>
      </c>
    </row>
    <row r="73" spans="1:16" ht="13.2">
      <c r="A73" s="19"/>
      <c r="B73" s="19">
        <v>2</v>
      </c>
      <c r="C73" s="19"/>
      <c r="D73" s="19">
        <v>2</v>
      </c>
      <c r="E73" s="19"/>
      <c r="F73" s="19"/>
      <c r="G73" s="19"/>
      <c r="H73" s="19"/>
      <c r="I73" s="19">
        <v>3</v>
      </c>
      <c r="J73" s="19"/>
      <c r="K73" s="19"/>
      <c r="L73" s="19"/>
      <c r="M73" s="19"/>
      <c r="N73" s="19"/>
    </row>
    <row r="76" spans="1:16" ht="13.2">
      <c r="A76" s="21">
        <f t="shared" ref="A76:N76" si="0">0.454*(IF(A10&gt;20, 20, 20-ROUND(A10,0)) + IF(A13&gt;20, 20, 20-ROUND(A13,0)) + A16 + IF(A19&gt;20, 20, A19) + IF(A22&gt;20, 20, A22) + IF(A25&gt;20, 20, A25)) + (A29+A33+A37+A41+A45)*0.109 + (A50+A53+A56+A59)*2.27 + (A63+A66+A69+A72)*2.27</f>
        <v>180.24800000000002</v>
      </c>
      <c r="B76" s="21">
        <f t="shared" si="0"/>
        <v>172.99100000000001</v>
      </c>
      <c r="C76" s="21">
        <f t="shared" si="0"/>
        <v>195.32600000000002</v>
      </c>
      <c r="D76" s="21">
        <f t="shared" si="0"/>
        <v>182.94200000000001</v>
      </c>
      <c r="E76" s="21">
        <f t="shared" si="0"/>
        <v>149.28200000000001</v>
      </c>
      <c r="F76" s="21">
        <f t="shared" si="0"/>
        <v>208.76600000000002</v>
      </c>
      <c r="G76" s="21">
        <f t="shared" si="0"/>
        <v>196.14400000000001</v>
      </c>
      <c r="H76" s="21">
        <f t="shared" si="0"/>
        <v>207.49800000000005</v>
      </c>
      <c r="I76" s="21">
        <f t="shared" si="0"/>
        <v>150.01</v>
      </c>
      <c r="J76" s="21">
        <f t="shared" si="0"/>
        <v>200.41200000000003</v>
      </c>
      <c r="K76" s="21">
        <f t="shared" si="0"/>
        <v>207.49800000000005</v>
      </c>
      <c r="L76" s="21">
        <f t="shared" si="0"/>
        <v>198.86799999999999</v>
      </c>
      <c r="M76" s="21">
        <f t="shared" si="0"/>
        <v>179.97800000000001</v>
      </c>
      <c r="N76" s="21">
        <f t="shared" si="0"/>
        <v>189.15000000000003</v>
      </c>
    </row>
    <row r="77" spans="1:16" ht="13.2">
      <c r="A77" s="22">
        <f t="shared" ref="A77:N77" si="1">0.454*(IF(A11&gt;20, 20, 20-ROUND(A11,0)) + IF(A14&gt;20, 20, 20-ROUND(A14,0)) + A17 + IF(A20&gt;20, 20, A20) + IF(A23&gt;20, 20, A23) + IF(A26&gt;20, 20, A26)) + (A30+A34+A38+A42+A46)*0.109 + (A51+A54+A57+A60)*2.27 + (A64+A67+A70+A73)*2.27</f>
        <v>106.24200000000002</v>
      </c>
      <c r="B77" s="22">
        <f t="shared" si="1"/>
        <v>96.251000000000005</v>
      </c>
      <c r="C77" s="22">
        <f t="shared" si="1"/>
        <v>102.97200000000001</v>
      </c>
      <c r="D77" s="22">
        <f t="shared" si="1"/>
        <v>77.673999999999992</v>
      </c>
      <c r="E77" s="22">
        <f t="shared" si="1"/>
        <v>141.29400000000001</v>
      </c>
      <c r="F77" s="22">
        <f t="shared" si="1"/>
        <v>122.22</v>
      </c>
      <c r="G77" s="22">
        <f t="shared" si="1"/>
        <v>97.156000000000006</v>
      </c>
      <c r="H77" s="22">
        <f t="shared" si="1"/>
        <v>65.83</v>
      </c>
      <c r="I77" s="22">
        <f t="shared" si="1"/>
        <v>148.28399999999999</v>
      </c>
      <c r="J77" s="22">
        <f t="shared" si="1"/>
        <v>80.180000000000007</v>
      </c>
      <c r="K77" s="22">
        <f t="shared" si="1"/>
        <v>9.9879999999999995</v>
      </c>
      <c r="L77" s="22">
        <f t="shared" si="1"/>
        <v>95.798000000000002</v>
      </c>
      <c r="M77" s="22">
        <f t="shared" si="1"/>
        <v>90.171999999999997</v>
      </c>
      <c r="N77" s="22">
        <f t="shared" si="1"/>
        <v>141.38200000000001</v>
      </c>
    </row>
    <row r="78" spans="1:16" ht="13.2">
      <c r="A78" s="24">
        <f t="shared" ref="A78:N78" si="2">A76-A77</f>
        <v>74.006</v>
      </c>
      <c r="B78" s="24">
        <f t="shared" si="2"/>
        <v>76.740000000000009</v>
      </c>
      <c r="C78" s="24">
        <f t="shared" si="2"/>
        <v>92.354000000000013</v>
      </c>
      <c r="D78" s="24">
        <f t="shared" si="2"/>
        <v>105.26800000000001</v>
      </c>
      <c r="E78" s="24">
        <f t="shared" si="2"/>
        <v>7.9879999999999995</v>
      </c>
      <c r="F78" s="24">
        <f t="shared" si="2"/>
        <v>86.546000000000021</v>
      </c>
      <c r="G78" s="24">
        <f t="shared" si="2"/>
        <v>98.988</v>
      </c>
      <c r="H78" s="24">
        <f t="shared" si="2"/>
        <v>141.66800000000006</v>
      </c>
      <c r="I78" s="24">
        <f t="shared" si="2"/>
        <v>1.7259999999999991</v>
      </c>
      <c r="J78" s="24">
        <f t="shared" si="2"/>
        <v>120.23200000000003</v>
      </c>
      <c r="K78" s="24">
        <f t="shared" si="2"/>
        <v>197.51000000000005</v>
      </c>
      <c r="L78" s="24">
        <f t="shared" si="2"/>
        <v>103.07</v>
      </c>
      <c r="M78" s="24">
        <f t="shared" si="2"/>
        <v>89.806000000000012</v>
      </c>
      <c r="N78" s="24">
        <f t="shared" si="2"/>
        <v>47.768000000000029</v>
      </c>
    </row>
    <row r="80" spans="1:16" ht="13.2">
      <c r="A80" s="21" t="s">
        <v>16</v>
      </c>
      <c r="B80" s="21">
        <f>AVERAGE(A78:N78)</f>
        <v>88.833571428571446</v>
      </c>
    </row>
    <row r="81" spans="1:16" ht="13.2">
      <c r="A81" s="21" t="s">
        <v>61</v>
      </c>
      <c r="B81" s="21">
        <f>MEDIAN(A78:N78)</f>
        <v>91.080000000000013</v>
      </c>
      <c r="O81" s="36"/>
      <c r="P81" s="36"/>
    </row>
    <row r="82" spans="1:16" ht="13.2">
      <c r="O82" s="36"/>
      <c r="P82" s="36"/>
    </row>
    <row r="87" spans="1:16" ht="13.2">
      <c r="P8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Взрослые</vt:lpstr>
      <vt:lpstr>Взрослые+идентичность</vt:lpstr>
      <vt:lpstr>Дети</vt:lpstr>
      <vt:lpstr>2-7</vt:lpstr>
      <vt:lpstr>8-12</vt:lpstr>
      <vt:lpstr>13-15</vt:lpstr>
      <vt:lpstr>16-30</vt:lpstr>
      <vt:lpstr>31-40</vt:lpstr>
      <vt:lpstr>41-55</vt:lpstr>
      <vt:lpstr>56+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</dc:creator>
  <cp:lastModifiedBy>Petr</cp:lastModifiedBy>
  <dcterms:created xsi:type="dcterms:W3CDTF">2025-09-14T16:11:18Z</dcterms:created>
  <dcterms:modified xsi:type="dcterms:W3CDTF">2025-11-17T20:07:15Z</dcterms:modified>
</cp:coreProperties>
</file>