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cuments\МГУ\Орг\Шпокунас\Балкарцы\"/>
    </mc:Choice>
  </mc:AlternateContent>
  <xr:revisionPtr revIDLastSave="0" documentId="13_ncr:1_{47D9724E-2318-4F6F-A41E-F1B7C5DCB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зрослые" sheetId="14" r:id="rId1"/>
    <sheet name="Дети" sheetId="15" r:id="rId2"/>
    <sheet name="2-8" sheetId="4" r:id="rId3"/>
    <sheet name="9-13" sheetId="12" r:id="rId4"/>
    <sheet name="14-15" sheetId="13" r:id="rId5"/>
    <sheet name="16-40" sheetId="16" r:id="rId6"/>
    <sheet name="41-55" sheetId="19" r:id="rId7"/>
    <sheet name="56+" sheetId="2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6" i="20" l="1"/>
  <c r="C94" i="4"/>
  <c r="C95" i="4"/>
  <c r="C96" i="15"/>
  <c r="C95" i="15"/>
  <c r="C94" i="15"/>
  <c r="C96" i="19"/>
  <c r="AR9" i="15" l="1"/>
  <c r="AZ8" i="14"/>
  <c r="AZ10" i="14"/>
  <c r="T93" i="19" l="1"/>
  <c r="T92" i="19"/>
  <c r="T91" i="19"/>
  <c r="T89" i="19"/>
  <c r="T88" i="19"/>
  <c r="T87" i="19"/>
  <c r="T85" i="19"/>
  <c r="T84" i="19"/>
  <c r="T83" i="19"/>
  <c r="T73" i="19"/>
  <c r="U73" i="19" s="1"/>
  <c r="T74" i="19"/>
  <c r="U74" i="19"/>
  <c r="T75" i="19"/>
  <c r="U75" i="19"/>
  <c r="T76" i="19"/>
  <c r="U76" i="19" s="1"/>
  <c r="T77" i="19"/>
  <c r="U77" i="19"/>
  <c r="T78" i="19"/>
  <c r="U78" i="19"/>
  <c r="T79" i="19"/>
  <c r="U79" i="19" s="1"/>
  <c r="T80" i="19"/>
  <c r="U80" i="19"/>
  <c r="T81" i="19"/>
  <c r="U81" i="19"/>
  <c r="T82" i="19"/>
  <c r="U82" i="19" s="1"/>
  <c r="U72" i="19"/>
  <c r="T72" i="19"/>
  <c r="T69" i="19"/>
  <c r="T68" i="19"/>
  <c r="T67" i="19"/>
  <c r="T57" i="19"/>
  <c r="U57" i="19"/>
  <c r="T58" i="19"/>
  <c r="U58" i="19"/>
  <c r="T59" i="19"/>
  <c r="U59" i="19" s="1"/>
  <c r="T60" i="19"/>
  <c r="U60" i="19"/>
  <c r="T61" i="19"/>
  <c r="U61" i="19"/>
  <c r="T62" i="19"/>
  <c r="U62" i="19"/>
  <c r="T63" i="19"/>
  <c r="U63" i="19"/>
  <c r="T64" i="19"/>
  <c r="U64" i="19"/>
  <c r="T65" i="19"/>
  <c r="U65" i="19" s="1"/>
  <c r="T66" i="19"/>
  <c r="U66" i="19"/>
  <c r="U56" i="19"/>
  <c r="T56" i="19"/>
  <c r="T53" i="19"/>
  <c r="T52" i="19"/>
  <c r="T51" i="19"/>
  <c r="T33" i="19"/>
  <c r="U33" i="19" s="1"/>
  <c r="T34" i="19"/>
  <c r="U34" i="19"/>
  <c r="T35" i="19"/>
  <c r="U35" i="19"/>
  <c r="T36" i="19"/>
  <c r="U36" i="19"/>
  <c r="T37" i="19"/>
  <c r="U37" i="19"/>
  <c r="T38" i="19"/>
  <c r="U38" i="19"/>
  <c r="T39" i="19"/>
  <c r="U39" i="19" s="1"/>
  <c r="T40" i="19"/>
  <c r="U40" i="19"/>
  <c r="T41" i="19"/>
  <c r="U41" i="19"/>
  <c r="T42" i="19"/>
  <c r="U42" i="19"/>
  <c r="T43" i="19"/>
  <c r="U43" i="19"/>
  <c r="T44" i="19"/>
  <c r="U44" i="19"/>
  <c r="T45" i="19"/>
  <c r="U45" i="19" s="1"/>
  <c r="T46" i="19"/>
  <c r="U46" i="19"/>
  <c r="T47" i="19"/>
  <c r="U47" i="19"/>
  <c r="T48" i="19"/>
  <c r="U48" i="19"/>
  <c r="T49" i="19"/>
  <c r="U49" i="19"/>
  <c r="T50" i="19"/>
  <c r="U50" i="19"/>
  <c r="U32" i="19"/>
  <c r="T32" i="19"/>
  <c r="T29" i="19"/>
  <c r="T28" i="19"/>
  <c r="T27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10" i="19"/>
  <c r="T26" i="19" a="1"/>
  <c r="T26" i="19" s="1"/>
  <c r="T25" i="19" a="1"/>
  <c r="T25" i="19" s="1"/>
  <c r="T24" i="19" a="1"/>
  <c r="T24" i="19" s="1"/>
  <c r="T21" i="19" a="1"/>
  <c r="T21" i="19"/>
  <c r="T23" i="19" a="1"/>
  <c r="T23" i="19" s="1"/>
  <c r="T22" i="19" a="1"/>
  <c r="T22" i="19" s="1"/>
  <c r="T20" i="19" a="1"/>
  <c r="T20" i="19" s="1"/>
  <c r="T19" i="19" a="1"/>
  <c r="T19" i="19" s="1"/>
  <c r="T17" i="19"/>
  <c r="T16" i="19"/>
  <c r="T14" i="19" a="1"/>
  <c r="T14" i="19" s="1"/>
  <c r="T13" i="19" a="1"/>
  <c r="T13" i="19" s="1"/>
  <c r="T11" i="19" a="1"/>
  <c r="T11" i="19" s="1"/>
  <c r="T10" i="19" a="1"/>
  <c r="T10" i="19" s="1"/>
  <c r="S22" i="20" a="1"/>
  <c r="S22" i="20" s="1"/>
  <c r="S24" i="20" a="1"/>
  <c r="S24" i="20" s="1"/>
  <c r="S73" i="20"/>
  <c r="T73" i="20" s="1"/>
  <c r="S74" i="20"/>
  <c r="T74" i="20"/>
  <c r="S75" i="20"/>
  <c r="T75" i="20" s="1"/>
  <c r="S76" i="20"/>
  <c r="T76" i="20" s="1"/>
  <c r="S77" i="20"/>
  <c r="T77" i="20"/>
  <c r="S78" i="20"/>
  <c r="T78" i="20"/>
  <c r="S79" i="20"/>
  <c r="T79" i="20" s="1"/>
  <c r="S80" i="20"/>
  <c r="T80" i="20"/>
  <c r="S81" i="20"/>
  <c r="T81" i="20" s="1"/>
  <c r="S82" i="20"/>
  <c r="T82" i="20"/>
  <c r="S72" i="20"/>
  <c r="T72" i="20" s="1"/>
  <c r="S57" i="20"/>
  <c r="T57" i="20" s="1"/>
  <c r="S58" i="20"/>
  <c r="T58" i="20" s="1"/>
  <c r="S59" i="20"/>
  <c r="T59" i="20"/>
  <c r="S60" i="20"/>
  <c r="T60" i="20" s="1"/>
  <c r="S61" i="20"/>
  <c r="T61" i="20" s="1"/>
  <c r="S62" i="20"/>
  <c r="T62" i="20"/>
  <c r="S63" i="20"/>
  <c r="T63" i="20" s="1"/>
  <c r="S64" i="20"/>
  <c r="T64" i="20" s="1"/>
  <c r="S65" i="20"/>
  <c r="T65" i="20"/>
  <c r="S66" i="20"/>
  <c r="T66" i="20"/>
  <c r="T56" i="20"/>
  <c r="S56" i="20"/>
  <c r="S33" i="20"/>
  <c r="T33" i="20" s="1"/>
  <c r="S34" i="20"/>
  <c r="T34" i="20"/>
  <c r="S35" i="20"/>
  <c r="T35" i="20"/>
  <c r="S36" i="20"/>
  <c r="T36" i="20"/>
  <c r="S37" i="20"/>
  <c r="T37" i="20" s="1"/>
  <c r="S38" i="20"/>
  <c r="T38" i="20" s="1"/>
  <c r="S39" i="20"/>
  <c r="T39" i="20" s="1"/>
  <c r="S40" i="20"/>
  <c r="T40" i="20"/>
  <c r="S41" i="20"/>
  <c r="T41" i="20"/>
  <c r="S42" i="20"/>
  <c r="T42" i="20"/>
  <c r="S43" i="20"/>
  <c r="T43" i="20" s="1"/>
  <c r="S44" i="20"/>
  <c r="T44" i="20"/>
  <c r="S45" i="20"/>
  <c r="T45" i="20" s="1"/>
  <c r="S46" i="20"/>
  <c r="T46" i="20"/>
  <c r="S47" i="20"/>
  <c r="T47" i="20"/>
  <c r="S48" i="20"/>
  <c r="T48" i="20"/>
  <c r="S49" i="20"/>
  <c r="T49" i="20"/>
  <c r="S50" i="20"/>
  <c r="T50" i="20" s="1"/>
  <c r="S32" i="20"/>
  <c r="T32" i="20" s="1"/>
  <c r="T12" i="20"/>
  <c r="T13" i="20"/>
  <c r="T14" i="20"/>
  <c r="T15" i="20"/>
  <c r="T18" i="20"/>
  <c r="S26" i="20" a="1"/>
  <c r="S26" i="20" s="1"/>
  <c r="T26" i="20" s="1"/>
  <c r="S25" i="20" a="1"/>
  <c r="S25" i="20" s="1"/>
  <c r="T25" i="20" s="1"/>
  <c r="S23" i="20" a="1"/>
  <c r="S23" i="20" s="1"/>
  <c r="T23" i="20" s="1"/>
  <c r="S21" i="20" a="1"/>
  <c r="S21" i="20" s="1"/>
  <c r="T21" i="20" s="1"/>
  <c r="S20" i="20" a="1"/>
  <c r="S20" i="20" s="1"/>
  <c r="T20" i="20" s="1"/>
  <c r="S19" i="20" a="1"/>
  <c r="S19" i="20" s="1"/>
  <c r="T19" i="20" s="1"/>
  <c r="S17" i="20"/>
  <c r="T17" i="20" s="1"/>
  <c r="S16" i="20"/>
  <c r="T16" i="20" s="1"/>
  <c r="S14" i="20" a="1"/>
  <c r="S14" i="20"/>
  <c r="S13" i="20" a="1"/>
  <c r="S13" i="20" s="1"/>
  <c r="S11" i="20" a="1"/>
  <c r="S11" i="20"/>
  <c r="T11" i="20" s="1"/>
  <c r="T10" i="20"/>
  <c r="S10" i="20" a="1"/>
  <c r="S10" i="20" s="1"/>
  <c r="R93" i="16"/>
  <c r="R92" i="16"/>
  <c r="R91" i="16"/>
  <c r="R89" i="16"/>
  <c r="R88" i="16"/>
  <c r="R87" i="16"/>
  <c r="R85" i="16"/>
  <c r="R84" i="16"/>
  <c r="R83" i="16"/>
  <c r="R73" i="16"/>
  <c r="S73" i="16" s="1"/>
  <c r="R74" i="16"/>
  <c r="S74" i="16"/>
  <c r="R75" i="16"/>
  <c r="S75" i="16"/>
  <c r="R76" i="16"/>
  <c r="S76" i="16"/>
  <c r="R77" i="16"/>
  <c r="S77" i="16"/>
  <c r="R78" i="16"/>
  <c r="S78" i="16"/>
  <c r="R79" i="16"/>
  <c r="S79" i="16" s="1"/>
  <c r="R80" i="16"/>
  <c r="S80" i="16"/>
  <c r="R81" i="16"/>
  <c r="S81" i="16"/>
  <c r="R82" i="16"/>
  <c r="S82" i="16"/>
  <c r="S72" i="16"/>
  <c r="R72" i="16"/>
  <c r="R69" i="16"/>
  <c r="R68" i="16"/>
  <c r="R67" i="16"/>
  <c r="R57" i="16"/>
  <c r="S57" i="16" s="1"/>
  <c r="R58" i="16"/>
  <c r="S58" i="16"/>
  <c r="R59" i="16"/>
  <c r="S59" i="16"/>
  <c r="R60" i="16"/>
  <c r="S60" i="16"/>
  <c r="R61" i="16"/>
  <c r="S61" i="16"/>
  <c r="R62" i="16"/>
  <c r="S62" i="16"/>
  <c r="R63" i="16"/>
  <c r="S63" i="16" s="1"/>
  <c r="R64" i="16"/>
  <c r="S64" i="16"/>
  <c r="R65" i="16"/>
  <c r="S65" i="16"/>
  <c r="R66" i="16"/>
  <c r="S66" i="16"/>
  <c r="S56" i="16"/>
  <c r="R56" i="16"/>
  <c r="R53" i="16"/>
  <c r="R52" i="16"/>
  <c r="R51" i="16"/>
  <c r="R33" i="16"/>
  <c r="S33" i="16"/>
  <c r="R34" i="16"/>
  <c r="S34" i="16"/>
  <c r="R35" i="16"/>
  <c r="S35" i="16"/>
  <c r="R36" i="16"/>
  <c r="S36" i="16" s="1"/>
  <c r="R37" i="16"/>
  <c r="S37" i="16"/>
  <c r="R38" i="16"/>
  <c r="S38" i="16"/>
  <c r="R39" i="16"/>
  <c r="S39" i="16"/>
  <c r="R40" i="16"/>
  <c r="S40" i="16"/>
  <c r="R41" i="16"/>
  <c r="S41" i="16"/>
  <c r="R42" i="16"/>
  <c r="S42" i="16" s="1"/>
  <c r="R43" i="16"/>
  <c r="S43" i="16"/>
  <c r="R44" i="16"/>
  <c r="S44" i="16"/>
  <c r="R45" i="16"/>
  <c r="S45" i="16"/>
  <c r="R46" i="16"/>
  <c r="S46" i="16"/>
  <c r="R47" i="16"/>
  <c r="S47" i="16"/>
  <c r="R48" i="16"/>
  <c r="S48" i="16" s="1"/>
  <c r="R49" i="16"/>
  <c r="S49" i="16"/>
  <c r="R50" i="16"/>
  <c r="S50" i="16"/>
  <c r="S32" i="16"/>
  <c r="R32" i="16"/>
  <c r="R29" i="16"/>
  <c r="R28" i="16"/>
  <c r="R27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13" i="16"/>
  <c r="R26" i="16" a="1"/>
  <c r="R26" i="16" s="1"/>
  <c r="R25" i="16" a="1"/>
  <c r="R25" i="16" s="1"/>
  <c r="R24" i="16" a="1"/>
  <c r="R24" i="16" s="1"/>
  <c r="R21" i="16" a="1"/>
  <c r="R21" i="16"/>
  <c r="R23" i="16" a="1"/>
  <c r="R23" i="16" s="1"/>
  <c r="R22" i="16" a="1"/>
  <c r="R22" i="16" s="1"/>
  <c r="R20" i="16" a="1"/>
  <c r="R20" i="16" s="1"/>
  <c r="R19" i="16" a="1"/>
  <c r="R19" i="16" s="1"/>
  <c r="R17" i="16"/>
  <c r="R16" i="16"/>
  <c r="R14" i="16" a="1"/>
  <c r="R14" i="16" s="1"/>
  <c r="R13" i="16" a="1"/>
  <c r="R13" i="16" s="1"/>
  <c r="S12" i="16"/>
  <c r="S11" i="16"/>
  <c r="R11" i="16" a="1"/>
  <c r="R11" i="16" s="1"/>
  <c r="S10" i="16"/>
  <c r="R10" i="16" a="1"/>
  <c r="R10" i="16" s="1"/>
  <c r="L92" i="12"/>
  <c r="L70" i="12"/>
  <c r="M70" i="12" s="1"/>
  <c r="L71" i="12"/>
  <c r="M71" i="12" s="1"/>
  <c r="L72" i="12"/>
  <c r="M72" i="12"/>
  <c r="L73" i="12"/>
  <c r="M73" i="12" s="1"/>
  <c r="L74" i="12"/>
  <c r="M74" i="12" s="1"/>
  <c r="L75" i="12"/>
  <c r="M75" i="12" s="1"/>
  <c r="L76" i="12"/>
  <c r="M76" i="12" s="1"/>
  <c r="L77" i="12"/>
  <c r="M77" i="12" s="1"/>
  <c r="L78" i="12"/>
  <c r="M78" i="12" s="1"/>
  <c r="L79" i="12"/>
  <c r="M79" i="12" s="1"/>
  <c r="L80" i="12"/>
  <c r="M80" i="12"/>
  <c r="L81" i="12"/>
  <c r="M81" i="12" s="1"/>
  <c r="L82" i="12"/>
  <c r="M82" i="12" s="1"/>
  <c r="L69" i="12"/>
  <c r="M69" i="12" s="1"/>
  <c r="L54" i="12"/>
  <c r="M54" i="12" s="1"/>
  <c r="L55" i="12"/>
  <c r="M55" i="12" s="1"/>
  <c r="L56" i="12"/>
  <c r="M56" i="12" s="1"/>
  <c r="L57" i="12"/>
  <c r="M57" i="12" s="1"/>
  <c r="L58" i="12"/>
  <c r="M58" i="12" s="1"/>
  <c r="L59" i="12"/>
  <c r="M59" i="12" s="1"/>
  <c r="L60" i="12"/>
  <c r="M60" i="12" s="1"/>
  <c r="L61" i="12"/>
  <c r="M61" i="12" s="1"/>
  <c r="L62" i="12"/>
  <c r="M62" i="12" s="1"/>
  <c r="L63" i="12"/>
  <c r="M63" i="12" s="1"/>
  <c r="L53" i="12"/>
  <c r="M53" i="12" s="1"/>
  <c r="L34" i="12"/>
  <c r="M34" i="12" s="1"/>
  <c r="L35" i="12"/>
  <c r="M35" i="12" s="1"/>
  <c r="L36" i="12"/>
  <c r="M36" i="12" s="1"/>
  <c r="L37" i="12"/>
  <c r="M37" i="12" s="1"/>
  <c r="L38" i="12"/>
  <c r="M38" i="12"/>
  <c r="L39" i="12"/>
  <c r="M39" i="12"/>
  <c r="L40" i="12"/>
  <c r="M40" i="12" s="1"/>
  <c r="L41" i="12"/>
  <c r="M41" i="12" s="1"/>
  <c r="L42" i="12"/>
  <c r="M42" i="12" s="1"/>
  <c r="L43" i="12"/>
  <c r="M43" i="12" s="1"/>
  <c r="L44" i="12"/>
  <c r="M44" i="12" s="1"/>
  <c r="L45" i="12"/>
  <c r="M45" i="12" s="1"/>
  <c r="L46" i="12"/>
  <c r="M46" i="12" s="1"/>
  <c r="L47" i="12"/>
  <c r="M47" i="12" s="1"/>
  <c r="L33" i="12"/>
  <c r="M33" i="12" s="1"/>
  <c r="M24" i="12"/>
  <c r="L19" i="12"/>
  <c r="M19" i="12" s="1"/>
  <c r="L20" i="12"/>
  <c r="M20" i="12" s="1"/>
  <c r="L21" i="12"/>
  <c r="M21" i="12" s="1"/>
  <c r="L22" i="12"/>
  <c r="M22" i="12" s="1"/>
  <c r="L23" i="12"/>
  <c r="M23" i="12" s="1"/>
  <c r="L24" i="12"/>
  <c r="L25" i="12"/>
  <c r="M25" i="12" s="1"/>
  <c r="L26" i="12"/>
  <c r="M26" i="12" s="1"/>
  <c r="L27" i="12"/>
  <c r="M27" i="12" s="1"/>
  <c r="L18" i="12"/>
  <c r="M18" i="12" s="1"/>
  <c r="L17" i="12"/>
  <c r="M17" i="12" s="1"/>
  <c r="L15" i="12" a="1"/>
  <c r="L15" i="12" s="1"/>
  <c r="M15" i="12" s="1"/>
  <c r="L14" i="12" a="1"/>
  <c r="L14" i="12" s="1"/>
  <c r="M14" i="12" s="1"/>
  <c r="L12" i="12" a="1"/>
  <c r="L12" i="12" s="1"/>
  <c r="M12" i="12" s="1"/>
  <c r="L11" i="12" a="1"/>
  <c r="L11" i="12" s="1"/>
  <c r="M11" i="12" s="1"/>
  <c r="O70" i="4"/>
  <c r="P70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P79" i="4" s="1"/>
  <c r="O80" i="4"/>
  <c r="P80" i="4" s="1"/>
  <c r="O81" i="4"/>
  <c r="P81" i="4" s="1"/>
  <c r="O82" i="4"/>
  <c r="P82" i="4" s="1"/>
  <c r="O69" i="4"/>
  <c r="P69" i="4" s="1"/>
  <c r="O54" i="4"/>
  <c r="P54" i="4" s="1"/>
  <c r="O55" i="4"/>
  <c r="P55" i="4" s="1"/>
  <c r="O56" i="4"/>
  <c r="P56" i="4" s="1"/>
  <c r="O57" i="4"/>
  <c r="P57" i="4" s="1"/>
  <c r="O58" i="4"/>
  <c r="P58" i="4"/>
  <c r="O59" i="4"/>
  <c r="P59" i="4" s="1"/>
  <c r="O60" i="4"/>
  <c r="P60" i="4" s="1"/>
  <c r="O61" i="4"/>
  <c r="P61" i="4" s="1"/>
  <c r="O62" i="4"/>
  <c r="P62" i="4" s="1"/>
  <c r="O63" i="4"/>
  <c r="P63" i="4" s="1"/>
  <c r="O53" i="4"/>
  <c r="P53" i="4" s="1"/>
  <c r="O34" i="4"/>
  <c r="P34" i="4" s="1"/>
  <c r="O35" i="4"/>
  <c r="P35" i="4"/>
  <c r="O36" i="4"/>
  <c r="P36" i="4" s="1"/>
  <c r="O37" i="4"/>
  <c r="P37" i="4" s="1"/>
  <c r="O38" i="4"/>
  <c r="P38" i="4" s="1"/>
  <c r="O39" i="4"/>
  <c r="P39" i="4"/>
  <c r="O40" i="4"/>
  <c r="P40" i="4"/>
  <c r="O41" i="4"/>
  <c r="P41" i="4" s="1"/>
  <c r="O42" i="4"/>
  <c r="P42" i="4" s="1"/>
  <c r="O43" i="4"/>
  <c r="P43" i="4" s="1"/>
  <c r="O44" i="4"/>
  <c r="P44" i="4" s="1"/>
  <c r="O45" i="4"/>
  <c r="P45" i="4" s="1"/>
  <c r="O46" i="4"/>
  <c r="P46" i="4" s="1"/>
  <c r="O47" i="4"/>
  <c r="P47" i="4" s="1"/>
  <c r="O33" i="4"/>
  <c r="P33" i="4" s="1"/>
  <c r="P24" i="4"/>
  <c r="O27" i="4"/>
  <c r="P27" i="4" s="1"/>
  <c r="O26" i="4"/>
  <c r="P26" i="4" s="1"/>
  <c r="O25" i="4"/>
  <c r="P25" i="4" s="1"/>
  <c r="O24" i="4"/>
  <c r="O23" i="4"/>
  <c r="P23" i="4" s="1"/>
  <c r="O22" i="4"/>
  <c r="P22" i="4" s="1"/>
  <c r="O21" i="4"/>
  <c r="P21" i="4" s="1"/>
  <c r="O20" i="4"/>
  <c r="P20" i="4" s="1"/>
  <c r="O19" i="4"/>
  <c r="O18" i="4"/>
  <c r="P18" i="4" s="1"/>
  <c r="O17" i="4"/>
  <c r="P17" i="4" s="1"/>
  <c r="O15" i="4" a="1"/>
  <c r="O15" i="4" s="1"/>
  <c r="P15" i="4" s="1"/>
  <c r="O14" i="4" a="1"/>
  <c r="O14" i="4" s="1"/>
  <c r="P14" i="4" s="1"/>
  <c r="O12" i="4" a="1"/>
  <c r="O12" i="4" s="1"/>
  <c r="P12" i="4" s="1"/>
  <c r="O11" i="4" a="1"/>
  <c r="O11" i="4" s="1"/>
  <c r="P11" i="4" s="1"/>
  <c r="Q92" i="16"/>
  <c r="P92" i="16"/>
  <c r="Q91" i="16"/>
  <c r="Q93" i="16" s="1"/>
  <c r="P91" i="16"/>
  <c r="P93" i="16" s="1"/>
  <c r="Q84" i="16"/>
  <c r="P84" i="16"/>
  <c r="Q83" i="16"/>
  <c r="Q85" i="16" s="1"/>
  <c r="P83" i="16"/>
  <c r="P85" i="16" s="1"/>
  <c r="Q68" i="16"/>
  <c r="P68" i="16"/>
  <c r="Q67" i="16"/>
  <c r="Q69" i="16" s="1"/>
  <c r="P67" i="16"/>
  <c r="P69" i="16" s="1"/>
  <c r="Q52" i="16"/>
  <c r="P52" i="16"/>
  <c r="Q51" i="16"/>
  <c r="Q53" i="16" s="1"/>
  <c r="P51" i="16"/>
  <c r="P53" i="16" s="1"/>
  <c r="Q28" i="16"/>
  <c r="Q88" i="16" s="1"/>
  <c r="P28" i="16"/>
  <c r="P88" i="16" s="1"/>
  <c r="Q27" i="16"/>
  <c r="Q29" i="16" s="1"/>
  <c r="P27" i="16"/>
  <c r="P87" i="16" s="1"/>
  <c r="K91" i="12"/>
  <c r="J91" i="12"/>
  <c r="I91" i="12"/>
  <c r="K90" i="12"/>
  <c r="J90" i="12"/>
  <c r="I90" i="12"/>
  <c r="K84" i="12"/>
  <c r="J84" i="12"/>
  <c r="I84" i="12"/>
  <c r="K83" i="12"/>
  <c r="K85" i="12" s="1"/>
  <c r="J83" i="12"/>
  <c r="J85" i="12" s="1"/>
  <c r="I83" i="12"/>
  <c r="I85" i="12" s="1"/>
  <c r="I66" i="12"/>
  <c r="K65" i="12"/>
  <c r="J65" i="12"/>
  <c r="I65" i="12"/>
  <c r="K64" i="12"/>
  <c r="J64" i="12"/>
  <c r="I64" i="12"/>
  <c r="K49" i="12"/>
  <c r="J49" i="12"/>
  <c r="I49" i="12"/>
  <c r="K48" i="12"/>
  <c r="K50" i="12" s="1"/>
  <c r="J48" i="12"/>
  <c r="J50" i="12" s="1"/>
  <c r="I48" i="12"/>
  <c r="I50" i="12" s="1"/>
  <c r="I30" i="12"/>
  <c r="K29" i="12"/>
  <c r="J29" i="12"/>
  <c r="I29" i="12"/>
  <c r="I87" i="12" s="1"/>
  <c r="K28" i="12"/>
  <c r="J28" i="12"/>
  <c r="I28" i="12"/>
  <c r="N91" i="4"/>
  <c r="M91" i="4"/>
  <c r="L91" i="4"/>
  <c r="N90" i="4"/>
  <c r="M90" i="4"/>
  <c r="L90" i="4"/>
  <c r="N84" i="4"/>
  <c r="M84" i="4"/>
  <c r="L84" i="4"/>
  <c r="N83" i="4"/>
  <c r="N85" i="4" s="1"/>
  <c r="M83" i="4"/>
  <c r="L83" i="4"/>
  <c r="L85" i="4" s="1"/>
  <c r="N66" i="4"/>
  <c r="M66" i="4"/>
  <c r="N65" i="4"/>
  <c r="M65" i="4"/>
  <c r="L65" i="4"/>
  <c r="N64" i="4"/>
  <c r="M64" i="4"/>
  <c r="L64" i="4"/>
  <c r="L66" i="4" s="1"/>
  <c r="N49" i="4"/>
  <c r="M49" i="4"/>
  <c r="L49" i="4"/>
  <c r="N48" i="4"/>
  <c r="N50" i="4" s="1"/>
  <c r="M48" i="4"/>
  <c r="M50" i="4" s="1"/>
  <c r="L48" i="4"/>
  <c r="N29" i="4"/>
  <c r="M29" i="4"/>
  <c r="L29" i="4"/>
  <c r="N28" i="4"/>
  <c r="M28" i="4"/>
  <c r="M30" i="4" s="1"/>
  <c r="L28" i="4"/>
  <c r="L30" i="4" s="1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S92" i="20" s="1"/>
  <c r="R91" i="20"/>
  <c r="R93" i="20" s="1"/>
  <c r="Q91" i="20"/>
  <c r="Q93" i="20" s="1"/>
  <c r="P91" i="20"/>
  <c r="O91" i="20"/>
  <c r="N91" i="20"/>
  <c r="M91" i="20"/>
  <c r="L91" i="20"/>
  <c r="L93" i="20" s="1"/>
  <c r="K91" i="20"/>
  <c r="K93" i="20" s="1"/>
  <c r="J91" i="20"/>
  <c r="I91" i="20"/>
  <c r="H91" i="20"/>
  <c r="G91" i="20"/>
  <c r="F91" i="20"/>
  <c r="F93" i="20" s="1"/>
  <c r="E91" i="20"/>
  <c r="E93" i="20" s="1"/>
  <c r="D91" i="20"/>
  <c r="C91" i="20"/>
  <c r="S91" i="20" s="1"/>
  <c r="R84" i="20"/>
  <c r="Q84" i="20"/>
  <c r="P84" i="20"/>
  <c r="O84" i="20"/>
  <c r="N84" i="20"/>
  <c r="M84" i="20"/>
  <c r="L84" i="20"/>
  <c r="K84" i="20"/>
  <c r="J84" i="20"/>
  <c r="I84" i="20"/>
  <c r="S84" i="20" s="1"/>
  <c r="H84" i="20"/>
  <c r="G84" i="20"/>
  <c r="F84" i="20"/>
  <c r="E84" i="20"/>
  <c r="D84" i="20"/>
  <c r="C84" i="20"/>
  <c r="R83" i="20"/>
  <c r="Q83" i="20"/>
  <c r="P83" i="20"/>
  <c r="O83" i="20"/>
  <c r="N83" i="20"/>
  <c r="N85" i="20" s="1"/>
  <c r="M83" i="20"/>
  <c r="M85" i="20" s="1"/>
  <c r="L83" i="20"/>
  <c r="K83" i="20"/>
  <c r="J83" i="20"/>
  <c r="I83" i="20"/>
  <c r="H83" i="20"/>
  <c r="G83" i="20"/>
  <c r="G85" i="20" s="1"/>
  <c r="F83" i="20"/>
  <c r="E83" i="20"/>
  <c r="D83" i="20"/>
  <c r="C83" i="20"/>
  <c r="S83" i="20" s="1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S68" i="20" s="1"/>
  <c r="D68" i="20"/>
  <c r="C68" i="20"/>
  <c r="R67" i="20"/>
  <c r="Q67" i="20"/>
  <c r="P67" i="20"/>
  <c r="O67" i="20"/>
  <c r="O69" i="20" s="1"/>
  <c r="N67" i="20"/>
  <c r="N69" i="20" s="1"/>
  <c r="M67" i="20"/>
  <c r="L67" i="20"/>
  <c r="K67" i="20"/>
  <c r="J67" i="20"/>
  <c r="I67" i="20"/>
  <c r="S67" i="20" s="1"/>
  <c r="H67" i="20"/>
  <c r="G67" i="20"/>
  <c r="F67" i="20"/>
  <c r="E67" i="20"/>
  <c r="D67" i="20"/>
  <c r="D69" i="20" s="1"/>
  <c r="C67" i="20"/>
  <c r="C69" i="20" s="1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S52" i="20" s="1"/>
  <c r="R51" i="20"/>
  <c r="Q51" i="20"/>
  <c r="P51" i="20"/>
  <c r="O51" i="20"/>
  <c r="N51" i="20"/>
  <c r="M51" i="20"/>
  <c r="L51" i="20"/>
  <c r="K51" i="20"/>
  <c r="K53" i="20" s="1"/>
  <c r="J51" i="20"/>
  <c r="J53" i="20" s="1"/>
  <c r="I51" i="20"/>
  <c r="I53" i="20" s="1"/>
  <c r="H51" i="20"/>
  <c r="G51" i="20"/>
  <c r="F51" i="20"/>
  <c r="E51" i="20"/>
  <c r="D51" i="20"/>
  <c r="C51" i="20"/>
  <c r="S51" i="20" s="1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S28" i="20" s="1"/>
  <c r="R27" i="20"/>
  <c r="Q27" i="20"/>
  <c r="P27" i="20"/>
  <c r="O27" i="20"/>
  <c r="N27" i="20"/>
  <c r="M27" i="20"/>
  <c r="L27" i="20"/>
  <c r="K27" i="20"/>
  <c r="J27" i="20"/>
  <c r="I27" i="20"/>
  <c r="H27" i="20"/>
  <c r="H29" i="20" s="1"/>
  <c r="G27" i="20"/>
  <c r="F27" i="20"/>
  <c r="E27" i="20"/>
  <c r="D27" i="20"/>
  <c r="C27" i="20"/>
  <c r="S27" i="20" s="1"/>
  <c r="S92" i="19"/>
  <c r="R92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8" i="19" s="1"/>
  <c r="C92" i="19"/>
  <c r="S91" i="19"/>
  <c r="S93" i="19" s="1"/>
  <c r="R91" i="19"/>
  <c r="R93" i="19" s="1"/>
  <c r="Q91" i="19"/>
  <c r="Q93" i="19" s="1"/>
  <c r="P91" i="19"/>
  <c r="O91" i="19"/>
  <c r="O93" i="19" s="1"/>
  <c r="N91" i="19"/>
  <c r="N93" i="19" s="1"/>
  <c r="M91" i="19"/>
  <c r="M93" i="19" s="1"/>
  <c r="L91" i="19"/>
  <c r="L93" i="19" s="1"/>
  <c r="K91" i="19"/>
  <c r="J91" i="19"/>
  <c r="J93" i="19" s="1"/>
  <c r="I91" i="19"/>
  <c r="I93" i="19" s="1"/>
  <c r="H91" i="19"/>
  <c r="H93" i="19" s="1"/>
  <c r="G91" i="19"/>
  <c r="G93" i="19" s="1"/>
  <c r="F91" i="19"/>
  <c r="F93" i="19" s="1"/>
  <c r="E91" i="19"/>
  <c r="E93" i="19" s="1"/>
  <c r="D91" i="19"/>
  <c r="C91" i="19"/>
  <c r="C93" i="19" s="1"/>
  <c r="D85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S83" i="19"/>
  <c r="S85" i="19" s="1"/>
  <c r="R83" i="19"/>
  <c r="Q83" i="19"/>
  <c r="P83" i="19"/>
  <c r="P85" i="19" s="1"/>
  <c r="O83" i="19"/>
  <c r="N83" i="19"/>
  <c r="N85" i="19" s="1"/>
  <c r="M83" i="19"/>
  <c r="L83" i="19"/>
  <c r="L85" i="19" s="1"/>
  <c r="K83" i="19"/>
  <c r="K85" i="19" s="1"/>
  <c r="J83" i="19"/>
  <c r="J85" i="19" s="1"/>
  <c r="I83" i="19"/>
  <c r="I85" i="19" s="1"/>
  <c r="H83" i="19"/>
  <c r="G83" i="19"/>
  <c r="G85" i="19" s="1"/>
  <c r="F83" i="19"/>
  <c r="E83" i="19"/>
  <c r="D83" i="19"/>
  <c r="C83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H69" i="19" s="1"/>
  <c r="G68" i="19"/>
  <c r="F68" i="19"/>
  <c r="E68" i="19"/>
  <c r="D68" i="19"/>
  <c r="C68" i="19"/>
  <c r="S67" i="19"/>
  <c r="S69" i="19" s="1"/>
  <c r="R67" i="19"/>
  <c r="R69" i="19" s="1"/>
  <c r="Q67" i="19"/>
  <c r="P67" i="19"/>
  <c r="P69" i="19" s="1"/>
  <c r="O67" i="19"/>
  <c r="N67" i="19"/>
  <c r="N69" i="19" s="1"/>
  <c r="M67" i="19"/>
  <c r="M69" i="19" s="1"/>
  <c r="L67" i="19"/>
  <c r="L69" i="19" s="1"/>
  <c r="K67" i="19"/>
  <c r="K69" i="19" s="1"/>
  <c r="J67" i="19"/>
  <c r="J69" i="19" s="1"/>
  <c r="I67" i="19"/>
  <c r="I69" i="19" s="1"/>
  <c r="H67" i="19"/>
  <c r="G67" i="19"/>
  <c r="G69" i="19" s="1"/>
  <c r="F67" i="19"/>
  <c r="F69" i="19" s="1"/>
  <c r="E67" i="19"/>
  <c r="D67" i="19"/>
  <c r="D69" i="19" s="1"/>
  <c r="C67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S51" i="19"/>
  <c r="R51" i="19"/>
  <c r="R53" i="19" s="1"/>
  <c r="Q51" i="19"/>
  <c r="Q53" i="19" s="1"/>
  <c r="P51" i="19"/>
  <c r="O51" i="19"/>
  <c r="O53" i="19" s="1"/>
  <c r="N51" i="19"/>
  <c r="M51" i="19"/>
  <c r="M53" i="19" s="1"/>
  <c r="L51" i="19"/>
  <c r="L53" i="19" s="1"/>
  <c r="K51" i="19"/>
  <c r="K53" i="19" s="1"/>
  <c r="J51" i="19"/>
  <c r="J53" i="19" s="1"/>
  <c r="I51" i="19"/>
  <c r="I53" i="19" s="1"/>
  <c r="H51" i="19"/>
  <c r="H53" i="19" s="1"/>
  <c r="G51" i="19"/>
  <c r="F51" i="19"/>
  <c r="F53" i="19" s="1"/>
  <c r="E51" i="19"/>
  <c r="E53" i="19" s="1"/>
  <c r="D51" i="19"/>
  <c r="C51" i="19"/>
  <c r="C53" i="19" s="1"/>
  <c r="S28" i="19"/>
  <c r="S88" i="19" s="1"/>
  <c r="R28" i="19"/>
  <c r="R88" i="19" s="1"/>
  <c r="Q28" i="19"/>
  <c r="P28" i="19"/>
  <c r="O28" i="19"/>
  <c r="N28" i="19"/>
  <c r="M28" i="19"/>
  <c r="M88" i="19" s="1"/>
  <c r="L28" i="19"/>
  <c r="L88" i="19" s="1"/>
  <c r="K28" i="19"/>
  <c r="K88" i="19" s="1"/>
  <c r="J28" i="19"/>
  <c r="J88" i="19" s="1"/>
  <c r="I28" i="19"/>
  <c r="I88" i="19" s="1"/>
  <c r="H28" i="19"/>
  <c r="H88" i="19" s="1"/>
  <c r="G28" i="19"/>
  <c r="G88" i="19" s="1"/>
  <c r="F28" i="19"/>
  <c r="F88" i="19" s="1"/>
  <c r="E28" i="19"/>
  <c r="D28" i="19"/>
  <c r="C28" i="19"/>
  <c r="S27" i="19"/>
  <c r="S87" i="19" s="1"/>
  <c r="R27" i="19"/>
  <c r="R29" i="19" s="1"/>
  <c r="Q27" i="19"/>
  <c r="Q29" i="19" s="1"/>
  <c r="P27" i="19"/>
  <c r="P29" i="19" s="1"/>
  <c r="O27" i="19"/>
  <c r="N27" i="19"/>
  <c r="N29" i="19" s="1"/>
  <c r="M27" i="19"/>
  <c r="M29" i="19" s="1"/>
  <c r="L27" i="19"/>
  <c r="L87" i="19" s="1"/>
  <c r="K27" i="19"/>
  <c r="J27" i="19"/>
  <c r="I27" i="19"/>
  <c r="H27" i="19"/>
  <c r="G27" i="19"/>
  <c r="G87" i="19" s="1"/>
  <c r="F27" i="19"/>
  <c r="F29" i="19" s="1"/>
  <c r="E27" i="19"/>
  <c r="E29" i="19" s="1"/>
  <c r="D27" i="19"/>
  <c r="D29" i="19" s="1"/>
  <c r="C27" i="19"/>
  <c r="I93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O91" i="16"/>
  <c r="O93" i="16" s="1"/>
  <c r="N91" i="16"/>
  <c r="N93" i="16" s="1"/>
  <c r="M91" i="16"/>
  <c r="M93" i="16" s="1"/>
  <c r="L91" i="16"/>
  <c r="L93" i="16" s="1"/>
  <c r="K91" i="16"/>
  <c r="K93" i="16" s="1"/>
  <c r="J91" i="16"/>
  <c r="J93" i="16" s="1"/>
  <c r="I91" i="16"/>
  <c r="H91" i="16"/>
  <c r="H93" i="16" s="1"/>
  <c r="G91" i="16"/>
  <c r="G93" i="16" s="1"/>
  <c r="F91" i="16"/>
  <c r="F93" i="16" s="1"/>
  <c r="E91" i="16"/>
  <c r="E93" i="16" s="1"/>
  <c r="D91" i="16"/>
  <c r="D93" i="16" s="1"/>
  <c r="C91" i="16"/>
  <c r="O88" i="16"/>
  <c r="C88" i="16"/>
  <c r="E87" i="16"/>
  <c r="H85" i="16"/>
  <c r="G85" i="16"/>
  <c r="O84" i="16"/>
  <c r="N84" i="16"/>
  <c r="M84" i="16"/>
  <c r="L84" i="16"/>
  <c r="K84" i="16"/>
  <c r="J84" i="16"/>
  <c r="J85" i="16" s="1"/>
  <c r="I84" i="16"/>
  <c r="I85" i="16" s="1"/>
  <c r="H84" i="16"/>
  <c r="G84" i="16"/>
  <c r="F84" i="16"/>
  <c r="E84" i="16"/>
  <c r="D84" i="16"/>
  <c r="C84" i="16"/>
  <c r="O83" i="16"/>
  <c r="O85" i="16" s="1"/>
  <c r="N83" i="16"/>
  <c r="N85" i="16" s="1"/>
  <c r="M83" i="16"/>
  <c r="M85" i="16" s="1"/>
  <c r="L83" i="16"/>
  <c r="L85" i="16" s="1"/>
  <c r="K83" i="16"/>
  <c r="K85" i="16" s="1"/>
  <c r="J83" i="16"/>
  <c r="I83" i="16"/>
  <c r="H83" i="16"/>
  <c r="G83" i="16"/>
  <c r="F83" i="16"/>
  <c r="F85" i="16" s="1"/>
  <c r="E83" i="16"/>
  <c r="E85" i="16" s="1"/>
  <c r="D83" i="16"/>
  <c r="D85" i="16" s="1"/>
  <c r="C83" i="16"/>
  <c r="C85" i="16" s="1"/>
  <c r="L69" i="16"/>
  <c r="K69" i="16"/>
  <c r="O68" i="16"/>
  <c r="N68" i="16"/>
  <c r="N69" i="16" s="1"/>
  <c r="M68" i="16"/>
  <c r="M69" i="16" s="1"/>
  <c r="L68" i="16"/>
  <c r="K68" i="16"/>
  <c r="J68" i="16"/>
  <c r="I68" i="16"/>
  <c r="H68" i="16"/>
  <c r="G68" i="16"/>
  <c r="F68" i="16"/>
  <c r="E68" i="16"/>
  <c r="D68" i="16"/>
  <c r="C68" i="16"/>
  <c r="O67" i="16"/>
  <c r="O69" i="16" s="1"/>
  <c r="N67" i="16"/>
  <c r="M67" i="16"/>
  <c r="L67" i="16"/>
  <c r="K67" i="16"/>
  <c r="J67" i="16"/>
  <c r="J69" i="16" s="1"/>
  <c r="I67" i="16"/>
  <c r="I69" i="16" s="1"/>
  <c r="H67" i="16"/>
  <c r="H69" i="16" s="1"/>
  <c r="G67" i="16"/>
  <c r="G69" i="16" s="1"/>
  <c r="F67" i="16"/>
  <c r="F69" i="16" s="1"/>
  <c r="E67" i="16"/>
  <c r="E69" i="16" s="1"/>
  <c r="D67" i="16"/>
  <c r="D69" i="16" s="1"/>
  <c r="C67" i="16"/>
  <c r="O53" i="16"/>
  <c r="D53" i="16"/>
  <c r="C53" i="16"/>
  <c r="O52" i="16"/>
  <c r="N52" i="16"/>
  <c r="M52" i="16"/>
  <c r="L52" i="16"/>
  <c r="K52" i="16"/>
  <c r="J52" i="16"/>
  <c r="I52" i="16"/>
  <c r="H52" i="16"/>
  <c r="G52" i="16"/>
  <c r="F52" i="16"/>
  <c r="F53" i="16" s="1"/>
  <c r="E52" i="16"/>
  <c r="E53" i="16" s="1"/>
  <c r="D52" i="16"/>
  <c r="C52" i="16"/>
  <c r="O51" i="16"/>
  <c r="N51" i="16"/>
  <c r="N53" i="16" s="1"/>
  <c r="M51" i="16"/>
  <c r="M53" i="16" s="1"/>
  <c r="L51" i="16"/>
  <c r="L53" i="16" s="1"/>
  <c r="K51" i="16"/>
  <c r="K53" i="16" s="1"/>
  <c r="J51" i="16"/>
  <c r="J53" i="16" s="1"/>
  <c r="I51" i="16"/>
  <c r="I53" i="16" s="1"/>
  <c r="H51" i="16"/>
  <c r="H53" i="16" s="1"/>
  <c r="G51" i="16"/>
  <c r="G53" i="16" s="1"/>
  <c r="F51" i="16"/>
  <c r="E51" i="16"/>
  <c r="D51" i="16"/>
  <c r="C51" i="16"/>
  <c r="K29" i="16"/>
  <c r="K89" i="16" s="1"/>
  <c r="O28" i="16"/>
  <c r="N28" i="16"/>
  <c r="N88" i="16" s="1"/>
  <c r="M28" i="16"/>
  <c r="M88" i="16" s="1"/>
  <c r="L28" i="16"/>
  <c r="L88" i="16" s="1"/>
  <c r="K28" i="16"/>
  <c r="K88" i="16" s="1"/>
  <c r="J28" i="16"/>
  <c r="J88" i="16" s="1"/>
  <c r="I28" i="16"/>
  <c r="I88" i="16" s="1"/>
  <c r="H28" i="16"/>
  <c r="H88" i="16" s="1"/>
  <c r="G28" i="16"/>
  <c r="G88" i="16" s="1"/>
  <c r="F28" i="16"/>
  <c r="F88" i="16" s="1"/>
  <c r="E28" i="16"/>
  <c r="D28" i="16"/>
  <c r="D88" i="16" s="1"/>
  <c r="C28" i="16"/>
  <c r="O27" i="16"/>
  <c r="O87" i="16" s="1"/>
  <c r="N27" i="16"/>
  <c r="N87" i="16" s="1"/>
  <c r="M27" i="16"/>
  <c r="M87" i="16" s="1"/>
  <c r="L27" i="16"/>
  <c r="L87" i="16" s="1"/>
  <c r="K27" i="16"/>
  <c r="K87" i="16" s="1"/>
  <c r="J27" i="16"/>
  <c r="J87" i="16" s="1"/>
  <c r="I27" i="16"/>
  <c r="I29" i="16" s="1"/>
  <c r="H27" i="16"/>
  <c r="H29" i="16" s="1"/>
  <c r="H89" i="16" s="1"/>
  <c r="G27" i="16"/>
  <c r="G29" i="16" s="1"/>
  <c r="G89" i="16" s="1"/>
  <c r="F27" i="16"/>
  <c r="F29" i="16" s="1"/>
  <c r="F89" i="16" s="1"/>
  <c r="E27" i="16"/>
  <c r="E29" i="16" s="1"/>
  <c r="E89" i="16" s="1"/>
  <c r="D27" i="16"/>
  <c r="D29" i="16" s="1"/>
  <c r="D89" i="16" s="1"/>
  <c r="C27" i="16"/>
  <c r="C87" i="16" s="1"/>
  <c r="AF91" i="15"/>
  <c r="D91" i="15"/>
  <c r="AP91" i="15"/>
  <c r="AO91" i="15"/>
  <c r="AE91" i="15"/>
  <c r="AN91" i="15"/>
  <c r="AM91" i="15"/>
  <c r="O91" i="15"/>
  <c r="U91" i="15"/>
  <c r="P91" i="15"/>
  <c r="AL91" i="15"/>
  <c r="AK91" i="15"/>
  <c r="Y91" i="15"/>
  <c r="AJ91" i="15"/>
  <c r="AD91" i="15"/>
  <c r="AI91" i="15"/>
  <c r="S91" i="15"/>
  <c r="K91" i="15"/>
  <c r="N91" i="15"/>
  <c r="C91" i="15"/>
  <c r="AH91" i="15"/>
  <c r="M91" i="15"/>
  <c r="T91" i="15"/>
  <c r="AG91" i="15"/>
  <c r="X91" i="15"/>
  <c r="R91" i="15"/>
  <c r="J91" i="15"/>
  <c r="G91" i="15"/>
  <c r="F91" i="15"/>
  <c r="E91" i="15"/>
  <c r="W91" i="15"/>
  <c r="I91" i="15"/>
  <c r="AC91" i="15"/>
  <c r="AB91" i="15"/>
  <c r="AA91" i="15"/>
  <c r="V91" i="15"/>
  <c r="Q91" i="15"/>
  <c r="Z91" i="15"/>
  <c r="H91" i="15"/>
  <c r="L91" i="15"/>
  <c r="AF90" i="15"/>
  <c r="D90" i="15"/>
  <c r="AP90" i="15"/>
  <c r="AO90" i="15"/>
  <c r="AE90" i="15"/>
  <c r="AN90" i="15"/>
  <c r="AM90" i="15"/>
  <c r="O90" i="15"/>
  <c r="U90" i="15"/>
  <c r="P90" i="15"/>
  <c r="AL90" i="15"/>
  <c r="AK90" i="15"/>
  <c r="Y90" i="15"/>
  <c r="AJ90" i="15"/>
  <c r="AD90" i="15"/>
  <c r="AI90" i="15"/>
  <c r="S90" i="15"/>
  <c r="K90" i="15"/>
  <c r="N90" i="15"/>
  <c r="C90" i="15"/>
  <c r="AH90" i="15"/>
  <c r="M90" i="15"/>
  <c r="T90" i="15"/>
  <c r="AG90" i="15"/>
  <c r="X90" i="15"/>
  <c r="R90" i="15"/>
  <c r="J90" i="15"/>
  <c r="G90" i="15"/>
  <c r="F90" i="15"/>
  <c r="E90" i="15"/>
  <c r="W90" i="15"/>
  <c r="I90" i="15"/>
  <c r="AC90" i="15"/>
  <c r="AB90" i="15"/>
  <c r="AA90" i="15"/>
  <c r="V90" i="15"/>
  <c r="Q90" i="15"/>
  <c r="Z90" i="15"/>
  <c r="H90" i="15"/>
  <c r="L90" i="15"/>
  <c r="V87" i="15"/>
  <c r="AF84" i="15"/>
  <c r="D84" i="15"/>
  <c r="AP84" i="15"/>
  <c r="AO84" i="15"/>
  <c r="AE84" i="15"/>
  <c r="AN84" i="15"/>
  <c r="AM84" i="15"/>
  <c r="O84" i="15"/>
  <c r="U84" i="15"/>
  <c r="P84" i="15"/>
  <c r="AL84" i="15"/>
  <c r="AK84" i="15"/>
  <c r="Y84" i="15"/>
  <c r="AJ84" i="15"/>
  <c r="AD84" i="15"/>
  <c r="AI84" i="15"/>
  <c r="S84" i="15"/>
  <c r="K84" i="15"/>
  <c r="N84" i="15"/>
  <c r="C84" i="15"/>
  <c r="AH84" i="15"/>
  <c r="M84" i="15"/>
  <c r="T84" i="15"/>
  <c r="AG84" i="15"/>
  <c r="X84" i="15"/>
  <c r="R84" i="15"/>
  <c r="J84" i="15"/>
  <c r="G84" i="15"/>
  <c r="F84" i="15"/>
  <c r="E84" i="15"/>
  <c r="W84" i="15"/>
  <c r="I84" i="15"/>
  <c r="AC84" i="15"/>
  <c r="AB84" i="15"/>
  <c r="AA84" i="15"/>
  <c r="V84" i="15"/>
  <c r="Q84" i="15"/>
  <c r="Z84" i="15"/>
  <c r="H84" i="15"/>
  <c r="L84" i="15"/>
  <c r="AF83" i="15"/>
  <c r="AF85" i="15" s="1"/>
  <c r="D83" i="15"/>
  <c r="AP83" i="15"/>
  <c r="AP85" i="15" s="1"/>
  <c r="AO83" i="15"/>
  <c r="AO85" i="15" s="1"/>
  <c r="AE83" i="15"/>
  <c r="AE85" i="15" s="1"/>
  <c r="AN83" i="15"/>
  <c r="AN85" i="15" s="1"/>
  <c r="AM83" i="15"/>
  <c r="AM85" i="15" s="1"/>
  <c r="O83" i="15"/>
  <c r="U83" i="15"/>
  <c r="P83" i="15"/>
  <c r="P85" i="15" s="1"/>
  <c r="AL83" i="15"/>
  <c r="AL85" i="15" s="1"/>
  <c r="AK83" i="15"/>
  <c r="AK85" i="15" s="1"/>
  <c r="Y83" i="15"/>
  <c r="Y85" i="15" s="1"/>
  <c r="AJ83" i="15"/>
  <c r="AD83" i="15"/>
  <c r="AD85" i="15" s="1"/>
  <c r="AI83" i="15"/>
  <c r="AI85" i="15" s="1"/>
  <c r="S83" i="15"/>
  <c r="S85" i="15" s="1"/>
  <c r="K83" i="15"/>
  <c r="K85" i="15" s="1"/>
  <c r="N83" i="15"/>
  <c r="N85" i="15" s="1"/>
  <c r="C83" i="15"/>
  <c r="AH83" i="15"/>
  <c r="M83" i="15"/>
  <c r="M85" i="15" s="1"/>
  <c r="T83" i="15"/>
  <c r="T85" i="15" s="1"/>
  <c r="AG83" i="15"/>
  <c r="X83" i="15"/>
  <c r="X85" i="15" s="1"/>
  <c r="R83" i="15"/>
  <c r="J83" i="15"/>
  <c r="J85" i="15" s="1"/>
  <c r="G83" i="15"/>
  <c r="G85" i="15" s="1"/>
  <c r="F83" i="15"/>
  <c r="F85" i="15" s="1"/>
  <c r="E83" i="15"/>
  <c r="E85" i="15" s="1"/>
  <c r="W83" i="15"/>
  <c r="W85" i="15" s="1"/>
  <c r="I83" i="15"/>
  <c r="AC83" i="15"/>
  <c r="AB83" i="15"/>
  <c r="AB85" i="15" s="1"/>
  <c r="AA83" i="15"/>
  <c r="AA85" i="15" s="1"/>
  <c r="V83" i="15"/>
  <c r="V85" i="15" s="1"/>
  <c r="Q83" i="15"/>
  <c r="Q85" i="15" s="1"/>
  <c r="Z83" i="15"/>
  <c r="Z85" i="15" s="1"/>
  <c r="H83" i="15"/>
  <c r="H85" i="15" s="1"/>
  <c r="L83" i="15"/>
  <c r="L85" i="15" s="1"/>
  <c r="AQ82" i="15"/>
  <c r="AR82" i="15" s="1"/>
  <c r="AQ81" i="15"/>
  <c r="AR81" i="15" s="1"/>
  <c r="AQ80" i="15"/>
  <c r="AR80" i="15" s="1"/>
  <c r="AQ79" i="15"/>
  <c r="AR79" i="15" s="1"/>
  <c r="AQ78" i="15"/>
  <c r="AR78" i="15" s="1"/>
  <c r="AQ77" i="15"/>
  <c r="AR77" i="15" s="1"/>
  <c r="AQ76" i="15"/>
  <c r="AR76" i="15" s="1"/>
  <c r="AQ75" i="15"/>
  <c r="AR75" i="15" s="1"/>
  <c r="AQ74" i="15"/>
  <c r="AR74" i="15" s="1"/>
  <c r="AQ73" i="15"/>
  <c r="AR73" i="15" s="1"/>
  <c r="AQ72" i="15"/>
  <c r="AR72" i="15" s="1"/>
  <c r="AQ71" i="15"/>
  <c r="AR71" i="15" s="1"/>
  <c r="AQ70" i="15"/>
  <c r="AR70" i="15" s="1"/>
  <c r="AR84" i="15" s="1"/>
  <c r="AQ69" i="15"/>
  <c r="AR69" i="15" s="1"/>
  <c r="AR83" i="15" s="1"/>
  <c r="AF65" i="15"/>
  <c r="D65" i="15"/>
  <c r="AP65" i="15"/>
  <c r="AO65" i="15"/>
  <c r="AE65" i="15"/>
  <c r="AN65" i="15"/>
  <c r="AM65" i="15"/>
  <c r="O65" i="15"/>
  <c r="U65" i="15"/>
  <c r="P65" i="15"/>
  <c r="AL65" i="15"/>
  <c r="AK65" i="15"/>
  <c r="Y65" i="15"/>
  <c r="AJ65" i="15"/>
  <c r="AD65" i="15"/>
  <c r="AI65" i="15"/>
  <c r="S65" i="15"/>
  <c r="K65" i="15"/>
  <c r="N65" i="15"/>
  <c r="C65" i="15"/>
  <c r="AH65" i="15"/>
  <c r="M65" i="15"/>
  <c r="T65" i="15"/>
  <c r="AG65" i="15"/>
  <c r="X65" i="15"/>
  <c r="R65" i="15"/>
  <c r="J65" i="15"/>
  <c r="G65" i="15"/>
  <c r="F65" i="15"/>
  <c r="E65" i="15"/>
  <c r="W65" i="15"/>
  <c r="I65" i="15"/>
  <c r="AC65" i="15"/>
  <c r="AB65" i="15"/>
  <c r="AA65" i="15"/>
  <c r="V65" i="15"/>
  <c r="Q65" i="15"/>
  <c r="Z65" i="15"/>
  <c r="H65" i="15"/>
  <c r="L65" i="15"/>
  <c r="AF64" i="15"/>
  <c r="AF66" i="15" s="1"/>
  <c r="D64" i="15"/>
  <c r="D66" i="15" s="1"/>
  <c r="AP64" i="15"/>
  <c r="AP66" i="15" s="1"/>
  <c r="AO64" i="15"/>
  <c r="AO66" i="15" s="1"/>
  <c r="AE64" i="15"/>
  <c r="AE66" i="15" s="1"/>
  <c r="AN64" i="15"/>
  <c r="AN66" i="15" s="1"/>
  <c r="AM64" i="15"/>
  <c r="AM66" i="15" s="1"/>
  <c r="O64" i="15"/>
  <c r="O66" i="15" s="1"/>
  <c r="U64" i="15"/>
  <c r="U66" i="15" s="1"/>
  <c r="P64" i="15"/>
  <c r="AL64" i="15"/>
  <c r="AK64" i="15"/>
  <c r="AK66" i="15" s="1"/>
  <c r="Y64" i="15"/>
  <c r="Y66" i="15" s="1"/>
  <c r="AJ64" i="15"/>
  <c r="AJ66" i="15" s="1"/>
  <c r="AD64" i="15"/>
  <c r="AD66" i="15" s="1"/>
  <c r="AI64" i="15"/>
  <c r="AI66" i="15" s="1"/>
  <c r="S64" i="15"/>
  <c r="S66" i="15" s="1"/>
  <c r="K64" i="15"/>
  <c r="K66" i="15" s="1"/>
  <c r="N64" i="15"/>
  <c r="N66" i="15" s="1"/>
  <c r="C64" i="15"/>
  <c r="C66" i="15" s="1"/>
  <c r="AH64" i="15"/>
  <c r="AH66" i="15" s="1"/>
  <c r="M64" i="15"/>
  <c r="T64" i="15"/>
  <c r="AG64" i="15"/>
  <c r="AG66" i="15" s="1"/>
  <c r="X64" i="15"/>
  <c r="X66" i="15" s="1"/>
  <c r="R64" i="15"/>
  <c r="R66" i="15" s="1"/>
  <c r="J64" i="15"/>
  <c r="J66" i="15" s="1"/>
  <c r="G64" i="15"/>
  <c r="G66" i="15" s="1"/>
  <c r="F64" i="15"/>
  <c r="F66" i="15" s="1"/>
  <c r="E64" i="15"/>
  <c r="E66" i="15" s="1"/>
  <c r="W64" i="15"/>
  <c r="W66" i="15" s="1"/>
  <c r="I64" i="15"/>
  <c r="I66" i="15" s="1"/>
  <c r="AC64" i="15"/>
  <c r="AC66" i="15" s="1"/>
  <c r="AB64" i="15"/>
  <c r="AA64" i="15"/>
  <c r="V64" i="15"/>
  <c r="V66" i="15" s="1"/>
  <c r="Q64" i="15"/>
  <c r="Q66" i="15" s="1"/>
  <c r="Z64" i="15"/>
  <c r="Z66" i="15" s="1"/>
  <c r="H64" i="15"/>
  <c r="H66" i="15" s="1"/>
  <c r="L64" i="15"/>
  <c r="L66" i="15" s="1"/>
  <c r="AQ63" i="15"/>
  <c r="AR63" i="15" s="1"/>
  <c r="AQ62" i="15"/>
  <c r="AR62" i="15" s="1"/>
  <c r="AQ61" i="15"/>
  <c r="AR61" i="15" s="1"/>
  <c r="AQ60" i="15"/>
  <c r="AR60" i="15" s="1"/>
  <c r="AQ59" i="15"/>
  <c r="AR59" i="15" s="1"/>
  <c r="AQ58" i="15"/>
  <c r="AR58" i="15" s="1"/>
  <c r="AQ57" i="15"/>
  <c r="AR57" i="15" s="1"/>
  <c r="AQ56" i="15"/>
  <c r="AR56" i="15" s="1"/>
  <c r="AQ55" i="15"/>
  <c r="AR55" i="15" s="1"/>
  <c r="AQ54" i="15"/>
  <c r="AR54" i="15" s="1"/>
  <c r="AQ53" i="15"/>
  <c r="AR53" i="15" s="1"/>
  <c r="AF49" i="15"/>
  <c r="D49" i="15"/>
  <c r="AP49" i="15"/>
  <c r="AO49" i="15"/>
  <c r="AE49" i="15"/>
  <c r="AN49" i="15"/>
  <c r="AM49" i="15"/>
  <c r="O49" i="15"/>
  <c r="U49" i="15"/>
  <c r="P49" i="15"/>
  <c r="AL49" i="15"/>
  <c r="AK49" i="15"/>
  <c r="Y49" i="15"/>
  <c r="AJ49" i="15"/>
  <c r="AD49" i="15"/>
  <c r="AI49" i="15"/>
  <c r="S49" i="15"/>
  <c r="K49" i="15"/>
  <c r="N49" i="15"/>
  <c r="C49" i="15"/>
  <c r="AH49" i="15"/>
  <c r="M49" i="15"/>
  <c r="T49" i="15"/>
  <c r="AG49" i="15"/>
  <c r="X49" i="15"/>
  <c r="R49" i="15"/>
  <c r="J49" i="15"/>
  <c r="G49" i="15"/>
  <c r="F49" i="15"/>
  <c r="E49" i="15"/>
  <c r="W49" i="15"/>
  <c r="I49" i="15"/>
  <c r="AC49" i="15"/>
  <c r="AB49" i="15"/>
  <c r="AA49" i="15"/>
  <c r="V49" i="15"/>
  <c r="Q49" i="15"/>
  <c r="Z49" i="15"/>
  <c r="H49" i="15"/>
  <c r="L49" i="15"/>
  <c r="AQ49" i="15" s="1"/>
  <c r="AF48" i="15"/>
  <c r="AF50" i="15" s="1"/>
  <c r="D48" i="15"/>
  <c r="D50" i="15" s="1"/>
  <c r="AP48" i="15"/>
  <c r="AO48" i="15"/>
  <c r="AE48" i="15"/>
  <c r="AE50" i="15" s="1"/>
  <c r="AN48" i="15"/>
  <c r="AN50" i="15" s="1"/>
  <c r="AM48" i="15"/>
  <c r="AM50" i="15" s="1"/>
  <c r="O48" i="15"/>
  <c r="O50" i="15" s="1"/>
  <c r="U48" i="15"/>
  <c r="U50" i="15" s="1"/>
  <c r="P48" i="15"/>
  <c r="P50" i="15" s="1"/>
  <c r="AL48" i="15"/>
  <c r="AL50" i="15" s="1"/>
  <c r="AK48" i="15"/>
  <c r="AK50" i="15" s="1"/>
  <c r="Y48" i="15"/>
  <c r="Y50" i="15" s="1"/>
  <c r="AJ48" i="15"/>
  <c r="AJ50" i="15" s="1"/>
  <c r="AD48" i="15"/>
  <c r="AI48" i="15"/>
  <c r="S48" i="15"/>
  <c r="S50" i="15" s="1"/>
  <c r="K48" i="15"/>
  <c r="K50" i="15" s="1"/>
  <c r="N48" i="15"/>
  <c r="N50" i="15" s="1"/>
  <c r="C48" i="15"/>
  <c r="C50" i="15" s="1"/>
  <c r="AH48" i="15"/>
  <c r="AH50" i="15" s="1"/>
  <c r="M48" i="15"/>
  <c r="M50" i="15" s="1"/>
  <c r="T48" i="15"/>
  <c r="T50" i="15" s="1"/>
  <c r="AG48" i="15"/>
  <c r="AG50" i="15" s="1"/>
  <c r="X48" i="15"/>
  <c r="X50" i="15" s="1"/>
  <c r="R48" i="15"/>
  <c r="R50" i="15" s="1"/>
  <c r="J48" i="15"/>
  <c r="G48" i="15"/>
  <c r="F48" i="15"/>
  <c r="F50" i="15" s="1"/>
  <c r="E48" i="15"/>
  <c r="E50" i="15" s="1"/>
  <c r="W48" i="15"/>
  <c r="W50" i="15" s="1"/>
  <c r="I48" i="15"/>
  <c r="I50" i="15" s="1"/>
  <c r="AC48" i="15"/>
  <c r="AC50" i="15" s="1"/>
  <c r="AB48" i="15"/>
  <c r="AB50" i="15" s="1"/>
  <c r="AA48" i="15"/>
  <c r="AA50" i="15" s="1"/>
  <c r="V48" i="15"/>
  <c r="V50" i="15" s="1"/>
  <c r="Q48" i="15"/>
  <c r="Q50" i="15" s="1"/>
  <c r="Z48" i="15"/>
  <c r="Z50" i="15" s="1"/>
  <c r="H48" i="15"/>
  <c r="L48" i="15"/>
  <c r="AQ47" i="15"/>
  <c r="AR47" i="15" s="1"/>
  <c r="AQ46" i="15"/>
  <c r="AR46" i="15" s="1"/>
  <c r="AQ45" i="15"/>
  <c r="AR45" i="15" s="1"/>
  <c r="AQ44" i="15"/>
  <c r="AR44" i="15" s="1"/>
  <c r="AQ43" i="15"/>
  <c r="AR43" i="15" s="1"/>
  <c r="AQ42" i="15"/>
  <c r="AR42" i="15" s="1"/>
  <c r="AQ41" i="15"/>
  <c r="AR41" i="15" s="1"/>
  <c r="AQ40" i="15"/>
  <c r="AR40" i="15" s="1"/>
  <c r="AQ39" i="15"/>
  <c r="AR39" i="15" s="1"/>
  <c r="AQ38" i="15"/>
  <c r="AR38" i="15" s="1"/>
  <c r="AQ37" i="15"/>
  <c r="AR37" i="15" s="1"/>
  <c r="AQ36" i="15"/>
  <c r="AR36" i="15" s="1"/>
  <c r="AQ35" i="15"/>
  <c r="AR35" i="15" s="1"/>
  <c r="AQ34" i="15"/>
  <c r="AR34" i="15" s="1"/>
  <c r="AQ33" i="15"/>
  <c r="AR33" i="15" s="1"/>
  <c r="AF29" i="15"/>
  <c r="AF87" i="15" s="1"/>
  <c r="D29" i="15"/>
  <c r="D87" i="15" s="1"/>
  <c r="AP29" i="15"/>
  <c r="AO29" i="15"/>
  <c r="AE29" i="15"/>
  <c r="AE87" i="15" s="1"/>
  <c r="AN29" i="15"/>
  <c r="AN87" i="15" s="1"/>
  <c r="AM29" i="15"/>
  <c r="AM87" i="15" s="1"/>
  <c r="O29" i="15"/>
  <c r="O87" i="15" s="1"/>
  <c r="U29" i="15"/>
  <c r="P29" i="15"/>
  <c r="AL29" i="15"/>
  <c r="AK29" i="15"/>
  <c r="AK87" i="15" s="1"/>
  <c r="Y29" i="15"/>
  <c r="Y87" i="15" s="1"/>
  <c r="AJ29" i="15"/>
  <c r="AJ87" i="15" s="1"/>
  <c r="AD29" i="15"/>
  <c r="AI29" i="15"/>
  <c r="S29" i="15"/>
  <c r="S87" i="15" s="1"/>
  <c r="K29" i="15"/>
  <c r="K87" i="15" s="1"/>
  <c r="N29" i="15"/>
  <c r="N87" i="15" s="1"/>
  <c r="C29" i="15"/>
  <c r="C87" i="15" s="1"/>
  <c r="AH29" i="15"/>
  <c r="M29" i="15"/>
  <c r="T29" i="15"/>
  <c r="AG29" i="15"/>
  <c r="AG87" i="15" s="1"/>
  <c r="X29" i="15"/>
  <c r="X87" i="15" s="1"/>
  <c r="R29" i="15"/>
  <c r="R87" i="15" s="1"/>
  <c r="J29" i="15"/>
  <c r="G29" i="15"/>
  <c r="F29" i="15"/>
  <c r="F87" i="15" s="1"/>
  <c r="E29" i="15"/>
  <c r="E87" i="15" s="1"/>
  <c r="W29" i="15"/>
  <c r="W87" i="15" s="1"/>
  <c r="I29" i="15"/>
  <c r="I87" i="15" s="1"/>
  <c r="AC29" i="15"/>
  <c r="AB29" i="15"/>
  <c r="AB87" i="15" s="1"/>
  <c r="AA29" i="15"/>
  <c r="V29" i="15"/>
  <c r="Q29" i="15"/>
  <c r="Q87" i="15" s="1"/>
  <c r="Z29" i="15"/>
  <c r="Z87" i="15" s="1"/>
  <c r="H29" i="15"/>
  <c r="L29" i="15"/>
  <c r="AF28" i="15"/>
  <c r="AF30" i="15" s="1"/>
  <c r="D28" i="15"/>
  <c r="D30" i="15" s="1"/>
  <c r="AP28" i="15"/>
  <c r="AP30" i="15" s="1"/>
  <c r="AO28" i="15"/>
  <c r="AE28" i="15"/>
  <c r="AN28" i="15"/>
  <c r="AN30" i="15" s="1"/>
  <c r="AM28" i="15"/>
  <c r="O28" i="15"/>
  <c r="O86" i="15" s="1"/>
  <c r="O88" i="15" s="1"/>
  <c r="U28" i="15"/>
  <c r="U86" i="15" s="1"/>
  <c r="P28" i="15"/>
  <c r="P86" i="15" s="1"/>
  <c r="AL28" i="15"/>
  <c r="AL30" i="15" s="1"/>
  <c r="AK28" i="15"/>
  <c r="AK30" i="15" s="1"/>
  <c r="Y28" i="15"/>
  <c r="Y30" i="15" s="1"/>
  <c r="AJ28" i="15"/>
  <c r="AJ30" i="15" s="1"/>
  <c r="AD28" i="15"/>
  <c r="AD30" i="15" s="1"/>
  <c r="AI28" i="15"/>
  <c r="S28" i="15"/>
  <c r="K28" i="15"/>
  <c r="K30" i="15" s="1"/>
  <c r="N28" i="15"/>
  <c r="C28" i="15"/>
  <c r="C86" i="15" s="1"/>
  <c r="C88" i="15" s="1"/>
  <c r="AH28" i="15"/>
  <c r="AH86" i="15" s="1"/>
  <c r="M28" i="15"/>
  <c r="M86" i="15" s="1"/>
  <c r="T28" i="15"/>
  <c r="T30" i="15" s="1"/>
  <c r="AG28" i="15"/>
  <c r="AG30" i="15" s="1"/>
  <c r="X28" i="15"/>
  <c r="X30" i="15" s="1"/>
  <c r="R28" i="15"/>
  <c r="R30" i="15" s="1"/>
  <c r="J28" i="15"/>
  <c r="J30" i="15" s="1"/>
  <c r="G28" i="15"/>
  <c r="F28" i="15"/>
  <c r="E28" i="15"/>
  <c r="E30" i="15" s="1"/>
  <c r="W28" i="15"/>
  <c r="I28" i="15"/>
  <c r="I86" i="15" s="1"/>
  <c r="I88" i="15" s="1"/>
  <c r="AC28" i="15"/>
  <c r="AC86" i="15" s="1"/>
  <c r="AB28" i="15"/>
  <c r="AB86" i="15" s="1"/>
  <c r="AB88" i="15" s="1"/>
  <c r="AA28" i="15"/>
  <c r="AA30" i="15" s="1"/>
  <c r="V28" i="15"/>
  <c r="Q28" i="15"/>
  <c r="Q30" i="15" s="1"/>
  <c r="Z28" i="15"/>
  <c r="Z30" i="15" s="1"/>
  <c r="H28" i="15"/>
  <c r="H30" i="15" s="1"/>
  <c r="L28" i="15"/>
  <c r="AQ27" i="15"/>
  <c r="AR27" i="15" s="1"/>
  <c r="AQ26" i="15"/>
  <c r="AR26" i="15" s="1"/>
  <c r="AQ25" i="15"/>
  <c r="AR25" i="15" s="1"/>
  <c r="AQ24" i="15"/>
  <c r="AR24" i="15" s="1"/>
  <c r="AQ23" i="15"/>
  <c r="AR23" i="15" s="1"/>
  <c r="AQ22" i="15"/>
  <c r="AR22" i="15" s="1"/>
  <c r="AQ21" i="15"/>
  <c r="AR21" i="15" s="1"/>
  <c r="AQ20" i="15"/>
  <c r="AR20" i="15" s="1"/>
  <c r="AQ19" i="15"/>
  <c r="AR19" i="15" s="1"/>
  <c r="AQ18" i="15"/>
  <c r="AR18" i="15" s="1"/>
  <c r="AQ17" i="15"/>
  <c r="AR17" i="15" s="1"/>
  <c r="AQ15" i="15" a="1"/>
  <c r="AQ15" i="15" s="1"/>
  <c r="AR15" i="15" s="1"/>
  <c r="AQ14" i="15" a="1"/>
  <c r="AQ14" i="15" s="1"/>
  <c r="AR14" i="15" s="1"/>
  <c r="AQ12" i="15"/>
  <c r="AR12" i="15" s="1"/>
  <c r="AQ12" i="15" a="1"/>
  <c r="AQ11" i="15" a="1"/>
  <c r="AQ11" i="15" s="1"/>
  <c r="AR11" i="15" s="1"/>
  <c r="AR28" i="15" s="1"/>
  <c r="G92" i="14"/>
  <c r="O92" i="14"/>
  <c r="Y92" i="14"/>
  <c r="Q92" i="14"/>
  <c r="AQ92" i="14"/>
  <c r="AT92" i="14"/>
  <c r="M92" i="14"/>
  <c r="AC92" i="14"/>
  <c r="I92" i="14"/>
  <c r="AL92" i="14"/>
  <c r="N92" i="14"/>
  <c r="AJ92" i="14"/>
  <c r="X92" i="14"/>
  <c r="AN92" i="14"/>
  <c r="AP92" i="14"/>
  <c r="AO92" i="14"/>
  <c r="AM92" i="14"/>
  <c r="L92" i="14"/>
  <c r="AF92" i="14"/>
  <c r="AK92" i="14"/>
  <c r="J92" i="14"/>
  <c r="W92" i="14"/>
  <c r="P92" i="14"/>
  <c r="AB92" i="14"/>
  <c r="AA92" i="14"/>
  <c r="U92" i="14"/>
  <c r="AS92" i="14"/>
  <c r="AE92" i="14"/>
  <c r="AI92" i="14"/>
  <c r="AV92" i="14"/>
  <c r="AH92" i="14"/>
  <c r="D92" i="14"/>
  <c r="R92" i="14"/>
  <c r="AU92" i="14"/>
  <c r="AX92" i="14"/>
  <c r="C92" i="14"/>
  <c r="AW92" i="14"/>
  <c r="F92" i="14"/>
  <c r="AG92" i="14"/>
  <c r="V92" i="14"/>
  <c r="K92" i="14"/>
  <c r="AR92" i="14"/>
  <c r="Z92" i="14"/>
  <c r="T92" i="14"/>
  <c r="E92" i="14"/>
  <c r="AD92" i="14"/>
  <c r="H92" i="14"/>
  <c r="S92" i="14"/>
  <c r="G91" i="14"/>
  <c r="G93" i="14" s="1"/>
  <c r="O91" i="14"/>
  <c r="O93" i="14" s="1"/>
  <c r="Y91" i="14"/>
  <c r="Y93" i="14" s="1"/>
  <c r="Q91" i="14"/>
  <c r="Q93" i="14" s="1"/>
  <c r="AQ91" i="14"/>
  <c r="AQ93" i="14" s="1"/>
  <c r="AT91" i="14"/>
  <c r="AT93" i="14" s="1"/>
  <c r="M91" i="14"/>
  <c r="M93" i="14" s="1"/>
  <c r="AC91" i="14"/>
  <c r="I91" i="14"/>
  <c r="I93" i="14" s="1"/>
  <c r="AL91" i="14"/>
  <c r="N91" i="14"/>
  <c r="N93" i="14" s="1"/>
  <c r="AJ91" i="14"/>
  <c r="AJ93" i="14" s="1"/>
  <c r="X91" i="14"/>
  <c r="X93" i="14" s="1"/>
  <c r="AN91" i="14"/>
  <c r="AN93" i="14" s="1"/>
  <c r="AP91" i="14"/>
  <c r="AP93" i="14" s="1"/>
  <c r="AO91" i="14"/>
  <c r="AO93" i="14" s="1"/>
  <c r="AM91" i="14"/>
  <c r="AM93" i="14" s="1"/>
  <c r="L91" i="14"/>
  <c r="L93" i="14" s="1"/>
  <c r="AF91" i="14"/>
  <c r="AF93" i="14" s="1"/>
  <c r="AK91" i="14"/>
  <c r="J91" i="14"/>
  <c r="J93" i="14" s="1"/>
  <c r="W91" i="14"/>
  <c r="W93" i="14" s="1"/>
  <c r="P91" i="14"/>
  <c r="P93" i="14" s="1"/>
  <c r="AB91" i="14"/>
  <c r="AB93" i="14" s="1"/>
  <c r="AA91" i="14"/>
  <c r="AA93" i="14" s="1"/>
  <c r="U91" i="14"/>
  <c r="U93" i="14" s="1"/>
  <c r="AS91" i="14"/>
  <c r="AS93" i="14" s="1"/>
  <c r="AE91" i="14"/>
  <c r="AE93" i="14" s="1"/>
  <c r="AI91" i="14"/>
  <c r="AI93" i="14" s="1"/>
  <c r="AV91" i="14"/>
  <c r="AV93" i="14" s="1"/>
  <c r="AH91" i="14"/>
  <c r="AH93" i="14" s="1"/>
  <c r="D91" i="14"/>
  <c r="R91" i="14"/>
  <c r="R93" i="14" s="1"/>
  <c r="AU91" i="14"/>
  <c r="AX91" i="14"/>
  <c r="AX93" i="14" s="1"/>
  <c r="C91" i="14"/>
  <c r="C93" i="14" s="1"/>
  <c r="AW91" i="14"/>
  <c r="AW93" i="14" s="1"/>
  <c r="F91" i="14"/>
  <c r="F93" i="14" s="1"/>
  <c r="AG91" i="14"/>
  <c r="AG93" i="14" s="1"/>
  <c r="V91" i="14"/>
  <c r="V93" i="14" s="1"/>
  <c r="K91" i="14"/>
  <c r="K93" i="14" s="1"/>
  <c r="AR91" i="14"/>
  <c r="AR93" i="14" s="1"/>
  <c r="Z91" i="14"/>
  <c r="Z93" i="14" s="1"/>
  <c r="T91" i="14"/>
  <c r="E91" i="14"/>
  <c r="E93" i="14" s="1"/>
  <c r="AD91" i="14"/>
  <c r="AD93" i="14" s="1"/>
  <c r="H91" i="14"/>
  <c r="H93" i="14" s="1"/>
  <c r="S91" i="14"/>
  <c r="G84" i="14"/>
  <c r="O84" i="14"/>
  <c r="Y84" i="14"/>
  <c r="Q84" i="14"/>
  <c r="AQ84" i="14"/>
  <c r="AT84" i="14"/>
  <c r="M84" i="14"/>
  <c r="AC84" i="14"/>
  <c r="I84" i="14"/>
  <c r="AL84" i="14"/>
  <c r="N84" i="14"/>
  <c r="AJ84" i="14"/>
  <c r="X84" i="14"/>
  <c r="AN84" i="14"/>
  <c r="AP84" i="14"/>
  <c r="AO84" i="14"/>
  <c r="AM84" i="14"/>
  <c r="L84" i="14"/>
  <c r="AF84" i="14"/>
  <c r="AK84" i="14"/>
  <c r="J84" i="14"/>
  <c r="W84" i="14"/>
  <c r="P84" i="14"/>
  <c r="AB84" i="14"/>
  <c r="AA84" i="14"/>
  <c r="U84" i="14"/>
  <c r="AS84" i="14"/>
  <c r="AE84" i="14"/>
  <c r="AI84" i="14"/>
  <c r="AV84" i="14"/>
  <c r="AH84" i="14"/>
  <c r="D84" i="14"/>
  <c r="R84" i="14"/>
  <c r="AU84" i="14"/>
  <c r="AX84" i="14"/>
  <c r="C84" i="14"/>
  <c r="AW84" i="14"/>
  <c r="F84" i="14"/>
  <c r="AG84" i="14"/>
  <c r="V84" i="14"/>
  <c r="K84" i="14"/>
  <c r="AR84" i="14"/>
  <c r="Z84" i="14"/>
  <c r="T84" i="14"/>
  <c r="E84" i="14"/>
  <c r="AD84" i="14"/>
  <c r="H84" i="14"/>
  <c r="S84" i="14"/>
  <c r="G83" i="14"/>
  <c r="O83" i="14"/>
  <c r="O85" i="14" s="1"/>
  <c r="Y83" i="14"/>
  <c r="Y85" i="14" s="1"/>
  <c r="Q83" i="14"/>
  <c r="Q85" i="14" s="1"/>
  <c r="AQ83" i="14"/>
  <c r="AQ85" i="14" s="1"/>
  <c r="AT83" i="14"/>
  <c r="AT85" i="14" s="1"/>
  <c r="M83" i="14"/>
  <c r="M85" i="14" s="1"/>
  <c r="AC83" i="14"/>
  <c r="AC85" i="14" s="1"/>
  <c r="I83" i="14"/>
  <c r="I85" i="14" s="1"/>
  <c r="AL83" i="14"/>
  <c r="AL85" i="14" s="1"/>
  <c r="N83" i="14"/>
  <c r="AJ83" i="14"/>
  <c r="AJ85" i="14" s="1"/>
  <c r="X83" i="14"/>
  <c r="AN83" i="14"/>
  <c r="AN85" i="14" s="1"/>
  <c r="AP83" i="14"/>
  <c r="AP85" i="14" s="1"/>
  <c r="AO83" i="14"/>
  <c r="AO85" i="14" s="1"/>
  <c r="AM83" i="14"/>
  <c r="AM85" i="14" s="1"/>
  <c r="L83" i="14"/>
  <c r="L85" i="14" s="1"/>
  <c r="AF83" i="14"/>
  <c r="AF85" i="14" s="1"/>
  <c r="AK83" i="14"/>
  <c r="AK85" i="14" s="1"/>
  <c r="J83" i="14"/>
  <c r="W83" i="14"/>
  <c r="W85" i="14" s="1"/>
  <c r="P83" i="14"/>
  <c r="AB83" i="14"/>
  <c r="AB85" i="14" s="1"/>
  <c r="AA83" i="14"/>
  <c r="U83" i="14"/>
  <c r="U85" i="14" s="1"/>
  <c r="AS83" i="14"/>
  <c r="AS85" i="14" s="1"/>
  <c r="AE83" i="14"/>
  <c r="AE85" i="14" s="1"/>
  <c r="AI83" i="14"/>
  <c r="AI85" i="14" s="1"/>
  <c r="AV83" i="14"/>
  <c r="AV85" i="14" s="1"/>
  <c r="AH83" i="14"/>
  <c r="AH85" i="14" s="1"/>
  <c r="D83" i="14"/>
  <c r="D85" i="14" s="1"/>
  <c r="R83" i="14"/>
  <c r="R85" i="14" s="1"/>
  <c r="AU83" i="14"/>
  <c r="AU85" i="14" s="1"/>
  <c r="AX83" i="14"/>
  <c r="AX85" i="14" s="1"/>
  <c r="C83" i="14"/>
  <c r="C85" i="14" s="1"/>
  <c r="AW83" i="14"/>
  <c r="F83" i="14"/>
  <c r="F85" i="14" s="1"/>
  <c r="AG83" i="14"/>
  <c r="AG85" i="14" s="1"/>
  <c r="V83" i="14"/>
  <c r="V85" i="14" s="1"/>
  <c r="K83" i="14"/>
  <c r="K85" i="14" s="1"/>
  <c r="AR83" i="14"/>
  <c r="AR85" i="14" s="1"/>
  <c r="Z83" i="14"/>
  <c r="Z85" i="14" s="1"/>
  <c r="T83" i="14"/>
  <c r="T85" i="14" s="1"/>
  <c r="E83" i="14"/>
  <c r="E85" i="14" s="1"/>
  <c r="AD83" i="14"/>
  <c r="AD85" i="14" s="1"/>
  <c r="H83" i="14"/>
  <c r="H85" i="14" s="1"/>
  <c r="S83" i="14"/>
  <c r="S85" i="14" s="1"/>
  <c r="AY82" i="14"/>
  <c r="AZ82" i="14" s="1"/>
  <c r="AY81" i="14"/>
  <c r="AZ81" i="14" s="1"/>
  <c r="AY80" i="14"/>
  <c r="AZ80" i="14" s="1"/>
  <c r="AY79" i="14"/>
  <c r="AZ79" i="14" s="1"/>
  <c r="AY78" i="14"/>
  <c r="AZ78" i="14" s="1"/>
  <c r="AY77" i="14"/>
  <c r="AZ77" i="14" s="1"/>
  <c r="AY76" i="14"/>
  <c r="AZ76" i="14" s="1"/>
  <c r="AY75" i="14"/>
  <c r="AZ75" i="14" s="1"/>
  <c r="AY74" i="14"/>
  <c r="AZ74" i="14" s="1"/>
  <c r="AY73" i="14"/>
  <c r="AZ73" i="14" s="1"/>
  <c r="AY72" i="14"/>
  <c r="AZ72" i="14" s="1"/>
  <c r="G68" i="14"/>
  <c r="O68" i="14"/>
  <c r="Y68" i="14"/>
  <c r="Q68" i="14"/>
  <c r="AQ68" i="14"/>
  <c r="AT68" i="14"/>
  <c r="M68" i="14"/>
  <c r="AC68" i="14"/>
  <c r="I68" i="14"/>
  <c r="AL68" i="14"/>
  <c r="N68" i="14"/>
  <c r="AJ68" i="14"/>
  <c r="X68" i="14"/>
  <c r="AN68" i="14"/>
  <c r="AP68" i="14"/>
  <c r="AO68" i="14"/>
  <c r="AM68" i="14"/>
  <c r="L68" i="14"/>
  <c r="AF68" i="14"/>
  <c r="AK68" i="14"/>
  <c r="J68" i="14"/>
  <c r="W68" i="14"/>
  <c r="P68" i="14"/>
  <c r="AB68" i="14"/>
  <c r="AA68" i="14"/>
  <c r="U68" i="14"/>
  <c r="AS68" i="14"/>
  <c r="AE68" i="14"/>
  <c r="AI68" i="14"/>
  <c r="AV68" i="14"/>
  <c r="AH68" i="14"/>
  <c r="D68" i="14"/>
  <c r="R68" i="14"/>
  <c r="AU68" i="14"/>
  <c r="AX68" i="14"/>
  <c r="C68" i="14"/>
  <c r="AW68" i="14"/>
  <c r="F68" i="14"/>
  <c r="AG68" i="14"/>
  <c r="V68" i="14"/>
  <c r="K68" i="14"/>
  <c r="AR68" i="14"/>
  <c r="Z68" i="14"/>
  <c r="T68" i="14"/>
  <c r="E68" i="14"/>
  <c r="AD68" i="14"/>
  <c r="H68" i="14"/>
  <c r="S68" i="14"/>
  <c r="G67" i="14"/>
  <c r="G69" i="14" s="1"/>
  <c r="O67" i="14"/>
  <c r="O69" i="14" s="1"/>
  <c r="Y67" i="14"/>
  <c r="Y69" i="14" s="1"/>
  <c r="Q67" i="14"/>
  <c r="Q69" i="14" s="1"/>
  <c r="AQ67" i="14"/>
  <c r="AQ69" i="14" s="1"/>
  <c r="AT67" i="14"/>
  <c r="AT69" i="14" s="1"/>
  <c r="M67" i="14"/>
  <c r="M69" i="14" s="1"/>
  <c r="AC67" i="14"/>
  <c r="AC69" i="14" s="1"/>
  <c r="I67" i="14"/>
  <c r="AL67" i="14"/>
  <c r="AL69" i="14" s="1"/>
  <c r="N67" i="14"/>
  <c r="N69" i="14" s="1"/>
  <c r="AJ67" i="14"/>
  <c r="AJ69" i="14" s="1"/>
  <c r="X67" i="14"/>
  <c r="X69" i="14" s="1"/>
  <c r="AN67" i="14"/>
  <c r="AN69" i="14" s="1"/>
  <c r="AP67" i="14"/>
  <c r="AP69" i="14" s="1"/>
  <c r="AO67" i="14"/>
  <c r="AO69" i="14" s="1"/>
  <c r="AM67" i="14"/>
  <c r="AM69" i="14" s="1"/>
  <c r="L67" i="14"/>
  <c r="L69" i="14" s="1"/>
  <c r="AF67" i="14"/>
  <c r="AF69" i="14" s="1"/>
  <c r="AK67" i="14"/>
  <c r="AK69" i="14" s="1"/>
  <c r="J67" i="14"/>
  <c r="W67" i="14"/>
  <c r="W69" i="14" s="1"/>
  <c r="P67" i="14"/>
  <c r="P69" i="14" s="1"/>
  <c r="AB67" i="14"/>
  <c r="AB69" i="14" s="1"/>
  <c r="AA67" i="14"/>
  <c r="AA69" i="14" s="1"/>
  <c r="U67" i="14"/>
  <c r="U69" i="14" s="1"/>
  <c r="AS67" i="14"/>
  <c r="AS69" i="14" s="1"/>
  <c r="AE67" i="14"/>
  <c r="AE69" i="14" s="1"/>
  <c r="AI67" i="14"/>
  <c r="AI69" i="14" s="1"/>
  <c r="AV67" i="14"/>
  <c r="AV69" i="14" s="1"/>
  <c r="AH67" i="14"/>
  <c r="AH69" i="14" s="1"/>
  <c r="D67" i="14"/>
  <c r="D69" i="14" s="1"/>
  <c r="R67" i="14"/>
  <c r="AU67" i="14"/>
  <c r="AU69" i="14" s="1"/>
  <c r="AX67" i="14"/>
  <c r="AX69" i="14" s="1"/>
  <c r="C67" i="14"/>
  <c r="C69" i="14" s="1"/>
  <c r="AW67" i="14"/>
  <c r="AW69" i="14" s="1"/>
  <c r="F67" i="14"/>
  <c r="F69" i="14" s="1"/>
  <c r="AG67" i="14"/>
  <c r="AG69" i="14" s="1"/>
  <c r="V67" i="14"/>
  <c r="V69" i="14" s="1"/>
  <c r="K67" i="14"/>
  <c r="K69" i="14" s="1"/>
  <c r="AR67" i="14"/>
  <c r="AR69" i="14" s="1"/>
  <c r="Z67" i="14"/>
  <c r="Z69" i="14" s="1"/>
  <c r="T67" i="14"/>
  <c r="T69" i="14" s="1"/>
  <c r="E67" i="14"/>
  <c r="AD67" i="14"/>
  <c r="AD69" i="14" s="1"/>
  <c r="H67" i="14"/>
  <c r="H69" i="14" s="1"/>
  <c r="S67" i="14"/>
  <c r="S69" i="14" s="1"/>
  <c r="AY66" i="14"/>
  <c r="AZ66" i="14" s="1"/>
  <c r="AY65" i="14"/>
  <c r="AZ65" i="14" s="1"/>
  <c r="AY64" i="14"/>
  <c r="AZ64" i="14" s="1"/>
  <c r="AY63" i="14"/>
  <c r="AZ63" i="14" s="1"/>
  <c r="AY62" i="14"/>
  <c r="AZ62" i="14" s="1"/>
  <c r="AY61" i="14"/>
  <c r="AZ61" i="14" s="1"/>
  <c r="AY60" i="14"/>
  <c r="AZ60" i="14" s="1"/>
  <c r="AY59" i="14"/>
  <c r="AZ59" i="14" s="1"/>
  <c r="AY58" i="14"/>
  <c r="AZ58" i="14" s="1"/>
  <c r="AY57" i="14"/>
  <c r="AZ57" i="14" s="1"/>
  <c r="AY56" i="14"/>
  <c r="AZ56" i="14" s="1"/>
  <c r="G52" i="14"/>
  <c r="O52" i="14"/>
  <c r="Y52" i="14"/>
  <c r="Q52" i="14"/>
  <c r="AQ52" i="14"/>
  <c r="AT52" i="14"/>
  <c r="M52" i="14"/>
  <c r="AC52" i="14"/>
  <c r="I52" i="14"/>
  <c r="AL52" i="14"/>
  <c r="N52" i="14"/>
  <c r="AJ52" i="14"/>
  <c r="X52" i="14"/>
  <c r="AN52" i="14"/>
  <c r="AP52" i="14"/>
  <c r="AO52" i="14"/>
  <c r="AM52" i="14"/>
  <c r="L52" i="14"/>
  <c r="AF52" i="14"/>
  <c r="AK52" i="14"/>
  <c r="J52" i="14"/>
  <c r="W52" i="14"/>
  <c r="P52" i="14"/>
  <c r="AB52" i="14"/>
  <c r="AA52" i="14"/>
  <c r="U52" i="14"/>
  <c r="AS52" i="14"/>
  <c r="AE52" i="14"/>
  <c r="AI52" i="14"/>
  <c r="AV52" i="14"/>
  <c r="AH52" i="14"/>
  <c r="D52" i="14"/>
  <c r="R52" i="14"/>
  <c r="AU52" i="14"/>
  <c r="AX52" i="14"/>
  <c r="C52" i="14"/>
  <c r="AW52" i="14"/>
  <c r="F52" i="14"/>
  <c r="AG52" i="14"/>
  <c r="V52" i="14"/>
  <c r="K52" i="14"/>
  <c r="AR52" i="14"/>
  <c r="Z52" i="14"/>
  <c r="T52" i="14"/>
  <c r="E52" i="14"/>
  <c r="AD52" i="14"/>
  <c r="H52" i="14"/>
  <c r="S52" i="14"/>
  <c r="G51" i="14"/>
  <c r="G53" i="14" s="1"/>
  <c r="O51" i="14"/>
  <c r="O53" i="14" s="1"/>
  <c r="Y51" i="14"/>
  <c r="Y53" i="14" s="1"/>
  <c r="Q51" i="14"/>
  <c r="Q53" i="14" s="1"/>
  <c r="AQ51" i="14"/>
  <c r="AT51" i="14"/>
  <c r="AT53" i="14" s="1"/>
  <c r="M51" i="14"/>
  <c r="M53" i="14" s="1"/>
  <c r="AC51" i="14"/>
  <c r="AC53" i="14" s="1"/>
  <c r="I51" i="14"/>
  <c r="I53" i="14" s="1"/>
  <c r="AL51" i="14"/>
  <c r="AL53" i="14" s="1"/>
  <c r="N51" i="14"/>
  <c r="N53" i="14" s="1"/>
  <c r="AJ51" i="14"/>
  <c r="AJ53" i="14" s="1"/>
  <c r="X51" i="14"/>
  <c r="X53" i="14" s="1"/>
  <c r="AN51" i="14"/>
  <c r="AN53" i="14" s="1"/>
  <c r="AP51" i="14"/>
  <c r="AP53" i="14" s="1"/>
  <c r="AO51" i="14"/>
  <c r="AO53" i="14" s="1"/>
  <c r="AM51" i="14"/>
  <c r="L51" i="14"/>
  <c r="L53" i="14" s="1"/>
  <c r="AF51" i="14"/>
  <c r="AF53" i="14" s="1"/>
  <c r="AK51" i="14"/>
  <c r="AK53" i="14" s="1"/>
  <c r="J51" i="14"/>
  <c r="J53" i="14" s="1"/>
  <c r="W51" i="14"/>
  <c r="P51" i="14"/>
  <c r="P53" i="14" s="1"/>
  <c r="AB51" i="14"/>
  <c r="AB53" i="14" s="1"/>
  <c r="AA51" i="14"/>
  <c r="AA53" i="14" s="1"/>
  <c r="U51" i="14"/>
  <c r="U53" i="14" s="1"/>
  <c r="AS51" i="14"/>
  <c r="AS53" i="14" s="1"/>
  <c r="AE51" i="14"/>
  <c r="AE53" i="14" s="1"/>
  <c r="AI51" i="14"/>
  <c r="AV51" i="14"/>
  <c r="AV53" i="14" s="1"/>
  <c r="AH51" i="14"/>
  <c r="AH53" i="14" s="1"/>
  <c r="D51" i="14"/>
  <c r="D53" i="14" s="1"/>
  <c r="R51" i="14"/>
  <c r="R53" i="14" s="1"/>
  <c r="AU51" i="14"/>
  <c r="AX51" i="14"/>
  <c r="AX53" i="14" s="1"/>
  <c r="C51" i="14"/>
  <c r="C53" i="14" s="1"/>
  <c r="AW51" i="14"/>
  <c r="AW53" i="14" s="1"/>
  <c r="F51" i="14"/>
  <c r="F53" i="14" s="1"/>
  <c r="AG51" i="14"/>
  <c r="AG53" i="14" s="1"/>
  <c r="V51" i="14"/>
  <c r="V53" i="14" s="1"/>
  <c r="K51" i="14"/>
  <c r="AR51" i="14"/>
  <c r="AR53" i="14" s="1"/>
  <c r="Z51" i="14"/>
  <c r="Z53" i="14" s="1"/>
  <c r="T51" i="14"/>
  <c r="T53" i="14" s="1"/>
  <c r="E51" i="14"/>
  <c r="E53" i="14" s="1"/>
  <c r="AD51" i="14"/>
  <c r="AD53" i="14" s="1"/>
  <c r="H51" i="14"/>
  <c r="H53" i="14" s="1"/>
  <c r="S51" i="14"/>
  <c r="AY50" i="14"/>
  <c r="AZ50" i="14" s="1"/>
  <c r="AY49" i="14"/>
  <c r="AZ49" i="14" s="1"/>
  <c r="AY48" i="14"/>
  <c r="AZ48" i="14" s="1"/>
  <c r="AY47" i="14"/>
  <c r="AZ47" i="14" s="1"/>
  <c r="AY46" i="14"/>
  <c r="AZ46" i="14" s="1"/>
  <c r="AY45" i="14"/>
  <c r="AZ45" i="14" s="1"/>
  <c r="AY44" i="14"/>
  <c r="AZ44" i="14" s="1"/>
  <c r="AY43" i="14"/>
  <c r="AZ43" i="14" s="1"/>
  <c r="AY42" i="14"/>
  <c r="AZ42" i="14" s="1"/>
  <c r="AY41" i="14"/>
  <c r="AZ41" i="14" s="1"/>
  <c r="AY40" i="14"/>
  <c r="AZ40" i="14" s="1"/>
  <c r="AY39" i="14"/>
  <c r="AZ39" i="14" s="1"/>
  <c r="AY38" i="14"/>
  <c r="AZ38" i="14" s="1"/>
  <c r="AY37" i="14"/>
  <c r="AZ37" i="14" s="1"/>
  <c r="AY36" i="14"/>
  <c r="AZ36" i="14" s="1"/>
  <c r="AY35" i="14"/>
  <c r="AZ35" i="14" s="1"/>
  <c r="AY34" i="14"/>
  <c r="AZ34" i="14" s="1"/>
  <c r="AY33" i="14"/>
  <c r="AZ33" i="14" s="1"/>
  <c r="AY32" i="14"/>
  <c r="AZ32" i="14" s="1"/>
  <c r="G28" i="14"/>
  <c r="G88" i="14" s="1"/>
  <c r="O28" i="14"/>
  <c r="O88" i="14" s="1"/>
  <c r="Y28" i="14"/>
  <c r="Q28" i="14"/>
  <c r="AQ28" i="14"/>
  <c r="AQ88" i="14" s="1"/>
  <c r="AT28" i="14"/>
  <c r="M28" i="14"/>
  <c r="AC28" i="14"/>
  <c r="AC88" i="14" s="1"/>
  <c r="I28" i="14"/>
  <c r="AL28" i="14"/>
  <c r="N28" i="14"/>
  <c r="AJ28" i="14"/>
  <c r="X28" i="14"/>
  <c r="X88" i="14" s="1"/>
  <c r="AN28" i="14"/>
  <c r="AN88" i="14" s="1"/>
  <c r="AP28" i="14"/>
  <c r="AO28" i="14"/>
  <c r="AM28" i="14"/>
  <c r="AM88" i="14" s="1"/>
  <c r="L28" i="14"/>
  <c r="AF28" i="14"/>
  <c r="AK28" i="14"/>
  <c r="AK88" i="14" s="1"/>
  <c r="J28" i="14"/>
  <c r="W28" i="14"/>
  <c r="P28" i="14"/>
  <c r="AB28" i="14"/>
  <c r="AA28" i="14"/>
  <c r="AA88" i="14" s="1"/>
  <c r="U28" i="14"/>
  <c r="U88" i="14" s="1"/>
  <c r="AS28" i="14"/>
  <c r="AE28" i="14"/>
  <c r="AI28" i="14"/>
  <c r="AI88" i="14" s="1"/>
  <c r="AV28" i="14"/>
  <c r="AH28" i="14"/>
  <c r="D28" i="14"/>
  <c r="D88" i="14" s="1"/>
  <c r="R28" i="14"/>
  <c r="AU28" i="14"/>
  <c r="AX28" i="14"/>
  <c r="C28" i="14"/>
  <c r="AW28" i="14"/>
  <c r="AW88" i="14" s="1"/>
  <c r="F28" i="14"/>
  <c r="F88" i="14" s="1"/>
  <c r="AG28" i="14"/>
  <c r="V28" i="14"/>
  <c r="K28" i="14"/>
  <c r="K88" i="14" s="1"/>
  <c r="AR28" i="14"/>
  <c r="Z28" i="14"/>
  <c r="T28" i="14"/>
  <c r="T88" i="14" s="1"/>
  <c r="E28" i="14"/>
  <c r="AD28" i="14"/>
  <c r="H28" i="14"/>
  <c r="S28" i="14"/>
  <c r="G27" i="14"/>
  <c r="G87" i="14" s="1"/>
  <c r="O27" i="14"/>
  <c r="O87" i="14" s="1"/>
  <c r="Y27" i="14"/>
  <c r="Q27" i="14"/>
  <c r="AQ27" i="14"/>
  <c r="AQ87" i="14" s="1"/>
  <c r="AT27" i="14"/>
  <c r="AT29" i="14" s="1"/>
  <c r="M27" i="14"/>
  <c r="M29" i="14" s="1"/>
  <c r="AC27" i="14"/>
  <c r="AC29" i="14" s="1"/>
  <c r="AC89" i="14" s="1"/>
  <c r="I27" i="14"/>
  <c r="I29" i="14" s="1"/>
  <c r="AL27" i="14"/>
  <c r="AL29" i="14" s="1"/>
  <c r="N27" i="14"/>
  <c r="AJ27" i="14"/>
  <c r="X27" i="14"/>
  <c r="X87" i="14" s="1"/>
  <c r="AN27" i="14"/>
  <c r="AN87" i="14" s="1"/>
  <c r="AP27" i="14"/>
  <c r="AO27" i="14"/>
  <c r="AM27" i="14"/>
  <c r="AM87" i="14" s="1"/>
  <c r="L27" i="14"/>
  <c r="L29" i="14" s="1"/>
  <c r="AF27" i="14"/>
  <c r="AF29" i="14" s="1"/>
  <c r="AK27" i="14"/>
  <c r="AK29" i="14" s="1"/>
  <c r="AK89" i="14" s="1"/>
  <c r="J27" i="14"/>
  <c r="J29" i="14" s="1"/>
  <c r="W27" i="14"/>
  <c r="W29" i="14" s="1"/>
  <c r="P27" i="14"/>
  <c r="P29" i="14" s="1"/>
  <c r="AB27" i="14"/>
  <c r="AA27" i="14"/>
  <c r="AA87" i="14" s="1"/>
  <c r="U27" i="14"/>
  <c r="U87" i="14" s="1"/>
  <c r="AS27" i="14"/>
  <c r="AE27" i="14"/>
  <c r="AI27" i="14"/>
  <c r="AI87" i="14" s="1"/>
  <c r="AV27" i="14"/>
  <c r="AV29" i="14" s="1"/>
  <c r="AH27" i="14"/>
  <c r="AH29" i="14" s="1"/>
  <c r="D27" i="14"/>
  <c r="D29" i="14" s="1"/>
  <c r="D89" i="14" s="1"/>
  <c r="R27" i="14"/>
  <c r="R29" i="14" s="1"/>
  <c r="AU27" i="14"/>
  <c r="AU29" i="14" s="1"/>
  <c r="AX27" i="14"/>
  <c r="AX29" i="14" s="1"/>
  <c r="C27" i="14"/>
  <c r="AW27" i="14"/>
  <c r="AW87" i="14" s="1"/>
  <c r="F27" i="14"/>
  <c r="F87" i="14" s="1"/>
  <c r="AG27" i="14"/>
  <c r="V27" i="14"/>
  <c r="K27" i="14"/>
  <c r="K87" i="14" s="1"/>
  <c r="AR27" i="14"/>
  <c r="AR29" i="14" s="1"/>
  <c r="Z27" i="14"/>
  <c r="Z29" i="14" s="1"/>
  <c r="T27" i="14"/>
  <c r="T29" i="14" s="1"/>
  <c r="T89" i="14" s="1"/>
  <c r="E27" i="14"/>
  <c r="E29" i="14" s="1"/>
  <c r="AD27" i="14"/>
  <c r="AD29" i="14" s="1"/>
  <c r="H27" i="14"/>
  <c r="H29" i="14" s="1"/>
  <c r="S27" i="14"/>
  <c r="AY26" i="14" a="1"/>
  <c r="AY26" i="14" s="1"/>
  <c r="AZ26" i="14" s="1"/>
  <c r="AY25" i="14" a="1"/>
  <c r="AY25" i="14" s="1"/>
  <c r="AZ25" i="14" s="1"/>
  <c r="AY24" i="14" a="1"/>
  <c r="AY24" i="14" s="1"/>
  <c r="AZ24" i="14" s="1"/>
  <c r="AY23" i="14" a="1"/>
  <c r="AY23" i="14" s="1"/>
  <c r="AZ23" i="14" s="1"/>
  <c r="AY22" i="14" a="1"/>
  <c r="AY22" i="14" s="1"/>
  <c r="AZ22" i="14" s="1"/>
  <c r="AY21" i="14" a="1"/>
  <c r="AY21" i="14" s="1"/>
  <c r="AZ21" i="14" s="1"/>
  <c r="AY20" i="14" a="1"/>
  <c r="AY20" i="14" s="1"/>
  <c r="AZ20" i="14" s="1"/>
  <c r="AY19" i="14" a="1"/>
  <c r="AY19" i="14" s="1"/>
  <c r="AZ19" i="14" s="1"/>
  <c r="AZ18" i="14"/>
  <c r="AY17" i="14"/>
  <c r="AZ17" i="14" s="1"/>
  <c r="AY16" i="14"/>
  <c r="AZ16" i="14" s="1"/>
  <c r="AZ15" i="14"/>
  <c r="AY14" i="14" a="1"/>
  <c r="AY14" i="14" s="1"/>
  <c r="AZ14" i="14" s="1"/>
  <c r="AY13" i="14" a="1"/>
  <c r="AY13" i="14" s="1"/>
  <c r="AZ13" i="14" s="1"/>
  <c r="AZ12" i="14"/>
  <c r="AY11" i="14" a="1"/>
  <c r="AY11" i="14" s="1"/>
  <c r="AZ11" i="14" s="1"/>
  <c r="AY10" i="14" a="1"/>
  <c r="AY10" i="14" s="1"/>
  <c r="C95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T84" i="13" s="1"/>
  <c r="S83" i="13"/>
  <c r="S85" i="13" s="1"/>
  <c r="R83" i="13"/>
  <c r="R85" i="13" s="1"/>
  <c r="Q83" i="13"/>
  <c r="Q85" i="13" s="1"/>
  <c r="P83" i="13"/>
  <c r="P85" i="13" s="1"/>
  <c r="O83" i="13"/>
  <c r="N83" i="13"/>
  <c r="M83" i="13"/>
  <c r="L83" i="13"/>
  <c r="K83" i="13"/>
  <c r="J83" i="13"/>
  <c r="J85" i="13" s="1"/>
  <c r="I83" i="13"/>
  <c r="I85" i="13" s="1"/>
  <c r="H83" i="13"/>
  <c r="H85" i="13" s="1"/>
  <c r="G83" i="13"/>
  <c r="G85" i="13" s="1"/>
  <c r="F83" i="13"/>
  <c r="F85" i="13" s="1"/>
  <c r="E83" i="13"/>
  <c r="E85" i="13" s="1"/>
  <c r="D83" i="13"/>
  <c r="D85" i="13" s="1"/>
  <c r="C83" i="13"/>
  <c r="T82" i="13"/>
  <c r="U82" i="13" s="1"/>
  <c r="T81" i="13"/>
  <c r="U81" i="13" s="1"/>
  <c r="T80" i="13"/>
  <c r="U80" i="13" s="1"/>
  <c r="T79" i="13"/>
  <c r="U79" i="13" s="1"/>
  <c r="T78" i="13"/>
  <c r="U78" i="13" s="1"/>
  <c r="T77" i="13"/>
  <c r="U77" i="13" s="1"/>
  <c r="T76" i="13"/>
  <c r="U76" i="13" s="1"/>
  <c r="T75" i="13"/>
  <c r="U75" i="13" s="1"/>
  <c r="T74" i="13"/>
  <c r="U74" i="13" s="1"/>
  <c r="T73" i="13"/>
  <c r="U73" i="13" s="1"/>
  <c r="T72" i="13"/>
  <c r="U72" i="13" s="1"/>
  <c r="T71" i="13"/>
  <c r="U71" i="13" s="1"/>
  <c r="T70" i="13"/>
  <c r="U70" i="13" s="1"/>
  <c r="T69" i="13"/>
  <c r="U69" i="13" s="1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T65" i="13" s="1"/>
  <c r="S64" i="13"/>
  <c r="R64" i="13"/>
  <c r="R66" i="13" s="1"/>
  <c r="Q64" i="13"/>
  <c r="Q66" i="13" s="1"/>
  <c r="P64" i="13"/>
  <c r="P66" i="13" s="1"/>
  <c r="O64" i="13"/>
  <c r="O66" i="13" s="1"/>
  <c r="N64" i="13"/>
  <c r="M64" i="13"/>
  <c r="L64" i="13"/>
  <c r="K64" i="13"/>
  <c r="J64" i="13"/>
  <c r="J66" i="13" s="1"/>
  <c r="I64" i="13"/>
  <c r="I66" i="13" s="1"/>
  <c r="H64" i="13"/>
  <c r="G64" i="13"/>
  <c r="F64" i="13"/>
  <c r="F66" i="13" s="1"/>
  <c r="E64" i="13"/>
  <c r="E66" i="13" s="1"/>
  <c r="D64" i="13"/>
  <c r="D66" i="13" s="1"/>
  <c r="C64" i="13"/>
  <c r="C66" i="13" s="1"/>
  <c r="T63" i="13"/>
  <c r="U63" i="13" s="1"/>
  <c r="T62" i="13"/>
  <c r="U62" i="13" s="1"/>
  <c r="T61" i="13"/>
  <c r="U61" i="13" s="1"/>
  <c r="T60" i="13"/>
  <c r="U60" i="13" s="1"/>
  <c r="T59" i="13"/>
  <c r="U59" i="13" s="1"/>
  <c r="T58" i="13"/>
  <c r="U58" i="13" s="1"/>
  <c r="T57" i="13"/>
  <c r="U57" i="13" s="1"/>
  <c r="T56" i="13"/>
  <c r="U56" i="13" s="1"/>
  <c r="T55" i="13"/>
  <c r="U55" i="13" s="1"/>
  <c r="T54" i="13"/>
  <c r="U54" i="13" s="1"/>
  <c r="T53" i="13"/>
  <c r="U53" i="13" s="1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T49" i="13" s="1"/>
  <c r="S48" i="13"/>
  <c r="R48" i="13"/>
  <c r="Q48" i="13"/>
  <c r="P48" i="13"/>
  <c r="P50" i="13" s="1"/>
  <c r="O48" i="13"/>
  <c r="O50" i="13" s="1"/>
  <c r="N48" i="13"/>
  <c r="M48" i="13"/>
  <c r="M50" i="13" s="1"/>
  <c r="L48" i="13"/>
  <c r="L50" i="13" s="1"/>
  <c r="K48" i="13"/>
  <c r="J48" i="13"/>
  <c r="I48" i="13"/>
  <c r="H48" i="13"/>
  <c r="G48" i="13"/>
  <c r="F48" i="13"/>
  <c r="E48" i="13"/>
  <c r="D48" i="13"/>
  <c r="D50" i="13" s="1"/>
  <c r="C48" i="13"/>
  <c r="C50" i="13" s="1"/>
  <c r="T47" i="13"/>
  <c r="U47" i="13" s="1"/>
  <c r="T46" i="13"/>
  <c r="U46" i="13" s="1"/>
  <c r="T45" i="13"/>
  <c r="U45" i="13" s="1"/>
  <c r="T44" i="13"/>
  <c r="U44" i="13" s="1"/>
  <c r="T43" i="13"/>
  <c r="U43" i="13" s="1"/>
  <c r="T42" i="13"/>
  <c r="U42" i="13" s="1"/>
  <c r="T41" i="13"/>
  <c r="U41" i="13" s="1"/>
  <c r="T40" i="13"/>
  <c r="U40" i="13" s="1"/>
  <c r="T39" i="13"/>
  <c r="U39" i="13" s="1"/>
  <c r="T38" i="13"/>
  <c r="U38" i="13" s="1"/>
  <c r="T37" i="13"/>
  <c r="U37" i="13" s="1"/>
  <c r="T36" i="13"/>
  <c r="U36" i="13" s="1"/>
  <c r="T35" i="13"/>
  <c r="U35" i="13" s="1"/>
  <c r="T34" i="13"/>
  <c r="U34" i="13" s="1"/>
  <c r="T33" i="13"/>
  <c r="U33" i="13" s="1"/>
  <c r="S29" i="13"/>
  <c r="R29" i="13"/>
  <c r="Q29" i="13"/>
  <c r="P29" i="13"/>
  <c r="O29" i="13"/>
  <c r="N29" i="13"/>
  <c r="N87" i="13" s="1"/>
  <c r="M29" i="13"/>
  <c r="L29" i="13"/>
  <c r="K29" i="13"/>
  <c r="J29" i="13"/>
  <c r="J87" i="13" s="1"/>
  <c r="I29" i="13"/>
  <c r="I87" i="13" s="1"/>
  <c r="H29" i="13"/>
  <c r="G29" i="13"/>
  <c r="F29" i="13"/>
  <c r="E29" i="13"/>
  <c r="D29" i="13"/>
  <c r="C29" i="13"/>
  <c r="S28" i="13"/>
  <c r="S30" i="13" s="1"/>
  <c r="R28" i="13"/>
  <c r="Q28" i="13"/>
  <c r="Q30" i="13" s="1"/>
  <c r="P28" i="13"/>
  <c r="O28" i="13"/>
  <c r="O30" i="13" s="1"/>
  <c r="N28" i="13"/>
  <c r="N30" i="13" s="1"/>
  <c r="M28" i="13"/>
  <c r="L28" i="13"/>
  <c r="K28" i="13"/>
  <c r="J28" i="13"/>
  <c r="I28" i="13"/>
  <c r="H28" i="13"/>
  <c r="G28" i="13"/>
  <c r="G30" i="13" s="1"/>
  <c r="F28" i="13"/>
  <c r="E28" i="13"/>
  <c r="E30" i="13" s="1"/>
  <c r="D28" i="13"/>
  <c r="C28" i="13"/>
  <c r="C30" i="13" s="1"/>
  <c r="T27" i="13"/>
  <c r="U27" i="13" s="1"/>
  <c r="T26" i="13"/>
  <c r="U26" i="13" s="1"/>
  <c r="T25" i="13"/>
  <c r="U25" i="13" s="1"/>
  <c r="T24" i="13"/>
  <c r="U24" i="13" s="1"/>
  <c r="T23" i="13"/>
  <c r="U23" i="13" s="1"/>
  <c r="T22" i="13"/>
  <c r="U22" i="13" s="1"/>
  <c r="T21" i="13"/>
  <c r="U21" i="13" s="1"/>
  <c r="T20" i="13"/>
  <c r="U20" i="13" s="1"/>
  <c r="T19" i="13"/>
  <c r="U19" i="13" s="1"/>
  <c r="T18" i="13"/>
  <c r="U18" i="13" s="1"/>
  <c r="T17" i="13"/>
  <c r="U17" i="13" s="1"/>
  <c r="T15" i="13" a="1"/>
  <c r="T15" i="13" s="1"/>
  <c r="U15" i="13" s="1"/>
  <c r="T14" i="13" a="1"/>
  <c r="T14" i="13" s="1"/>
  <c r="U14" i="13" s="1"/>
  <c r="T12" i="13" a="1"/>
  <c r="T12" i="13" s="1"/>
  <c r="U12" i="13" s="1"/>
  <c r="T11" i="13" a="1"/>
  <c r="T11" i="13" s="1"/>
  <c r="U11" i="13" s="1"/>
  <c r="H91" i="12"/>
  <c r="G91" i="12"/>
  <c r="F91" i="12"/>
  <c r="E91" i="12"/>
  <c r="D91" i="12"/>
  <c r="C91" i="12"/>
  <c r="L91" i="12" s="1"/>
  <c r="H90" i="12"/>
  <c r="G90" i="12"/>
  <c r="F90" i="12"/>
  <c r="E90" i="12"/>
  <c r="D90" i="12"/>
  <c r="C90" i="12"/>
  <c r="L90" i="12" s="1"/>
  <c r="H84" i="12"/>
  <c r="G84" i="12"/>
  <c r="F84" i="12"/>
  <c r="E84" i="12"/>
  <c r="D84" i="12"/>
  <c r="C84" i="12"/>
  <c r="L84" i="12" s="1"/>
  <c r="H83" i="12"/>
  <c r="G83" i="12"/>
  <c r="F83" i="12"/>
  <c r="E83" i="12"/>
  <c r="D83" i="12"/>
  <c r="C83" i="12"/>
  <c r="L83" i="12" s="1"/>
  <c r="H65" i="12"/>
  <c r="G65" i="12"/>
  <c r="F65" i="12"/>
  <c r="E65" i="12"/>
  <c r="D65" i="12"/>
  <c r="C65" i="12"/>
  <c r="L65" i="12" s="1"/>
  <c r="H64" i="12"/>
  <c r="G64" i="12"/>
  <c r="F64" i="12"/>
  <c r="F66" i="12" s="1"/>
  <c r="E64" i="12"/>
  <c r="D64" i="12"/>
  <c r="D66" i="12" s="1"/>
  <c r="C64" i="12"/>
  <c r="L64" i="12" s="1"/>
  <c r="H49" i="12"/>
  <c r="G49" i="12"/>
  <c r="F49" i="12"/>
  <c r="E49" i="12"/>
  <c r="D49" i="12"/>
  <c r="C49" i="12"/>
  <c r="L49" i="12" s="1"/>
  <c r="H48" i="12"/>
  <c r="G48" i="12"/>
  <c r="F48" i="12"/>
  <c r="F50" i="12" s="1"/>
  <c r="E48" i="12"/>
  <c r="D48" i="12"/>
  <c r="C48" i="12"/>
  <c r="L48" i="12" s="1"/>
  <c r="H29" i="12"/>
  <c r="G29" i="12"/>
  <c r="F29" i="12"/>
  <c r="F87" i="12" s="1"/>
  <c r="E29" i="12"/>
  <c r="D29" i="12"/>
  <c r="C29" i="12"/>
  <c r="L29" i="12" s="1"/>
  <c r="H28" i="12"/>
  <c r="G28" i="12"/>
  <c r="F28" i="12"/>
  <c r="E28" i="12"/>
  <c r="D28" i="12"/>
  <c r="C28" i="12"/>
  <c r="L28" i="12" s="1"/>
  <c r="D91" i="4"/>
  <c r="K91" i="4"/>
  <c r="C91" i="4"/>
  <c r="O91" i="4" s="1"/>
  <c r="J91" i="4"/>
  <c r="G91" i="4"/>
  <c r="F91" i="4"/>
  <c r="E91" i="4"/>
  <c r="I91" i="4"/>
  <c r="H91" i="4"/>
  <c r="D90" i="4"/>
  <c r="K90" i="4"/>
  <c r="C90" i="4"/>
  <c r="O90" i="4" s="1"/>
  <c r="J90" i="4"/>
  <c r="G90" i="4"/>
  <c r="F90" i="4"/>
  <c r="E90" i="4"/>
  <c r="I90" i="4"/>
  <c r="H90" i="4"/>
  <c r="D84" i="4"/>
  <c r="K84" i="4"/>
  <c r="C84" i="4"/>
  <c r="O84" i="4" s="1"/>
  <c r="J84" i="4"/>
  <c r="G84" i="4"/>
  <c r="F84" i="4"/>
  <c r="E84" i="4"/>
  <c r="I84" i="4"/>
  <c r="H84" i="4"/>
  <c r="D83" i="4"/>
  <c r="K83" i="4"/>
  <c r="K85" i="4" s="1"/>
  <c r="C83" i="4"/>
  <c r="C85" i="4" s="1"/>
  <c r="J83" i="4"/>
  <c r="G83" i="4"/>
  <c r="F83" i="4"/>
  <c r="F85" i="4" s="1"/>
  <c r="E83" i="4"/>
  <c r="I83" i="4"/>
  <c r="H83" i="4"/>
  <c r="D65" i="4"/>
  <c r="K65" i="4"/>
  <c r="C65" i="4"/>
  <c r="O65" i="4" s="1"/>
  <c r="J65" i="4"/>
  <c r="G65" i="4"/>
  <c r="F65" i="4"/>
  <c r="E65" i="4"/>
  <c r="I65" i="4"/>
  <c r="H65" i="4"/>
  <c r="D64" i="4"/>
  <c r="K64" i="4"/>
  <c r="C64" i="4"/>
  <c r="O64" i="4" s="1"/>
  <c r="J64" i="4"/>
  <c r="G64" i="4"/>
  <c r="F64" i="4"/>
  <c r="E64" i="4"/>
  <c r="I64" i="4"/>
  <c r="H64" i="4"/>
  <c r="D49" i="4"/>
  <c r="K49" i="4"/>
  <c r="C49" i="4"/>
  <c r="O49" i="4" s="1"/>
  <c r="J49" i="4"/>
  <c r="G49" i="4"/>
  <c r="F49" i="4"/>
  <c r="E49" i="4"/>
  <c r="I49" i="4"/>
  <c r="H49" i="4"/>
  <c r="D48" i="4"/>
  <c r="K48" i="4"/>
  <c r="K50" i="4" s="1"/>
  <c r="C48" i="4"/>
  <c r="O48" i="4" s="1"/>
  <c r="J48" i="4"/>
  <c r="G48" i="4"/>
  <c r="F48" i="4"/>
  <c r="F50" i="4" s="1"/>
  <c r="E48" i="4"/>
  <c r="I48" i="4"/>
  <c r="H48" i="4"/>
  <c r="D29" i="4"/>
  <c r="K29" i="4"/>
  <c r="C29" i="4"/>
  <c r="O29" i="4" s="1"/>
  <c r="J29" i="4"/>
  <c r="G29" i="4"/>
  <c r="F29" i="4"/>
  <c r="E29" i="4"/>
  <c r="I29" i="4"/>
  <c r="H29" i="4"/>
  <c r="D28" i="4"/>
  <c r="K28" i="4"/>
  <c r="C28" i="4"/>
  <c r="O28" i="4" s="1"/>
  <c r="J28" i="4"/>
  <c r="J30" i="4" s="1"/>
  <c r="G28" i="4"/>
  <c r="F28" i="4"/>
  <c r="F30" i="4" s="1"/>
  <c r="E28" i="4"/>
  <c r="I28" i="4"/>
  <c r="H28" i="4"/>
  <c r="I86" i="12" l="1"/>
  <c r="J30" i="12"/>
  <c r="C50" i="12"/>
  <c r="K86" i="12"/>
  <c r="J66" i="12"/>
  <c r="E66" i="12"/>
  <c r="J87" i="12"/>
  <c r="K66" i="12"/>
  <c r="F85" i="12"/>
  <c r="K87" i="12"/>
  <c r="G50" i="12"/>
  <c r="M86" i="4"/>
  <c r="N86" i="4"/>
  <c r="L87" i="4"/>
  <c r="M87" i="4"/>
  <c r="N87" i="4"/>
  <c r="D85" i="4"/>
  <c r="O85" i="4" s="1"/>
  <c r="M85" i="4"/>
  <c r="N30" i="4"/>
  <c r="G66" i="4"/>
  <c r="L50" i="4"/>
  <c r="L92" i="4"/>
  <c r="O92" i="4" s="1"/>
  <c r="O83" i="4"/>
  <c r="U52" i="19"/>
  <c r="F87" i="20"/>
  <c r="P69" i="20"/>
  <c r="H85" i="20"/>
  <c r="M53" i="20"/>
  <c r="M93" i="20"/>
  <c r="E87" i="20"/>
  <c r="F69" i="20"/>
  <c r="R69" i="20"/>
  <c r="N93" i="20"/>
  <c r="M88" i="20"/>
  <c r="N88" i="20"/>
  <c r="C53" i="20"/>
  <c r="O53" i="20"/>
  <c r="K85" i="20"/>
  <c r="C93" i="20"/>
  <c r="O93" i="20"/>
  <c r="Q87" i="20"/>
  <c r="R87" i="20"/>
  <c r="L29" i="20"/>
  <c r="D53" i="20"/>
  <c r="P53" i="20"/>
  <c r="Q89" i="16"/>
  <c r="Q87" i="16"/>
  <c r="P29" i="16"/>
  <c r="P89" i="16" s="1"/>
  <c r="C97" i="16"/>
  <c r="C98" i="16"/>
  <c r="S52" i="16"/>
  <c r="F30" i="13"/>
  <c r="R30" i="13"/>
  <c r="E50" i="13"/>
  <c r="Q50" i="13"/>
  <c r="H66" i="13"/>
  <c r="P87" i="13"/>
  <c r="E87" i="13"/>
  <c r="Q87" i="13"/>
  <c r="L66" i="13"/>
  <c r="K85" i="13"/>
  <c r="T28" i="13"/>
  <c r="D87" i="13"/>
  <c r="T87" i="13" s="1"/>
  <c r="J50" i="13"/>
  <c r="K50" i="13"/>
  <c r="M86" i="13"/>
  <c r="H87" i="13"/>
  <c r="H86" i="12"/>
  <c r="K30" i="12"/>
  <c r="I88" i="12"/>
  <c r="J86" i="12"/>
  <c r="C30" i="12"/>
  <c r="C66" i="12"/>
  <c r="C97" i="13"/>
  <c r="C96" i="13"/>
  <c r="M88" i="4"/>
  <c r="N88" i="4"/>
  <c r="L86" i="4"/>
  <c r="L88" i="4" s="1"/>
  <c r="G53" i="20"/>
  <c r="D93" i="20"/>
  <c r="F85" i="20"/>
  <c r="R85" i="20"/>
  <c r="N53" i="20"/>
  <c r="G69" i="20"/>
  <c r="P93" i="20"/>
  <c r="E53" i="20"/>
  <c r="Q53" i="20"/>
  <c r="J69" i="20"/>
  <c r="E88" i="20"/>
  <c r="Q88" i="20"/>
  <c r="C29" i="20"/>
  <c r="O29" i="20"/>
  <c r="L53" i="20"/>
  <c r="E69" i="20"/>
  <c r="S69" i="20" s="1"/>
  <c r="Q69" i="20"/>
  <c r="C98" i="20"/>
  <c r="D87" i="20"/>
  <c r="P87" i="20"/>
  <c r="L88" i="20"/>
  <c r="G87" i="20"/>
  <c r="C88" i="20"/>
  <c r="O88" i="20"/>
  <c r="D88" i="20"/>
  <c r="P88" i="20"/>
  <c r="I29" i="20"/>
  <c r="K69" i="20"/>
  <c r="C85" i="20"/>
  <c r="O85" i="20"/>
  <c r="G93" i="20"/>
  <c r="J29" i="20"/>
  <c r="L69" i="20"/>
  <c r="D85" i="20"/>
  <c r="P85" i="20"/>
  <c r="H93" i="20"/>
  <c r="K29" i="20"/>
  <c r="G88" i="20"/>
  <c r="H53" i="20"/>
  <c r="M69" i="20"/>
  <c r="E85" i="20"/>
  <c r="Q85" i="20"/>
  <c r="F88" i="20"/>
  <c r="R88" i="20"/>
  <c r="I85" i="20"/>
  <c r="C97" i="20"/>
  <c r="M29" i="20"/>
  <c r="H88" i="20"/>
  <c r="F53" i="20"/>
  <c r="R53" i="20"/>
  <c r="H69" i="20"/>
  <c r="J85" i="20"/>
  <c r="I93" i="20"/>
  <c r="N87" i="20"/>
  <c r="I88" i="20"/>
  <c r="I69" i="20"/>
  <c r="J93" i="20"/>
  <c r="C87" i="20"/>
  <c r="O87" i="20"/>
  <c r="J88" i="20"/>
  <c r="L85" i="20"/>
  <c r="K88" i="20"/>
  <c r="I87" i="20"/>
  <c r="T67" i="20"/>
  <c r="T51" i="20"/>
  <c r="T52" i="20"/>
  <c r="T68" i="20"/>
  <c r="T83" i="20"/>
  <c r="T84" i="20"/>
  <c r="T28" i="20"/>
  <c r="N29" i="20"/>
  <c r="N89" i="20" s="1"/>
  <c r="H87" i="20"/>
  <c r="D29" i="20"/>
  <c r="P29" i="20"/>
  <c r="J87" i="20"/>
  <c r="E29" i="20"/>
  <c r="Q29" i="20"/>
  <c r="K87" i="20"/>
  <c r="F29" i="20"/>
  <c r="R29" i="20"/>
  <c r="L87" i="20"/>
  <c r="G29" i="20"/>
  <c r="M87" i="20"/>
  <c r="C29" i="19"/>
  <c r="O29" i="19"/>
  <c r="G53" i="19"/>
  <c r="S53" i="19"/>
  <c r="H85" i="19"/>
  <c r="D93" i="19"/>
  <c r="P93" i="19"/>
  <c r="H87" i="19"/>
  <c r="N88" i="19"/>
  <c r="M85" i="19"/>
  <c r="I87" i="19"/>
  <c r="C88" i="19"/>
  <c r="O88" i="19"/>
  <c r="J87" i="19"/>
  <c r="D88" i="19"/>
  <c r="P88" i="19"/>
  <c r="N53" i="19"/>
  <c r="N89" i="19" s="1"/>
  <c r="C69" i="19"/>
  <c r="O69" i="19"/>
  <c r="C85" i="19"/>
  <c r="O85" i="19"/>
  <c r="K93" i="19"/>
  <c r="K87" i="19"/>
  <c r="E88" i="19"/>
  <c r="Q88" i="19"/>
  <c r="N87" i="19"/>
  <c r="D53" i="19"/>
  <c r="P53" i="19"/>
  <c r="E69" i="19"/>
  <c r="Q69" i="19"/>
  <c r="Q89" i="19" s="1"/>
  <c r="E85" i="19"/>
  <c r="E89" i="19" s="1"/>
  <c r="Q85" i="19"/>
  <c r="M89" i="19"/>
  <c r="F85" i="19"/>
  <c r="F89" i="19" s="1"/>
  <c r="R85" i="19"/>
  <c r="C97" i="19"/>
  <c r="H29" i="19"/>
  <c r="H89" i="19" s="1"/>
  <c r="U27" i="19"/>
  <c r="R89" i="19"/>
  <c r="U28" i="19"/>
  <c r="U29" i="19" s="1"/>
  <c r="U83" i="19"/>
  <c r="U84" i="19"/>
  <c r="U67" i="19"/>
  <c r="D89" i="19"/>
  <c r="P89" i="19"/>
  <c r="U51" i="19"/>
  <c r="U53" i="19" s="1"/>
  <c r="U68" i="19"/>
  <c r="G29" i="19"/>
  <c r="G89" i="19" s="1"/>
  <c r="S29" i="19"/>
  <c r="S89" i="19" s="1"/>
  <c r="M87" i="19"/>
  <c r="I29" i="19"/>
  <c r="I89" i="19" s="1"/>
  <c r="C87" i="19"/>
  <c r="O87" i="19"/>
  <c r="J29" i="19"/>
  <c r="J89" i="19" s="1"/>
  <c r="D87" i="19"/>
  <c r="P87" i="19"/>
  <c r="K29" i="19"/>
  <c r="K89" i="19" s="1"/>
  <c r="E87" i="19"/>
  <c r="Q87" i="19"/>
  <c r="L29" i="19"/>
  <c r="L89" i="19" s="1"/>
  <c r="F87" i="19"/>
  <c r="R87" i="19"/>
  <c r="S83" i="16"/>
  <c r="S84" i="16"/>
  <c r="S27" i="16"/>
  <c r="S51" i="16"/>
  <c r="S53" i="16" s="1"/>
  <c r="S28" i="16"/>
  <c r="I89" i="16"/>
  <c r="S67" i="16"/>
  <c r="S68" i="16"/>
  <c r="J29" i="16"/>
  <c r="J89" i="16" s="1"/>
  <c r="D87" i="16"/>
  <c r="L29" i="16"/>
  <c r="L89" i="16" s="1"/>
  <c r="F87" i="16"/>
  <c r="N29" i="16"/>
  <c r="N89" i="16" s="1"/>
  <c r="H87" i="16"/>
  <c r="G87" i="16"/>
  <c r="E88" i="16"/>
  <c r="C29" i="16"/>
  <c r="O29" i="16"/>
  <c r="O89" i="16" s="1"/>
  <c r="C69" i="16"/>
  <c r="I87" i="16"/>
  <c r="C93" i="16"/>
  <c r="M29" i="16"/>
  <c r="M89" i="16" s="1"/>
  <c r="AR85" i="15"/>
  <c r="AN86" i="15"/>
  <c r="V30" i="15"/>
  <c r="L87" i="15"/>
  <c r="G87" i="15"/>
  <c r="AI87" i="15"/>
  <c r="AO87" i="15"/>
  <c r="H87" i="15"/>
  <c r="J87" i="15"/>
  <c r="AD87" i="15"/>
  <c r="AP87" i="15"/>
  <c r="M88" i="15"/>
  <c r="R85" i="15"/>
  <c r="AJ85" i="15"/>
  <c r="D85" i="15"/>
  <c r="AC88" i="15"/>
  <c r="AH88" i="15"/>
  <c r="U88" i="15"/>
  <c r="AR48" i="15"/>
  <c r="AQ83" i="15"/>
  <c r="AQ84" i="15"/>
  <c r="W86" i="15"/>
  <c r="W88" i="15" s="1"/>
  <c r="N86" i="15"/>
  <c r="N88" i="15" s="1"/>
  <c r="AM86" i="15"/>
  <c r="AM88" i="15" s="1"/>
  <c r="AA87" i="15"/>
  <c r="T87" i="15"/>
  <c r="AL87" i="15"/>
  <c r="M87" i="15"/>
  <c r="P87" i="15"/>
  <c r="P88" i="15" s="1"/>
  <c r="AQ65" i="15"/>
  <c r="AQ90" i="15"/>
  <c r="C97" i="15"/>
  <c r="F30" i="15"/>
  <c r="S30" i="15"/>
  <c r="AE30" i="15"/>
  <c r="AC87" i="15"/>
  <c r="AH87" i="15"/>
  <c r="U87" i="15"/>
  <c r="AQ48" i="15"/>
  <c r="G50" i="15"/>
  <c r="AI50" i="15"/>
  <c r="AO50" i="15"/>
  <c r="AA66" i="15"/>
  <c r="T66" i="15"/>
  <c r="AL66" i="15"/>
  <c r="AC85" i="15"/>
  <c r="AH85" i="15"/>
  <c r="U85" i="15"/>
  <c r="AQ28" i="15"/>
  <c r="G30" i="15"/>
  <c r="AI30" i="15"/>
  <c r="AO30" i="15"/>
  <c r="H50" i="15"/>
  <c r="J50" i="15"/>
  <c r="AD50" i="15"/>
  <c r="AP50" i="15"/>
  <c r="AB66" i="15"/>
  <c r="M66" i="15"/>
  <c r="AQ66" i="15" s="1"/>
  <c r="P66" i="15"/>
  <c r="I85" i="15"/>
  <c r="C85" i="15"/>
  <c r="O85" i="15"/>
  <c r="E86" i="15"/>
  <c r="E88" i="15" s="1"/>
  <c r="K86" i="15"/>
  <c r="K88" i="15" s="1"/>
  <c r="AN88" i="15"/>
  <c r="AQ87" i="15"/>
  <c r="AR64" i="15"/>
  <c r="AR86" i="15"/>
  <c r="AR65" i="15"/>
  <c r="AR49" i="15"/>
  <c r="AR29" i="15"/>
  <c r="AC30" i="15"/>
  <c r="AH30" i="15"/>
  <c r="U30" i="15"/>
  <c r="F86" i="15"/>
  <c r="F88" i="15" s="1"/>
  <c r="S86" i="15"/>
  <c r="S88" i="15" s="1"/>
  <c r="AE86" i="15"/>
  <c r="AE88" i="15" s="1"/>
  <c r="I30" i="15"/>
  <c r="C30" i="15"/>
  <c r="O30" i="15"/>
  <c r="AQ64" i="15"/>
  <c r="L86" i="15"/>
  <c r="G86" i="15"/>
  <c r="G88" i="15" s="1"/>
  <c r="AI86" i="15"/>
  <c r="AI88" i="15" s="1"/>
  <c r="AO86" i="15"/>
  <c r="AO88" i="15" s="1"/>
  <c r="W30" i="15"/>
  <c r="N30" i="15"/>
  <c r="AM30" i="15"/>
  <c r="H86" i="15"/>
  <c r="H88" i="15" s="1"/>
  <c r="J86" i="15"/>
  <c r="J88" i="15" s="1"/>
  <c r="AD86" i="15"/>
  <c r="AD88" i="15" s="1"/>
  <c r="AP86" i="15"/>
  <c r="AQ29" i="15"/>
  <c r="Z86" i="15"/>
  <c r="Z88" i="15" s="1"/>
  <c r="R86" i="15"/>
  <c r="R88" i="15" s="1"/>
  <c r="AJ86" i="15"/>
  <c r="AJ88" i="15" s="1"/>
  <c r="D86" i="15"/>
  <c r="D88" i="15" s="1"/>
  <c r="M30" i="15"/>
  <c r="AG85" i="15"/>
  <c r="Q86" i="15"/>
  <c r="Q88" i="15" s="1"/>
  <c r="X86" i="15"/>
  <c r="X88" i="15" s="1"/>
  <c r="Y86" i="15"/>
  <c r="Y88" i="15" s="1"/>
  <c r="AF86" i="15"/>
  <c r="AF88" i="15" s="1"/>
  <c r="AQ91" i="15"/>
  <c r="L30" i="15"/>
  <c r="L50" i="15"/>
  <c r="V86" i="15"/>
  <c r="V88" i="15" s="1"/>
  <c r="AG86" i="15"/>
  <c r="AG88" i="15" s="1"/>
  <c r="AK86" i="15"/>
  <c r="AK88" i="15" s="1"/>
  <c r="L92" i="15"/>
  <c r="AB30" i="15"/>
  <c r="AA86" i="15"/>
  <c r="AA88" i="15" s="1"/>
  <c r="T86" i="15"/>
  <c r="T88" i="15" s="1"/>
  <c r="AL86" i="15"/>
  <c r="AL88" i="15" s="1"/>
  <c r="P30" i="15"/>
  <c r="AL93" i="14"/>
  <c r="P85" i="14"/>
  <c r="W53" i="14"/>
  <c r="N85" i="14"/>
  <c r="N29" i="14"/>
  <c r="AU53" i="14"/>
  <c r="AU93" i="14"/>
  <c r="J85" i="14"/>
  <c r="AI29" i="14"/>
  <c r="AI89" i="14" s="1"/>
  <c r="H88" i="14"/>
  <c r="AX88" i="14"/>
  <c r="P88" i="14"/>
  <c r="N88" i="14"/>
  <c r="AM29" i="14"/>
  <c r="R69" i="14"/>
  <c r="V87" i="14"/>
  <c r="AE87" i="14"/>
  <c r="AO87" i="14"/>
  <c r="Q87" i="14"/>
  <c r="V88" i="14"/>
  <c r="AE88" i="14"/>
  <c r="AO88" i="14"/>
  <c r="Q88" i="14"/>
  <c r="AY84" i="14"/>
  <c r="AG87" i="14"/>
  <c r="AS87" i="14"/>
  <c r="AP87" i="14"/>
  <c r="Y87" i="14"/>
  <c r="AG88" i="14"/>
  <c r="AS88" i="14"/>
  <c r="AP88" i="14"/>
  <c r="Y88" i="14"/>
  <c r="AZ68" i="14"/>
  <c r="AU89" i="14"/>
  <c r="AL89" i="14"/>
  <c r="AU88" i="14"/>
  <c r="AL88" i="14"/>
  <c r="E69" i="14"/>
  <c r="E89" i="14" s="1"/>
  <c r="J69" i="14"/>
  <c r="I69" i="14"/>
  <c r="I89" i="14" s="1"/>
  <c r="AX87" i="14"/>
  <c r="AD89" i="14"/>
  <c r="W89" i="14"/>
  <c r="AD88" i="14"/>
  <c r="W88" i="14"/>
  <c r="E88" i="14"/>
  <c r="R88" i="14"/>
  <c r="J88" i="14"/>
  <c r="I88" i="14"/>
  <c r="AQ29" i="14"/>
  <c r="K53" i="14"/>
  <c r="AI53" i="14"/>
  <c r="AM53" i="14"/>
  <c r="AM89" i="14" s="1"/>
  <c r="AQ53" i="14"/>
  <c r="AQ89" i="14" s="1"/>
  <c r="P87" i="14"/>
  <c r="H87" i="14"/>
  <c r="AZ51" i="14"/>
  <c r="N87" i="14"/>
  <c r="Z89" i="14"/>
  <c r="AH89" i="14"/>
  <c r="AF89" i="14"/>
  <c r="M89" i="14"/>
  <c r="Z88" i="14"/>
  <c r="AH88" i="14"/>
  <c r="AF88" i="14"/>
  <c r="M88" i="14"/>
  <c r="AZ52" i="14"/>
  <c r="T93" i="14"/>
  <c r="AR89" i="14"/>
  <c r="AV89" i="14"/>
  <c r="L89" i="14"/>
  <c r="AT89" i="14"/>
  <c r="AR88" i="14"/>
  <c r="AV88" i="14"/>
  <c r="L88" i="14"/>
  <c r="AT88" i="14"/>
  <c r="AK93" i="14"/>
  <c r="AY51" i="14"/>
  <c r="AY52" i="14"/>
  <c r="AZ67" i="14"/>
  <c r="C97" i="14"/>
  <c r="C98" i="14"/>
  <c r="D93" i="14"/>
  <c r="AY68" i="14"/>
  <c r="AC93" i="14"/>
  <c r="S87" i="14"/>
  <c r="C87" i="14"/>
  <c r="AB87" i="14"/>
  <c r="AJ87" i="14"/>
  <c r="AY28" i="14"/>
  <c r="C88" i="14"/>
  <c r="AB88" i="14"/>
  <c r="AJ88" i="14"/>
  <c r="K29" i="14"/>
  <c r="K89" i="14" s="1"/>
  <c r="AW85" i="14"/>
  <c r="AA85" i="14"/>
  <c r="X85" i="14"/>
  <c r="G85" i="14"/>
  <c r="H89" i="14"/>
  <c r="AX89" i="14"/>
  <c r="P89" i="14"/>
  <c r="N89" i="14"/>
  <c r="R89" i="14"/>
  <c r="J89" i="14"/>
  <c r="AZ27" i="14"/>
  <c r="AZ28" i="14"/>
  <c r="AY69" i="14"/>
  <c r="AZ83" i="14"/>
  <c r="AZ84" i="14"/>
  <c r="AY27" i="14"/>
  <c r="V29" i="14"/>
  <c r="V89" i="14" s="1"/>
  <c r="AE29" i="14"/>
  <c r="AE89" i="14" s="1"/>
  <c r="AO29" i="14"/>
  <c r="AO89" i="14" s="1"/>
  <c r="Q29" i="14"/>
  <c r="Q89" i="14" s="1"/>
  <c r="S53" i="14"/>
  <c r="AY67" i="14"/>
  <c r="AD87" i="14"/>
  <c r="AU87" i="14"/>
  <c r="W87" i="14"/>
  <c r="AL87" i="14"/>
  <c r="S88" i="14"/>
  <c r="AG29" i="14"/>
  <c r="AG89" i="14" s="1"/>
  <c r="AS29" i="14"/>
  <c r="AS89" i="14" s="1"/>
  <c r="AP29" i="14"/>
  <c r="AP89" i="14" s="1"/>
  <c r="Y29" i="14"/>
  <c r="Y89" i="14" s="1"/>
  <c r="E87" i="14"/>
  <c r="R87" i="14"/>
  <c r="J87" i="14"/>
  <c r="I87" i="14"/>
  <c r="F29" i="14"/>
  <c r="F89" i="14" s="1"/>
  <c r="U29" i="14"/>
  <c r="U89" i="14" s="1"/>
  <c r="AN29" i="14"/>
  <c r="AN89" i="14" s="1"/>
  <c r="O29" i="14"/>
  <c r="O89" i="14" s="1"/>
  <c r="T87" i="14"/>
  <c r="D87" i="14"/>
  <c r="AK87" i="14"/>
  <c r="AC87" i="14"/>
  <c r="AW29" i="14"/>
  <c r="AA29" i="14"/>
  <c r="AA89" i="14" s="1"/>
  <c r="X29" i="14"/>
  <c r="X89" i="14" s="1"/>
  <c r="G29" i="14"/>
  <c r="G89" i="14" s="1"/>
  <c r="Z87" i="14"/>
  <c r="AH87" i="14"/>
  <c r="AF87" i="14"/>
  <c r="M87" i="14"/>
  <c r="S29" i="14"/>
  <c r="C29" i="14"/>
  <c r="C89" i="14" s="1"/>
  <c r="AB29" i="14"/>
  <c r="AB89" i="14" s="1"/>
  <c r="AJ29" i="14"/>
  <c r="AJ89" i="14" s="1"/>
  <c r="AY83" i="14"/>
  <c r="AR87" i="14"/>
  <c r="AV87" i="14"/>
  <c r="L87" i="14"/>
  <c r="AT87" i="14"/>
  <c r="AY91" i="14"/>
  <c r="AY92" i="14"/>
  <c r="S93" i="14"/>
  <c r="D30" i="13"/>
  <c r="P30" i="13"/>
  <c r="G87" i="13"/>
  <c r="S87" i="13"/>
  <c r="F50" i="13"/>
  <c r="R50" i="13"/>
  <c r="K66" i="13"/>
  <c r="L85" i="13"/>
  <c r="H30" i="13"/>
  <c r="K87" i="13"/>
  <c r="G50" i="13"/>
  <c r="S50" i="13"/>
  <c r="M85" i="13"/>
  <c r="I30" i="13"/>
  <c r="L87" i="13"/>
  <c r="H50" i="13"/>
  <c r="M66" i="13"/>
  <c r="N85" i="13"/>
  <c r="J86" i="13"/>
  <c r="J88" i="13" s="1"/>
  <c r="M87" i="13"/>
  <c r="I50" i="13"/>
  <c r="N66" i="13"/>
  <c r="C85" i="13"/>
  <c r="O85" i="13"/>
  <c r="K86" i="13"/>
  <c r="T48" i="13"/>
  <c r="L86" i="13"/>
  <c r="L88" i="13" s="1"/>
  <c r="C87" i="13"/>
  <c r="O87" i="13"/>
  <c r="C86" i="13"/>
  <c r="H86" i="13"/>
  <c r="H88" i="13" s="1"/>
  <c r="F87" i="13"/>
  <c r="R87" i="13"/>
  <c r="N50" i="13"/>
  <c r="G66" i="13"/>
  <c r="T66" i="13" s="1"/>
  <c r="S66" i="13"/>
  <c r="O86" i="13"/>
  <c r="O88" i="13" s="1"/>
  <c r="U64" i="13"/>
  <c r="U49" i="13"/>
  <c r="U84" i="13"/>
  <c r="F66" i="4"/>
  <c r="H50" i="4"/>
  <c r="K87" i="4"/>
  <c r="I85" i="4"/>
  <c r="D30" i="4"/>
  <c r="E50" i="4"/>
  <c r="E85" i="4"/>
  <c r="I87" i="4"/>
  <c r="H66" i="12"/>
  <c r="G85" i="12"/>
  <c r="F30" i="12"/>
  <c r="H85" i="12"/>
  <c r="C97" i="12"/>
  <c r="H50" i="12"/>
  <c r="G66" i="12"/>
  <c r="G87" i="12"/>
  <c r="H87" i="12"/>
  <c r="C96" i="12"/>
  <c r="D30" i="12"/>
  <c r="E30" i="12"/>
  <c r="E85" i="12"/>
  <c r="G30" i="12"/>
  <c r="K86" i="4"/>
  <c r="I50" i="4"/>
  <c r="J50" i="4"/>
  <c r="G85" i="4"/>
  <c r="H30" i="4"/>
  <c r="C50" i="4"/>
  <c r="E87" i="4"/>
  <c r="G87" i="4"/>
  <c r="E86" i="4"/>
  <c r="C87" i="4"/>
  <c r="C87" i="12"/>
  <c r="D87" i="12"/>
  <c r="E87" i="12"/>
  <c r="D50" i="12"/>
  <c r="C85" i="12"/>
  <c r="L85" i="12" s="1"/>
  <c r="C86" i="12"/>
  <c r="E50" i="12"/>
  <c r="D85" i="12"/>
  <c r="M84" i="12"/>
  <c r="M48" i="12"/>
  <c r="M65" i="12"/>
  <c r="U83" i="13"/>
  <c r="U65" i="13"/>
  <c r="U28" i="13"/>
  <c r="C88" i="13"/>
  <c r="U29" i="13"/>
  <c r="M88" i="13"/>
  <c r="U48" i="13"/>
  <c r="J30" i="13"/>
  <c r="T83" i="13"/>
  <c r="N86" i="13"/>
  <c r="N88" i="13" s="1"/>
  <c r="T90" i="13"/>
  <c r="K30" i="13"/>
  <c r="L30" i="13"/>
  <c r="T64" i="13"/>
  <c r="D86" i="13"/>
  <c r="P86" i="13"/>
  <c r="M30" i="13"/>
  <c r="T30" i="13" s="1"/>
  <c r="E86" i="13"/>
  <c r="E88" i="13" s="1"/>
  <c r="Q86" i="13"/>
  <c r="Q88" i="13" s="1"/>
  <c r="T29" i="13"/>
  <c r="F86" i="13"/>
  <c r="R86" i="13"/>
  <c r="G86" i="13"/>
  <c r="S86" i="13"/>
  <c r="T91" i="13"/>
  <c r="I86" i="13"/>
  <c r="I88" i="13" s="1"/>
  <c r="T92" i="13"/>
  <c r="C94" i="13"/>
  <c r="C95" i="12"/>
  <c r="C94" i="12"/>
  <c r="M49" i="12"/>
  <c r="M28" i="12"/>
  <c r="M29" i="12"/>
  <c r="M64" i="12"/>
  <c r="M83" i="12"/>
  <c r="H30" i="12"/>
  <c r="D86" i="12"/>
  <c r="E86" i="12"/>
  <c r="F86" i="12"/>
  <c r="F88" i="12" s="1"/>
  <c r="G86" i="12"/>
  <c r="G88" i="12" s="1"/>
  <c r="D87" i="4"/>
  <c r="I30" i="4"/>
  <c r="C30" i="4"/>
  <c r="G30" i="4"/>
  <c r="K88" i="4"/>
  <c r="G50" i="4"/>
  <c r="I66" i="4"/>
  <c r="C66" i="4"/>
  <c r="D50" i="4"/>
  <c r="E66" i="4"/>
  <c r="K66" i="4"/>
  <c r="H85" i="4"/>
  <c r="J85" i="4"/>
  <c r="D86" i="4"/>
  <c r="D88" i="4" s="1"/>
  <c r="F86" i="4"/>
  <c r="G86" i="4"/>
  <c r="G88" i="4" s="1"/>
  <c r="E30" i="4"/>
  <c r="J66" i="4"/>
  <c r="F87" i="4"/>
  <c r="D66" i="4"/>
  <c r="K30" i="4"/>
  <c r="H87" i="4"/>
  <c r="J87" i="4"/>
  <c r="I86" i="4"/>
  <c r="I88" i="4" s="1"/>
  <c r="C86" i="4"/>
  <c r="O86" i="4" s="1"/>
  <c r="H66" i="4"/>
  <c r="H86" i="4"/>
  <c r="J86" i="4"/>
  <c r="J88" i="4" s="1"/>
  <c r="L86" i="12" l="1"/>
  <c r="L87" i="12"/>
  <c r="L66" i="12"/>
  <c r="K88" i="12"/>
  <c r="H88" i="12"/>
  <c r="L30" i="12"/>
  <c r="L50" i="12"/>
  <c r="J88" i="12"/>
  <c r="O87" i="4"/>
  <c r="O66" i="4"/>
  <c r="E88" i="4"/>
  <c r="O50" i="4"/>
  <c r="O30" i="4"/>
  <c r="S88" i="20"/>
  <c r="S93" i="20"/>
  <c r="S29" i="20"/>
  <c r="S87" i="20"/>
  <c r="Q89" i="20"/>
  <c r="S85" i="20"/>
  <c r="S53" i="20"/>
  <c r="S85" i="16"/>
  <c r="U50" i="13"/>
  <c r="U85" i="13"/>
  <c r="K88" i="13"/>
  <c r="P88" i="13"/>
  <c r="D88" i="13"/>
  <c r="T85" i="13"/>
  <c r="T50" i="13"/>
  <c r="S88" i="13"/>
  <c r="G88" i="13"/>
  <c r="R88" i="13"/>
  <c r="F88" i="13"/>
  <c r="C88" i="12"/>
  <c r="U66" i="13"/>
  <c r="U87" i="13"/>
  <c r="J89" i="20"/>
  <c r="P89" i="20"/>
  <c r="R89" i="20"/>
  <c r="K89" i="20"/>
  <c r="C89" i="20"/>
  <c r="T53" i="20"/>
  <c r="L89" i="20"/>
  <c r="D89" i="20"/>
  <c r="G89" i="20"/>
  <c r="F89" i="20"/>
  <c r="M89" i="20"/>
  <c r="E89" i="20"/>
  <c r="O89" i="20"/>
  <c r="I89" i="20"/>
  <c r="T69" i="20"/>
  <c r="H89" i="20"/>
  <c r="T88" i="20"/>
  <c r="C95" i="20"/>
  <c r="T85" i="20"/>
  <c r="O89" i="19"/>
  <c r="C89" i="19"/>
  <c r="U69" i="19"/>
  <c r="U85" i="19"/>
  <c r="U87" i="19"/>
  <c r="U88" i="19"/>
  <c r="C95" i="19"/>
  <c r="S29" i="16"/>
  <c r="S87" i="16"/>
  <c r="S69" i="16"/>
  <c r="C96" i="16"/>
  <c r="C95" i="16"/>
  <c r="C89" i="16"/>
  <c r="S88" i="16"/>
  <c r="AQ85" i="15"/>
  <c r="AQ50" i="15"/>
  <c r="AQ30" i="15"/>
  <c r="AR87" i="15"/>
  <c r="AP88" i="15"/>
  <c r="AR50" i="15"/>
  <c r="AR30" i="15"/>
  <c r="AR66" i="15"/>
  <c r="AQ86" i="15"/>
  <c r="L88" i="15"/>
  <c r="AQ88" i="15" s="1"/>
  <c r="AQ92" i="15"/>
  <c r="AY85" i="14"/>
  <c r="AW89" i="14"/>
  <c r="AZ69" i="14"/>
  <c r="AY88" i="14"/>
  <c r="AY53" i="14"/>
  <c r="AY87" i="14"/>
  <c r="AZ53" i="14"/>
  <c r="AZ29" i="14"/>
  <c r="AZ87" i="14"/>
  <c r="AY29" i="14"/>
  <c r="S89" i="14"/>
  <c r="AY89" i="14" s="1"/>
  <c r="C96" i="14"/>
  <c r="C95" i="14"/>
  <c r="AY93" i="14"/>
  <c r="AZ85" i="14"/>
  <c r="AZ88" i="14"/>
  <c r="C88" i="4"/>
  <c r="O88" i="4" s="1"/>
  <c r="M50" i="12"/>
  <c r="E88" i="12"/>
  <c r="M66" i="12"/>
  <c r="H88" i="4"/>
  <c r="M85" i="12"/>
  <c r="D88" i="12"/>
  <c r="U30" i="13"/>
  <c r="U86" i="13"/>
  <c r="T86" i="13"/>
  <c r="T88" i="13"/>
  <c r="M87" i="12"/>
  <c r="M30" i="12"/>
  <c r="M86" i="12"/>
  <c r="F88" i="4"/>
  <c r="L88" i="12" l="1"/>
  <c r="U89" i="19"/>
  <c r="S89" i="20"/>
  <c r="U88" i="13"/>
  <c r="S89" i="16"/>
  <c r="AR88" i="15"/>
  <c r="AZ89" i="14"/>
  <c r="M88" i="12"/>
  <c r="P19" i="4" l="1"/>
  <c r="C96" i="4"/>
  <c r="C97" i="4"/>
  <c r="P49" i="4" l="1"/>
  <c r="P48" i="4"/>
  <c r="P50" i="4" s="1"/>
  <c r="P64" i="4"/>
  <c r="P84" i="4"/>
  <c r="P29" i="4"/>
  <c r="P28" i="4"/>
  <c r="P65" i="4"/>
  <c r="P83" i="4"/>
  <c r="P85" i="4" s="1"/>
  <c r="P30" i="4" l="1"/>
  <c r="P86" i="4"/>
  <c r="P87" i="4"/>
  <c r="P66" i="4"/>
  <c r="P88" i="4" l="1"/>
  <c r="T22" i="20"/>
  <c r="T27" i="20" s="1"/>
  <c r="T24" i="20"/>
  <c r="T29" i="20" l="1"/>
  <c r="T89" i="20" s="1"/>
  <c r="T8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<sst xmlns="http://schemas.openxmlformats.org/spreadsheetml/2006/main" count="1580" uniqueCount="111">
  <si>
    <t>Как считать</t>
  </si>
  <si>
    <t>Анкета</t>
  </si>
  <si>
    <t>сумма</t>
  </si>
  <si>
    <t>среднее с коэффициентом</t>
  </si>
  <si>
    <t>всего для каждого языка max 218 баллов</t>
  </si>
  <si>
    <t>I. Общие сведения</t>
  </si>
  <si>
    <t>Имя</t>
  </si>
  <si>
    <t>Возраст (16+ лет)</t>
  </si>
  <si>
    <t xml:space="preserve">Пол </t>
  </si>
  <si>
    <t>ж</t>
  </si>
  <si>
    <t>м</t>
  </si>
  <si>
    <t>Текущее место жительства</t>
  </si>
  <si>
    <t>Верхняя Балкария</t>
  </si>
  <si>
    <t>Образование</t>
  </si>
  <si>
    <t>неоконченное высшее</t>
  </si>
  <si>
    <t>среднее</t>
  </si>
  <si>
    <t>высшее</t>
  </si>
  <si>
    <t>неполное среднее</t>
  </si>
  <si>
    <t>для каждого языка диапазон от 0 до 20
k = 0.454, max 54.5</t>
  </si>
  <si>
    <t>II. Языковая история</t>
  </si>
  <si>
    <t>обратный порядок: 0 = 20 баллов</t>
  </si>
  <si>
    <t>1. В каком возрасте вы начали говорить</t>
  </si>
  <si>
    <t>20+ приравнивается к 0</t>
  </si>
  <si>
    <t>на балкарском языке</t>
  </si>
  <si>
    <t>на русском языке</t>
  </si>
  <si>
    <t>2. В каком возрасте вы стали уверенно говорить</t>
  </si>
  <si>
    <t>прямой порядок: 0 = 0 баллов</t>
  </si>
  <si>
    <t>3. Сколько лет вашей учебы (в школе + в вузе) прошло</t>
  </si>
  <si>
    <t>4. Сколько лет вы провели в регионе, где говорят</t>
  </si>
  <si>
    <t>20+ приравнивается к 20</t>
  </si>
  <si>
    <t>5. Сколько лет вашей жизни прошло в семье, где говорят</t>
  </si>
  <si>
    <t>6. Сколько лет вы провели в рабочей среде, где говорят</t>
  </si>
  <si>
    <t>балкарский индекс</t>
  </si>
  <si>
    <t>русский индекс</t>
  </si>
  <si>
    <t>разность</t>
  </si>
  <si>
    <t>для каждого языка диапазон от 0 до 10
проценты делятся на 10, k = 1.09, max 54.5</t>
  </si>
  <si>
    <t>III. Использование языков</t>
  </si>
  <si>
    <t>7. Какой процент времени в неделю вы обычно говорите с друзьями</t>
  </si>
  <si>
    <t>на других языках</t>
  </si>
  <si>
    <t>8. Какой процент времени в неделю вы обычно говорите в семье</t>
  </si>
  <si>
    <t>9. Какой процент времени в неделю вы обычно говорите на работе</t>
  </si>
  <si>
    <t>10. Какой процент времени вы думаете</t>
  </si>
  <si>
    <t>11. Какой процент времени вы считаете</t>
  </si>
  <si>
    <t>для каждого языка диапазон от 0 до 6
k = 2.27, max 54.5</t>
  </si>
  <si>
    <t>IV. Владение языками</t>
  </si>
  <si>
    <t>12. Насколько свободно вы говорите</t>
  </si>
  <si>
    <t>13. Насколько хорошо вы понимаете речь</t>
  </si>
  <si>
    <t>14. Насколько хорошо вы читаете</t>
  </si>
  <si>
    <t>15. Насколько хорошо вы пишете</t>
  </si>
  <si>
    <t>V. Отношение к языкам</t>
  </si>
  <si>
    <t>16. Для меня естественно говорить</t>
  </si>
  <si>
    <t>17. Я ощущаю себя частью</t>
  </si>
  <si>
    <t>балкарской культуры</t>
  </si>
  <si>
    <t>русской культуры</t>
  </si>
  <si>
    <t>18. Для меня важно, что я использую этот язык как родной</t>
  </si>
  <si>
    <t>балкарский язык</t>
  </si>
  <si>
    <t>русский язык</t>
  </si>
  <si>
    <t>19. Я хочу, чтобы окружающие думали, что этот язык для меня родной</t>
  </si>
  <si>
    <t>Владение языками, помимо балкарского</t>
  </si>
  <si>
    <t>русский</t>
  </si>
  <si>
    <t>русский, турецкий, узбекский</t>
  </si>
  <si>
    <t>русский, английский</t>
  </si>
  <si>
    <t>русский, кумыкский, ногайский</t>
  </si>
  <si>
    <t>английский, русский</t>
  </si>
  <si>
    <t>русский, немецкий</t>
  </si>
  <si>
    <t>балкарский по блокам</t>
  </si>
  <si>
    <t>русский по блокам</t>
  </si>
  <si>
    <t>итого</t>
  </si>
  <si>
    <t>Подсчет для балкарского языка</t>
  </si>
  <si>
    <t>Подсчет для русского языка</t>
  </si>
  <si>
    <t>Итоговый коэффициент</t>
  </si>
  <si>
    <t>медиана</t>
  </si>
  <si>
    <t>среднее балкарское</t>
  </si>
  <si>
    <t>среднее русское</t>
  </si>
  <si>
    <t>Возраст (до 16 лет)</t>
  </si>
  <si>
    <t>Кенже (Нальчик)</t>
  </si>
  <si>
    <t>Какими языками владеет</t>
  </si>
  <si>
    <t>русский, английский, арабский</t>
  </si>
  <si>
    <t>русский, английский, немецкий</t>
  </si>
  <si>
    <t>русский, английский, французский</t>
  </si>
  <si>
    <t>мама ребенка</t>
  </si>
  <si>
    <t>балкарский, русский</t>
  </si>
  <si>
    <t>русский, балкарский</t>
  </si>
  <si>
    <t>балкарский, русский, турецкий</t>
  </si>
  <si>
    <t>балкарский</t>
  </si>
  <si>
    <t>папа ребенка</t>
  </si>
  <si>
    <t>балкарский, русский, кабардинский</t>
  </si>
  <si>
    <t>для каждого языка диапазон от 0 до 15
k = 0.61, max 54.5</t>
  </si>
  <si>
    <t>обратный порядок: 0 = 15 баллов</t>
  </si>
  <si>
    <t>1. В каком возрасте ребенок начал говорить</t>
  </si>
  <si>
    <t>2. В каком возрасте ребенок стал уверенно говорить</t>
  </si>
  <si>
    <t>3. Сколько лет ребенок провел в регионе, где говорят</t>
  </si>
  <si>
    <t>4. Сколько лет в яслях (если он туда ходил) с ребенком разговаривали</t>
  </si>
  <si>
    <t>5. Сколько лет в детском саду (если он туда ходил) с ребенком разговаривали</t>
  </si>
  <si>
    <t>6. Сколько лет обучения в школе (если он туда ходил) с ребенком разговаривали</t>
  </si>
  <si>
    <t>для каждого языка диапазон от 0 до 10
проценты делятся на 10, k = 1.36, max 54.5</t>
  </si>
  <si>
    <t>7. Какой процент времени в неделю ребенок обычно говорит с родителями</t>
  </si>
  <si>
    <t>8. Какой процент времени в неделю ребенок обычно говорит с братьями / сестрами</t>
  </si>
  <si>
    <t>9. Какой процент времени в неделю ребенок обычно говорит с бабушками / дедушками</t>
  </si>
  <si>
    <t>10. Какой процент времени в неделю ребенок обычно говорит с друзьями</t>
  </si>
  <si>
    <t>11. Насколько свободно ребенок говорит</t>
  </si>
  <si>
    <t>12. Насколько хорошо ребенок понимает речь</t>
  </si>
  <si>
    <t>13. Насколько хорошо ребенок читает</t>
  </si>
  <si>
    <t>14. Насколько хорошо ребенок пишет</t>
  </si>
  <si>
    <t>для каждого языка диапазон от 0 до 6
k = 1.8, max 54.5</t>
  </si>
  <si>
    <t>V. Особые случаи</t>
  </si>
  <si>
    <t>15. Сможет ли ребенок поддержать разговор при встрече с незнакомым человеком</t>
  </si>
  <si>
    <t>16. Сможет ли ребенок поддержать разговор по телефону с незнакомым человеком</t>
  </si>
  <si>
    <t>17. На каком языке ребенок предпочитает говорить, когда он очень устал</t>
  </si>
  <si>
    <t>18. На каком языке ребенок предпочитает говорить, когда он очень недоволен</t>
  </si>
  <si>
    <t>19. На каком языке ребенок предпочитает говорить, когда он очень доволен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</si>
</sst>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1155CC"/>
      <name val="&quot;Google Sans Mono&quot;"/>
    </font>
    <font>
      <sz val="10"/>
      <color rgb="FFFF0000"/>
      <name val="Arial"/>
      <scheme val="minor"/>
    </font>
    <font>
      <sz val="10"/>
      <color rgb="FF1155CC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3" borderId="1" xfId="0" applyFont="1" applyFill="1" applyBorder="1" applyAlignment="1"/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1" fillId="4" borderId="1" xfId="0" applyFont="1" applyFill="1" applyBorder="1"/>
    <xf numFmtId="0" fontId="1" fillId="4" borderId="0" xfId="0" applyFont="1" applyFill="1" applyAlignment="1"/>
    <xf numFmtId="0" fontId="1" fillId="4" borderId="0" xfId="0" applyFont="1" applyFill="1" applyAlignment="1">
      <alignment horizontal="right"/>
    </xf>
    <xf numFmtId="0" fontId="1" fillId="4" borderId="1" xfId="0" applyFont="1" applyFill="1" applyBorder="1" applyAlignment="1"/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 applyAlignment="1"/>
    <xf numFmtId="0" fontId="1" fillId="4" borderId="3" xfId="0" applyFont="1" applyFill="1" applyBorder="1" applyAlignment="1"/>
    <xf numFmtId="0" fontId="1" fillId="4" borderId="4" xfId="0" applyFont="1" applyFill="1" applyBorder="1" applyAlignment="1"/>
    <xf numFmtId="0" fontId="1" fillId="4" borderId="5" xfId="0" applyFont="1" applyFill="1" applyBorder="1" applyAlignment="1"/>
    <xf numFmtId="0" fontId="1" fillId="4" borderId="6" xfId="0" applyFont="1" applyFill="1" applyBorder="1" applyAlignment="1">
      <alignment horizontal="right"/>
    </xf>
    <xf numFmtId="0" fontId="1" fillId="4" borderId="6" xfId="0" applyFont="1" applyFill="1" applyBorder="1" applyAlignment="1"/>
    <xf numFmtId="0" fontId="1" fillId="4" borderId="7" xfId="0" applyFont="1" applyFill="1" applyBorder="1" applyAlignment="1"/>
    <xf numFmtId="0" fontId="1" fillId="4" borderId="8" xfId="0" applyFont="1" applyFill="1" applyBorder="1" applyAlignment="1"/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1" fillId="5" borderId="1" xfId="0" applyFont="1" applyFill="1" applyBorder="1"/>
    <xf numFmtId="0" fontId="1" fillId="5" borderId="0" xfId="0" applyFont="1" applyFill="1" applyAlignment="1"/>
    <xf numFmtId="0" fontId="1" fillId="5" borderId="0" xfId="0" applyFont="1" applyFill="1" applyAlignment="1">
      <alignment horizontal="right"/>
    </xf>
    <xf numFmtId="0" fontId="1" fillId="5" borderId="1" xfId="0" applyFont="1" applyFill="1" applyBorder="1" applyAlignment="1"/>
    <xf numFmtId="0" fontId="1" fillId="5" borderId="2" xfId="0" applyFont="1" applyFill="1" applyBorder="1" applyAlignment="1">
      <alignment horizontal="right"/>
    </xf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 applyAlignment="1">
      <alignment horizontal="right"/>
    </xf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/>
    <xf numFmtId="0" fontId="1" fillId="6" borderId="1" xfId="0" applyFont="1" applyFill="1" applyBorder="1"/>
    <xf numFmtId="0" fontId="1" fillId="6" borderId="0" xfId="0" applyFont="1" applyFill="1" applyAlignment="1"/>
    <xf numFmtId="0" fontId="1" fillId="6" borderId="0" xfId="0" applyFont="1" applyFill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6" borderId="2" xfId="0" applyFont="1" applyFill="1" applyBorder="1" applyAlignment="1"/>
    <xf numFmtId="0" fontId="1" fillId="6" borderId="3" xfId="0" applyFont="1" applyFill="1" applyBorder="1"/>
    <xf numFmtId="0" fontId="1" fillId="6" borderId="4" xfId="0" applyFont="1" applyFill="1" applyBorder="1" applyAlignment="1"/>
    <xf numFmtId="0" fontId="1" fillId="6" borderId="5" xfId="0" applyFont="1" applyFill="1" applyBorder="1" applyAlignment="1"/>
    <xf numFmtId="0" fontId="1" fillId="6" borderId="6" xfId="0" applyFont="1" applyFill="1" applyBorder="1" applyAlignment="1">
      <alignment horizontal="right"/>
    </xf>
    <xf numFmtId="0" fontId="1" fillId="6" borderId="6" xfId="0" applyFont="1" applyFill="1" applyBorder="1" applyAlignment="1"/>
    <xf numFmtId="0" fontId="1" fillId="6" borderId="7" xfId="0" applyFont="1" applyFill="1" applyBorder="1"/>
    <xf numFmtId="0" fontId="1" fillId="6" borderId="8" xfId="0" applyFont="1" applyFill="1" applyBorder="1" applyAlignment="1"/>
    <xf numFmtId="0" fontId="1" fillId="7" borderId="0" xfId="0" applyFont="1" applyFill="1" applyAlignment="1">
      <alignment horizontal="left"/>
    </xf>
    <xf numFmtId="0" fontId="1" fillId="7" borderId="0" xfId="0" applyFont="1" applyFill="1"/>
    <xf numFmtId="0" fontId="1" fillId="7" borderId="0" xfId="0" applyFont="1" applyFill="1" applyAlignment="1"/>
    <xf numFmtId="0" fontId="1" fillId="7" borderId="1" xfId="0" applyFont="1" applyFill="1" applyBorder="1"/>
    <xf numFmtId="0" fontId="1" fillId="7" borderId="0" xfId="0" applyFont="1" applyFill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2" xfId="0" applyFont="1" applyFill="1" applyBorder="1" applyAlignment="1"/>
    <xf numFmtId="0" fontId="1" fillId="7" borderId="3" xfId="0" applyFont="1" applyFill="1" applyBorder="1"/>
    <xf numFmtId="0" fontId="1" fillId="7" borderId="4" xfId="0" applyFont="1" applyFill="1" applyBorder="1" applyAlignment="1"/>
    <xf numFmtId="0" fontId="1" fillId="7" borderId="5" xfId="0" applyFont="1" applyFill="1" applyBorder="1" applyAlignment="1"/>
    <xf numFmtId="0" fontId="1" fillId="7" borderId="6" xfId="0" applyFont="1" applyFill="1" applyBorder="1" applyAlignment="1">
      <alignment horizontal="right"/>
    </xf>
    <xf numFmtId="0" fontId="1" fillId="7" borderId="6" xfId="0" applyFont="1" applyFill="1" applyBorder="1" applyAlignment="1"/>
    <xf numFmtId="0" fontId="1" fillId="7" borderId="7" xfId="0" applyFont="1" applyFill="1" applyBorder="1"/>
    <xf numFmtId="0" fontId="1" fillId="7" borderId="8" xfId="0" applyFont="1" applyFill="1" applyBorder="1" applyAlignment="1"/>
    <xf numFmtId="0" fontId="1" fillId="0" borderId="0" xfId="0" applyFont="1" applyAlignment="1"/>
    <xf numFmtId="0" fontId="1" fillId="0" borderId="0" xfId="0" applyFont="1"/>
    <xf numFmtId="0" fontId="1" fillId="0" borderId="1" xfId="0" applyFont="1" applyBorder="1"/>
    <xf numFmtId="0" fontId="2" fillId="2" borderId="0" xfId="0" applyFont="1" applyFill="1"/>
    <xf numFmtId="0" fontId="3" fillId="2" borderId="0" xfId="0" applyFont="1" applyFill="1"/>
    <xf numFmtId="0" fontId="3" fillId="0" borderId="0" xfId="0" applyFont="1" applyAlignment="1"/>
    <xf numFmtId="0" fontId="3" fillId="0" borderId="0" xfId="0" applyFon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/>
    <xf numFmtId="0" fontId="1" fillId="3" borderId="5" xfId="0" applyFont="1" applyFill="1" applyBorder="1" applyAlignment="1"/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4" borderId="5" xfId="0" applyFont="1" applyFill="1" applyBorder="1"/>
    <xf numFmtId="0" fontId="1" fillId="5" borderId="0" xfId="0" applyFont="1" applyFill="1" applyAlignment="1">
      <alignment horizontal="center" vertical="center"/>
    </xf>
    <xf numFmtId="0" fontId="1" fillId="5" borderId="5" xfId="0" applyFont="1" applyFill="1" applyBorder="1" applyAlignment="1"/>
    <xf numFmtId="0" fontId="1" fillId="5" borderId="4" xfId="0" applyFont="1" applyFill="1" applyBorder="1" applyAlignment="1"/>
    <xf numFmtId="0" fontId="1" fillId="5" borderId="8" xfId="0" applyFont="1" applyFill="1" applyBorder="1" applyAlignment="1"/>
    <xf numFmtId="0" fontId="1" fillId="6" borderId="5" xfId="0" applyFont="1" applyFill="1" applyBorder="1"/>
    <xf numFmtId="0" fontId="1" fillId="6" borderId="3" xfId="0" applyFont="1" applyFill="1" applyBorder="1" applyAlignment="1"/>
    <xf numFmtId="0" fontId="1" fillId="6" borderId="1" xfId="0" applyFont="1" applyFill="1" applyBorder="1" applyAlignment="1"/>
    <xf numFmtId="0" fontId="1" fillId="6" borderId="7" xfId="0" applyFont="1" applyFill="1" applyBorder="1" applyAlignment="1"/>
    <xf numFmtId="0" fontId="1" fillId="7" borderId="0" xfId="0" applyFont="1" applyFill="1" applyAlignment="1">
      <alignment horizontal="center" vertical="center"/>
    </xf>
    <xf numFmtId="0" fontId="1" fillId="7" borderId="5" xfId="0" applyFont="1" applyFill="1" applyBorder="1"/>
    <xf numFmtId="0" fontId="1" fillId="7" borderId="5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7" borderId="3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7" xfId="0" applyFont="1" applyFill="1" applyBorder="1" applyAlignment="1">
      <alignment horizontal="right"/>
    </xf>
    <xf numFmtId="0" fontId="1" fillId="0" borderId="5" xfId="0" applyFont="1" applyBorder="1"/>
    <xf numFmtId="0" fontId="1" fillId="8" borderId="0" xfId="0" applyFont="1" applyFill="1" applyAlignment="1"/>
    <xf numFmtId="0" fontId="1" fillId="2" borderId="6" xfId="0" applyFont="1" applyFill="1" applyBorder="1"/>
    <xf numFmtId="0" fontId="1" fillId="0" borderId="6" xfId="0" applyFont="1" applyBorder="1" applyAlignment="1"/>
    <xf numFmtId="0" fontId="1" fillId="0" borderId="6" xfId="0" applyFont="1" applyBorder="1"/>
    <xf numFmtId="0" fontId="1" fillId="0" borderId="8" xfId="0" applyFont="1" applyBorder="1"/>
    <xf numFmtId="0" fontId="4" fillId="0" borderId="0" xfId="0" applyFont="1" applyAlignment="1"/>
    <xf numFmtId="0" fontId="2" fillId="2" borderId="5" xfId="0" applyFont="1" applyFill="1" applyBorder="1"/>
    <xf numFmtId="0" fontId="3" fillId="0" borderId="5" xfId="0" applyFont="1" applyBorder="1" applyAlignment="1"/>
    <xf numFmtId="0" fontId="1" fillId="0" borderId="0" xfId="0" applyFont="1" applyBorder="1" applyAlignment="1"/>
    <xf numFmtId="0" fontId="1" fillId="3" borderId="0" xfId="0" applyFont="1" applyFill="1" applyBorder="1" applyAlignment="1"/>
    <xf numFmtId="0" fontId="1" fillId="3" borderId="0" xfId="0" applyFont="1" applyFill="1" applyBorder="1"/>
    <xf numFmtId="0" fontId="1" fillId="4" borderId="0" xfId="0" applyFont="1" applyFill="1" applyBorder="1"/>
    <xf numFmtId="0" fontId="1" fillId="4" borderId="0" xfId="0" applyFont="1" applyFill="1" applyBorder="1" applyAlignment="1"/>
    <xf numFmtId="0" fontId="1" fillId="5" borderId="0" xfId="0" applyFont="1" applyFill="1" applyBorder="1"/>
    <xf numFmtId="0" fontId="1" fillId="5" borderId="0" xfId="0" applyFont="1" applyFill="1" applyBorder="1" applyAlignment="1"/>
    <xf numFmtId="0" fontId="1" fillId="6" borderId="0" xfId="0" applyFont="1" applyFill="1" applyBorder="1"/>
    <xf numFmtId="0" fontId="1" fillId="6" borderId="0" xfId="0" applyFont="1" applyFill="1" applyBorder="1" applyAlignment="1"/>
    <xf numFmtId="0" fontId="1" fillId="7" borderId="0" xfId="0" applyFont="1" applyFill="1" applyBorder="1"/>
    <xf numFmtId="0" fontId="1" fillId="7" borderId="0" xfId="0" applyFont="1" applyFill="1" applyBorder="1" applyAlignment="1"/>
    <xf numFmtId="0" fontId="1" fillId="7" borderId="0" xfId="0" applyFont="1" applyFill="1" applyBorder="1" applyAlignment="1">
      <alignment horizontal="right"/>
    </xf>
    <xf numFmtId="0" fontId="1" fillId="0" borderId="0" xfId="0" applyFont="1" applyBorder="1"/>
    <xf numFmtId="0" fontId="0" fillId="0" borderId="5" xfId="0" applyFont="1" applyBorder="1" applyAlignment="1"/>
    <xf numFmtId="0" fontId="2" fillId="2" borderId="0" xfId="0" applyFont="1" applyFill="1" applyBorder="1"/>
    <xf numFmtId="0" fontId="3" fillId="0" borderId="0" xfId="0" applyFont="1" applyBorder="1" applyAlignment="1"/>
    <xf numFmtId="0" fontId="0" fillId="0" borderId="0" xfId="0" applyFont="1" applyBorder="1" applyAlignment="1"/>
    <xf numFmtId="0" fontId="1" fillId="5" borderId="9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0" borderId="13" xfId="0" applyFont="1" applyBorder="1" applyAlignment="1"/>
    <xf numFmtId="0" fontId="1" fillId="3" borderId="13" xfId="0" applyFont="1" applyFill="1" applyBorder="1" applyAlignment="1"/>
    <xf numFmtId="0" fontId="1" fillId="3" borderId="13" xfId="0" applyFont="1" applyFill="1" applyBorder="1"/>
    <xf numFmtId="0" fontId="1" fillId="4" borderId="13" xfId="0" applyFont="1" applyFill="1" applyBorder="1"/>
    <xf numFmtId="0" fontId="1" fillId="4" borderId="13" xfId="0" applyFont="1" applyFill="1" applyBorder="1" applyAlignment="1"/>
    <xf numFmtId="0" fontId="1" fillId="4" borderId="14" xfId="0" applyFont="1" applyFill="1" applyBorder="1" applyAlignment="1"/>
    <xf numFmtId="0" fontId="1" fillId="4" borderId="15" xfId="0" applyFont="1" applyFill="1" applyBorder="1" applyAlignment="1"/>
    <xf numFmtId="0" fontId="1" fillId="5" borderId="13" xfId="0" applyFont="1" applyFill="1" applyBorder="1"/>
    <xf numFmtId="0" fontId="1" fillId="5" borderId="13" xfId="0" applyFont="1" applyFill="1" applyBorder="1" applyAlignment="1"/>
    <xf numFmtId="0" fontId="1" fillId="5" borderId="14" xfId="0" applyFont="1" applyFill="1" applyBorder="1"/>
    <xf numFmtId="0" fontId="1" fillId="5" borderId="15" xfId="0" applyFont="1" applyFill="1" applyBorder="1"/>
    <xf numFmtId="0" fontId="1" fillId="6" borderId="13" xfId="0" applyFont="1" applyFill="1" applyBorder="1"/>
    <xf numFmtId="0" fontId="1" fillId="6" borderId="13" xfId="0" applyFont="1" applyFill="1" applyBorder="1" applyAlignment="1"/>
    <xf numFmtId="0" fontId="1" fillId="6" borderId="14" xfId="0" applyFont="1" applyFill="1" applyBorder="1" applyAlignment="1"/>
    <xf numFmtId="0" fontId="1" fillId="6" borderId="15" xfId="0" applyFont="1" applyFill="1" applyBorder="1" applyAlignment="1"/>
    <xf numFmtId="0" fontId="1" fillId="7" borderId="13" xfId="0" applyFont="1" applyFill="1" applyBorder="1"/>
    <xf numFmtId="0" fontId="1" fillId="7" borderId="13" xfId="0" applyFont="1" applyFill="1" applyBorder="1" applyAlignment="1"/>
    <xf numFmtId="0" fontId="1" fillId="7" borderId="13" xfId="0" applyFont="1" applyFill="1" applyBorder="1" applyAlignment="1">
      <alignment horizontal="right"/>
    </xf>
    <xf numFmtId="0" fontId="1" fillId="7" borderId="14" xfId="0" applyFont="1" applyFill="1" applyBorder="1" applyAlignment="1">
      <alignment horizontal="right"/>
    </xf>
    <xf numFmtId="0" fontId="1" fillId="7" borderId="15" xfId="0" applyFont="1" applyFill="1" applyBorder="1" applyAlignment="1">
      <alignment horizontal="right"/>
    </xf>
    <xf numFmtId="0" fontId="1" fillId="0" borderId="13" xfId="0" applyFont="1" applyBorder="1"/>
    <xf numFmtId="0" fontId="1" fillId="0" borderId="15" xfId="0" applyFont="1" applyBorder="1"/>
    <xf numFmtId="0" fontId="0" fillId="0" borderId="13" xfId="0" applyFont="1" applyBorder="1" applyAlignment="1"/>
    <xf numFmtId="0" fontId="2" fillId="2" borderId="13" xfId="0" applyFont="1" applyFill="1" applyBorder="1"/>
    <xf numFmtId="0" fontId="3" fillId="0" borderId="13" xfId="0" applyFont="1" applyBorder="1" applyAlignment="1"/>
    <xf numFmtId="0" fontId="1" fillId="0" borderId="11" xfId="0" applyFont="1" applyBorder="1"/>
    <xf numFmtId="0" fontId="1" fillId="8" borderId="0" xfId="0" applyFont="1" applyFill="1" applyBorder="1" applyAlignment="1"/>
    <xf numFmtId="0" fontId="1" fillId="0" borderId="12" xfId="0" applyFont="1" applyBorder="1"/>
    <xf numFmtId="0" fontId="1" fillId="8" borderId="10" xfId="0" applyFont="1" applyFill="1" applyBorder="1" applyAlignment="1"/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3" fillId="0" borderId="0" xfId="0" applyFont="1" applyFill="1" applyBorder="1" applyAlignment="1"/>
    <xf numFmtId="0" fontId="1" fillId="5" borderId="2" xfId="0" applyFont="1" applyFill="1" applyBorder="1" applyAlignment="1"/>
    <xf numFmtId="0" fontId="1" fillId="5" borderId="6" xfId="0" applyFont="1" applyFill="1" applyBorder="1" applyAlignment="1"/>
    <xf numFmtId="0" fontId="1" fillId="2" borderId="11" xfId="0" applyFont="1" applyFill="1" applyBorder="1" applyAlignment="1"/>
    <xf numFmtId="0" fontId="1" fillId="2" borderId="0" xfId="0" applyFont="1" applyFill="1" applyBorder="1" applyAlignment="1"/>
    <xf numFmtId="0" fontId="1" fillId="3" borderId="11" xfId="0" applyFont="1" applyFill="1" applyBorder="1" applyAlignment="1"/>
    <xf numFmtId="0" fontId="1" fillId="4" borderId="11" xfId="0" applyFont="1" applyFill="1" applyBorder="1"/>
    <xf numFmtId="0" fontId="1" fillId="4" borderId="11" xfId="0" applyFont="1" applyFill="1" applyBorder="1" applyAlignment="1"/>
    <xf numFmtId="0" fontId="1" fillId="4" borderId="16" xfId="0" applyFont="1" applyFill="1" applyBorder="1" applyAlignment="1"/>
    <xf numFmtId="0" fontId="1" fillId="4" borderId="17" xfId="0" applyFont="1" applyFill="1" applyBorder="1" applyAlignment="1"/>
    <xf numFmtId="0" fontId="1" fillId="5" borderId="11" xfId="0" applyFont="1" applyFill="1" applyBorder="1" applyAlignment="1"/>
    <xf numFmtId="0" fontId="1" fillId="5" borderId="16" xfId="0" applyFont="1" applyFill="1" applyBorder="1"/>
    <xf numFmtId="0" fontId="1" fillId="5" borderId="17" xfId="0" applyFont="1" applyFill="1" applyBorder="1"/>
    <xf numFmtId="0" fontId="1" fillId="6" borderId="11" xfId="0" applyFont="1" applyFill="1" applyBorder="1"/>
    <xf numFmtId="0" fontId="1" fillId="6" borderId="16" xfId="0" applyFont="1" applyFill="1" applyBorder="1"/>
    <xf numFmtId="0" fontId="1" fillId="6" borderId="17" xfId="0" applyFont="1" applyFill="1" applyBorder="1"/>
    <xf numFmtId="0" fontId="1" fillId="7" borderId="11" xfId="0" applyFont="1" applyFill="1" applyBorder="1"/>
    <xf numFmtId="0" fontId="1" fillId="7" borderId="16" xfId="0" applyFont="1" applyFill="1" applyBorder="1"/>
    <xf numFmtId="0" fontId="1" fillId="7" borderId="17" xfId="0" applyFont="1" applyFill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0" xfId="0" applyFont="1" applyFill="1" applyAlignment="1"/>
    <xf numFmtId="0" fontId="1" fillId="0" borderId="0" xfId="0" applyFont="1" applyFill="1" applyAlignment="1"/>
    <xf numFmtId="164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5299-2CBB-4269-932C-D1DBDEB14D6E}">
  <sheetPr>
    <outlinePr summaryBelow="0" summaryRight="0"/>
  </sheetPr>
  <dimension ref="A1:BA1043"/>
  <sheetViews>
    <sheetView tabSelected="1" zoomScale="84" workbookViewId="0">
      <pane xSplit="2" ySplit="3" topLeftCell="C77" activePane="bottomRight" state="frozen"/>
      <selection pane="topRight" activeCell="C1" sqref="C1"/>
      <selection pane="bottomLeft" activeCell="A4" sqref="A4"/>
      <selection pane="bottomRight" activeCell="G99" sqref="G99"/>
    </sheetView>
  </sheetViews>
  <sheetFormatPr defaultColWidth="12.6640625" defaultRowHeight="15.75" customHeight="1"/>
  <cols>
    <col min="1" max="1" width="37" customWidth="1"/>
    <col min="2" max="2" width="58.88671875" customWidth="1"/>
  </cols>
  <sheetData>
    <row r="1" spans="1:5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 t="s">
        <v>2</v>
      </c>
      <c r="AZ1" s="4" t="s">
        <v>3</v>
      </c>
      <c r="BA1" s="2"/>
    </row>
    <row r="2" spans="1:53">
      <c r="A2" s="5" t="s">
        <v>4</v>
      </c>
      <c r="B2" s="74" t="s">
        <v>5</v>
      </c>
      <c r="C2" s="5">
        <v>13</v>
      </c>
      <c r="D2" s="5">
        <v>17</v>
      </c>
      <c r="E2" s="5">
        <v>4</v>
      </c>
      <c r="F2" s="5">
        <v>11</v>
      </c>
      <c r="G2" s="5">
        <v>48</v>
      </c>
      <c r="H2" s="5">
        <v>2</v>
      </c>
      <c r="I2" s="5">
        <v>40</v>
      </c>
      <c r="J2" s="5">
        <v>28</v>
      </c>
      <c r="K2" s="5">
        <v>8</v>
      </c>
      <c r="L2" s="5">
        <v>31</v>
      </c>
      <c r="M2" s="5">
        <v>42</v>
      </c>
      <c r="N2" s="5">
        <v>38</v>
      </c>
      <c r="O2" s="5">
        <v>47</v>
      </c>
      <c r="P2" s="5">
        <v>26</v>
      </c>
      <c r="Q2" s="5">
        <v>45</v>
      </c>
      <c r="R2" s="5">
        <v>16</v>
      </c>
      <c r="S2" s="5">
        <v>1</v>
      </c>
      <c r="T2" s="5">
        <v>5</v>
      </c>
      <c r="U2" s="5">
        <v>23</v>
      </c>
      <c r="V2" s="5">
        <v>9</v>
      </c>
      <c r="W2" s="5">
        <v>27</v>
      </c>
      <c r="X2" s="5">
        <v>36</v>
      </c>
      <c r="Y2" s="5">
        <v>46</v>
      </c>
      <c r="Z2" s="5">
        <v>6</v>
      </c>
      <c r="AA2" s="5">
        <v>24</v>
      </c>
      <c r="AB2" s="5">
        <v>25</v>
      </c>
      <c r="AC2" s="5">
        <v>41</v>
      </c>
      <c r="AD2" s="5">
        <v>3</v>
      </c>
      <c r="AE2" s="5">
        <v>21</v>
      </c>
      <c r="AF2" s="5">
        <v>30</v>
      </c>
      <c r="AG2" s="5">
        <v>10</v>
      </c>
      <c r="AH2" s="5">
        <v>18</v>
      </c>
      <c r="AI2" s="5">
        <v>20</v>
      </c>
      <c r="AJ2" s="5">
        <v>37</v>
      </c>
      <c r="AK2" s="5">
        <v>29</v>
      </c>
      <c r="AL2" s="5">
        <v>39</v>
      </c>
      <c r="AM2" s="5">
        <v>32</v>
      </c>
      <c r="AN2" s="5">
        <v>35</v>
      </c>
      <c r="AO2" s="5">
        <v>33</v>
      </c>
      <c r="AP2" s="5">
        <v>34</v>
      </c>
      <c r="AQ2" s="5">
        <v>44</v>
      </c>
      <c r="AR2" s="5">
        <v>7</v>
      </c>
      <c r="AS2" s="5">
        <v>22</v>
      </c>
      <c r="AT2" s="5">
        <v>43</v>
      </c>
      <c r="AU2" s="5">
        <v>15</v>
      </c>
      <c r="AV2" s="5">
        <v>19</v>
      </c>
      <c r="AW2" s="5">
        <v>12</v>
      </c>
      <c r="AX2" s="5">
        <v>14</v>
      </c>
      <c r="AY2" s="6"/>
      <c r="AZ2" s="5"/>
      <c r="BA2" s="5"/>
    </row>
    <row r="3" spans="1:53">
      <c r="A3" s="5"/>
      <c r="B3" s="5" t="s">
        <v>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6"/>
      <c r="AZ3" s="5"/>
      <c r="BA3" s="5"/>
    </row>
    <row r="4" spans="1:53">
      <c r="A4" s="5"/>
      <c r="B4" s="5" t="s">
        <v>7</v>
      </c>
      <c r="C4" s="5">
        <v>18</v>
      </c>
      <c r="D4" s="5">
        <v>19</v>
      </c>
      <c r="E4" s="5">
        <v>20</v>
      </c>
      <c r="F4" s="5">
        <v>20</v>
      </c>
      <c r="G4" s="5">
        <v>20</v>
      </c>
      <c r="H4" s="5">
        <v>21</v>
      </c>
      <c r="I4" s="5">
        <v>21</v>
      </c>
      <c r="J4" s="5">
        <v>22</v>
      </c>
      <c r="K4" s="5">
        <v>23</v>
      </c>
      <c r="L4" s="5">
        <v>24</v>
      </c>
      <c r="M4" s="5">
        <v>24</v>
      </c>
      <c r="N4" s="5">
        <v>27</v>
      </c>
      <c r="O4" s="5">
        <v>29</v>
      </c>
      <c r="P4" s="5">
        <v>39</v>
      </c>
      <c r="Q4" s="5">
        <v>40</v>
      </c>
      <c r="R4" s="5">
        <v>43</v>
      </c>
      <c r="S4" s="5">
        <v>44</v>
      </c>
      <c r="T4" s="5">
        <v>45</v>
      </c>
      <c r="U4" s="5">
        <v>45</v>
      </c>
      <c r="V4" s="5">
        <v>46</v>
      </c>
      <c r="W4" s="5">
        <v>46</v>
      </c>
      <c r="X4" s="5">
        <v>47</v>
      </c>
      <c r="Y4" s="5">
        <v>48</v>
      </c>
      <c r="Z4" s="5">
        <v>49</v>
      </c>
      <c r="AA4" s="5">
        <v>49</v>
      </c>
      <c r="AB4" s="5">
        <v>50</v>
      </c>
      <c r="AC4" s="5">
        <v>50</v>
      </c>
      <c r="AD4" s="5">
        <v>51</v>
      </c>
      <c r="AE4" s="5">
        <v>51</v>
      </c>
      <c r="AF4" s="5">
        <v>52</v>
      </c>
      <c r="AG4" s="5">
        <v>54</v>
      </c>
      <c r="AH4" s="5">
        <v>54</v>
      </c>
      <c r="AI4" s="5">
        <v>56</v>
      </c>
      <c r="AJ4" s="5">
        <v>56</v>
      </c>
      <c r="AK4" s="5">
        <v>60</v>
      </c>
      <c r="AL4" s="5">
        <v>61</v>
      </c>
      <c r="AM4" s="5">
        <v>62</v>
      </c>
      <c r="AN4" s="5">
        <v>62</v>
      </c>
      <c r="AO4" s="5">
        <v>63</v>
      </c>
      <c r="AP4" s="5">
        <v>63</v>
      </c>
      <c r="AQ4" s="5">
        <v>66</v>
      </c>
      <c r="AR4" s="5">
        <v>68</v>
      </c>
      <c r="AS4" s="5">
        <v>68</v>
      </c>
      <c r="AT4" s="5">
        <v>69</v>
      </c>
      <c r="AU4" s="5">
        <v>72</v>
      </c>
      <c r="AV4" s="5">
        <v>72</v>
      </c>
      <c r="AW4" s="5">
        <v>73</v>
      </c>
      <c r="AX4" s="5">
        <v>73</v>
      </c>
      <c r="AY4" s="6"/>
      <c r="AZ4" s="5"/>
      <c r="BA4" s="5"/>
    </row>
    <row r="5" spans="1:53">
      <c r="A5" s="5"/>
      <c r="B5" s="5" t="s">
        <v>8</v>
      </c>
      <c r="C5" s="5" t="s">
        <v>9</v>
      </c>
      <c r="D5" s="5" t="s">
        <v>9</v>
      </c>
      <c r="E5" s="5" t="s">
        <v>9</v>
      </c>
      <c r="F5" s="5" t="s">
        <v>10</v>
      </c>
      <c r="G5" s="5" t="s">
        <v>9</v>
      </c>
      <c r="H5" s="5" t="s">
        <v>10</v>
      </c>
      <c r="I5" s="5" t="s">
        <v>9</v>
      </c>
      <c r="J5" s="5" t="s">
        <v>9</v>
      </c>
      <c r="K5" s="5" t="s">
        <v>10</v>
      </c>
      <c r="L5" s="5" t="s">
        <v>9</v>
      </c>
      <c r="M5" s="5" t="s">
        <v>9</v>
      </c>
      <c r="N5" s="5" t="s">
        <v>10</v>
      </c>
      <c r="O5" s="5" t="s">
        <v>10</v>
      </c>
      <c r="P5" s="5" t="s">
        <v>9</v>
      </c>
      <c r="Q5" s="5" t="s">
        <v>9</v>
      </c>
      <c r="R5" s="5" t="s">
        <v>10</v>
      </c>
      <c r="S5" s="5" t="s">
        <v>9</v>
      </c>
      <c r="T5" s="5" t="s">
        <v>9</v>
      </c>
      <c r="U5" s="5" t="s">
        <v>9</v>
      </c>
      <c r="V5" s="5" t="s">
        <v>10</v>
      </c>
      <c r="W5" s="5" t="s">
        <v>9</v>
      </c>
      <c r="X5" s="5" t="s">
        <v>9</v>
      </c>
      <c r="Y5" s="5" t="s">
        <v>9</v>
      </c>
      <c r="Z5" s="5" t="s">
        <v>9</v>
      </c>
      <c r="AA5" s="5" t="s">
        <v>10</v>
      </c>
      <c r="AB5" s="5" t="s">
        <v>10</v>
      </c>
      <c r="AC5" s="5" t="s">
        <v>9</v>
      </c>
      <c r="AD5" s="5" t="s">
        <v>9</v>
      </c>
      <c r="AE5" s="5" t="s">
        <v>9</v>
      </c>
      <c r="AF5" s="5" t="s">
        <v>10</v>
      </c>
      <c r="AG5" s="5" t="s">
        <v>9</v>
      </c>
      <c r="AH5" s="5" t="s">
        <v>9</v>
      </c>
      <c r="AI5" s="5" t="s">
        <v>9</v>
      </c>
      <c r="AJ5" s="5" t="s">
        <v>9</v>
      </c>
      <c r="AK5" s="5" t="s">
        <v>9</v>
      </c>
      <c r="AL5" s="5" t="s">
        <v>10</v>
      </c>
      <c r="AM5" s="5" t="s">
        <v>9</v>
      </c>
      <c r="AN5" s="5" t="s">
        <v>9</v>
      </c>
      <c r="AO5" s="5" t="s">
        <v>9</v>
      </c>
      <c r="AP5" s="5" t="s">
        <v>9</v>
      </c>
      <c r="AQ5" s="5" t="s">
        <v>10</v>
      </c>
      <c r="AR5" s="5" t="s">
        <v>9</v>
      </c>
      <c r="AS5" s="5" t="s">
        <v>9</v>
      </c>
      <c r="AT5" s="5" t="s">
        <v>10</v>
      </c>
      <c r="AU5" s="5" t="s">
        <v>10</v>
      </c>
      <c r="AV5" s="5" t="s">
        <v>10</v>
      </c>
      <c r="AW5" s="5"/>
      <c r="AX5" s="5" t="s">
        <v>9</v>
      </c>
      <c r="AY5" s="6"/>
      <c r="AZ5" s="5"/>
      <c r="BA5" s="5"/>
    </row>
    <row r="6" spans="1:53">
      <c r="A6" s="5"/>
      <c r="B6" s="5" t="s">
        <v>11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/>
      <c r="S6" s="5" t="s">
        <v>12</v>
      </c>
      <c r="T6" s="5" t="s">
        <v>12</v>
      </c>
      <c r="U6" s="5" t="s">
        <v>12</v>
      </c>
      <c r="V6" s="5" t="s">
        <v>12</v>
      </c>
      <c r="W6" s="5" t="s">
        <v>12</v>
      </c>
      <c r="X6" s="5" t="s">
        <v>12</v>
      </c>
      <c r="Y6" s="5" t="s">
        <v>12</v>
      </c>
      <c r="Z6" s="5" t="s">
        <v>12</v>
      </c>
      <c r="AA6" s="5" t="s">
        <v>12</v>
      </c>
      <c r="AB6" s="5" t="s">
        <v>12</v>
      </c>
      <c r="AC6" s="5" t="s">
        <v>12</v>
      </c>
      <c r="AD6" s="5" t="s">
        <v>12</v>
      </c>
      <c r="AE6" s="5" t="s">
        <v>12</v>
      </c>
      <c r="AF6" s="5" t="s">
        <v>12</v>
      </c>
      <c r="AG6" s="5" t="s">
        <v>12</v>
      </c>
      <c r="AH6" s="5" t="s">
        <v>12</v>
      </c>
      <c r="AI6" s="5"/>
      <c r="AJ6" s="5" t="s">
        <v>12</v>
      </c>
      <c r="AK6" s="5" t="s">
        <v>12</v>
      </c>
      <c r="AL6" s="5" t="s">
        <v>12</v>
      </c>
      <c r="AM6" s="5" t="s">
        <v>12</v>
      </c>
      <c r="AN6" s="5" t="s">
        <v>12</v>
      </c>
      <c r="AO6" s="5" t="s">
        <v>12</v>
      </c>
      <c r="AP6" s="5" t="s">
        <v>12</v>
      </c>
      <c r="AQ6" s="5" t="s">
        <v>12</v>
      </c>
      <c r="AR6" s="5" t="s">
        <v>12</v>
      </c>
      <c r="AS6" s="5" t="s">
        <v>12</v>
      </c>
      <c r="AT6" s="5" t="s">
        <v>12</v>
      </c>
      <c r="AU6" s="5" t="s">
        <v>12</v>
      </c>
      <c r="AV6" s="5" t="s">
        <v>12</v>
      </c>
      <c r="AW6" s="5" t="s">
        <v>12</v>
      </c>
      <c r="AX6" s="5"/>
      <c r="AY6" s="6"/>
      <c r="AZ6" s="5"/>
      <c r="BA6" s="5"/>
    </row>
    <row r="7" spans="1:53">
      <c r="A7" s="5"/>
      <c r="B7" s="5" t="s">
        <v>13</v>
      </c>
      <c r="C7" s="5"/>
      <c r="D7" s="5" t="s">
        <v>15</v>
      </c>
      <c r="E7" s="5" t="s">
        <v>15</v>
      </c>
      <c r="F7" s="5" t="s">
        <v>15</v>
      </c>
      <c r="G7" s="5" t="s">
        <v>15</v>
      </c>
      <c r="H7" s="5" t="s">
        <v>14</v>
      </c>
      <c r="I7" s="5" t="s">
        <v>15</v>
      </c>
      <c r="J7" s="5" t="s">
        <v>15</v>
      </c>
      <c r="K7" s="5" t="s">
        <v>16</v>
      </c>
      <c r="L7" s="5" t="s">
        <v>17</v>
      </c>
      <c r="M7" s="5"/>
      <c r="N7" s="5"/>
      <c r="O7" s="5" t="s">
        <v>16</v>
      </c>
      <c r="P7" s="5" t="s">
        <v>15</v>
      </c>
      <c r="Q7" s="5"/>
      <c r="R7" s="5" t="s">
        <v>15</v>
      </c>
      <c r="S7" s="5"/>
      <c r="T7" s="5" t="s">
        <v>15</v>
      </c>
      <c r="U7" s="5" t="s">
        <v>15</v>
      </c>
      <c r="V7" s="5" t="s">
        <v>16</v>
      </c>
      <c r="W7" s="5" t="s">
        <v>15</v>
      </c>
      <c r="X7" s="5" t="s">
        <v>16</v>
      </c>
      <c r="Y7" s="5"/>
      <c r="Z7" s="5" t="s">
        <v>15</v>
      </c>
      <c r="AA7" s="5" t="s">
        <v>16</v>
      </c>
      <c r="AB7" s="5" t="s">
        <v>15</v>
      </c>
      <c r="AC7" s="5" t="s">
        <v>15</v>
      </c>
      <c r="AD7" s="5" t="s">
        <v>15</v>
      </c>
      <c r="AE7" s="5" t="s">
        <v>15</v>
      </c>
      <c r="AF7" s="5" t="s">
        <v>15</v>
      </c>
      <c r="AG7" s="5" t="s">
        <v>15</v>
      </c>
      <c r="AH7" s="7"/>
      <c r="AI7" s="5" t="s">
        <v>15</v>
      </c>
      <c r="AJ7" s="5"/>
      <c r="AK7" s="5"/>
      <c r="AL7" s="5" t="s">
        <v>15</v>
      </c>
      <c r="AM7" s="5" t="s">
        <v>16</v>
      </c>
      <c r="AN7" s="7"/>
      <c r="AO7" s="5" t="s">
        <v>15</v>
      </c>
      <c r="AP7" s="5" t="s">
        <v>16</v>
      </c>
      <c r="AQ7" s="5" t="s">
        <v>16</v>
      </c>
      <c r="AR7" s="5" t="s">
        <v>15</v>
      </c>
      <c r="AS7" s="5" t="s">
        <v>15</v>
      </c>
      <c r="AT7" s="5" t="s">
        <v>15</v>
      </c>
      <c r="AU7" s="5" t="s">
        <v>16</v>
      </c>
      <c r="AV7" s="5" t="s">
        <v>16</v>
      </c>
      <c r="AW7" s="5"/>
      <c r="AX7" s="5" t="s">
        <v>15</v>
      </c>
      <c r="AY7" s="6"/>
      <c r="AZ7" s="5"/>
      <c r="BA7" s="5"/>
    </row>
    <row r="8" spans="1:53">
      <c r="A8" s="8" t="s">
        <v>18</v>
      </c>
      <c r="B8" s="83" t="s">
        <v>19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10"/>
      <c r="AZ8" s="9">
        <f>COLUMNS(C10:AX10)</f>
        <v>48</v>
      </c>
      <c r="BA8" s="9"/>
    </row>
    <row r="9" spans="1:53">
      <c r="A9" s="8" t="s">
        <v>20</v>
      </c>
      <c r="B9" s="75" t="s">
        <v>21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10"/>
      <c r="AZ9" s="9"/>
      <c r="BA9" s="9"/>
    </row>
    <row r="10" spans="1:53">
      <c r="A10" s="8" t="s">
        <v>22</v>
      </c>
      <c r="B10" s="12" t="s">
        <v>23</v>
      </c>
      <c r="C10" s="75">
        <v>2</v>
      </c>
      <c r="D10" s="75">
        <v>1.9</v>
      </c>
      <c r="E10" s="75">
        <v>1</v>
      </c>
      <c r="F10" s="75">
        <v>1.5</v>
      </c>
      <c r="G10" s="75">
        <v>1</v>
      </c>
      <c r="H10" s="75">
        <v>3</v>
      </c>
      <c r="I10" s="75">
        <v>1.5</v>
      </c>
      <c r="J10" s="75">
        <v>3</v>
      </c>
      <c r="K10" s="75">
        <v>3</v>
      </c>
      <c r="L10" s="75">
        <v>1.2</v>
      </c>
      <c r="M10" s="75">
        <v>1</v>
      </c>
      <c r="N10" s="75">
        <v>1.8</v>
      </c>
      <c r="O10" s="75">
        <v>1</v>
      </c>
      <c r="P10" s="75">
        <v>2</v>
      </c>
      <c r="Q10" s="75">
        <v>1</v>
      </c>
      <c r="R10" s="75">
        <v>2</v>
      </c>
      <c r="S10" s="75">
        <v>4</v>
      </c>
      <c r="T10" s="75">
        <v>1</v>
      </c>
      <c r="U10" s="75">
        <v>1</v>
      </c>
      <c r="V10" s="75">
        <v>1</v>
      </c>
      <c r="W10" s="75">
        <v>1</v>
      </c>
      <c r="X10" s="75">
        <v>1.5</v>
      </c>
      <c r="Y10" s="75">
        <v>1</v>
      </c>
      <c r="Z10" s="75">
        <v>1</v>
      </c>
      <c r="AA10" s="75">
        <v>1</v>
      </c>
      <c r="AB10" s="75">
        <v>4</v>
      </c>
      <c r="AC10" s="75">
        <v>3</v>
      </c>
      <c r="AD10" s="75">
        <v>1</v>
      </c>
      <c r="AE10" s="75">
        <v>1.5</v>
      </c>
      <c r="AF10" s="75">
        <v>1</v>
      </c>
      <c r="AG10" s="75">
        <v>1.5</v>
      </c>
      <c r="AH10" s="75">
        <v>1</v>
      </c>
      <c r="AI10" s="75">
        <v>1.5</v>
      </c>
      <c r="AJ10" s="75">
        <v>1</v>
      </c>
      <c r="AK10" s="75">
        <v>2</v>
      </c>
      <c r="AL10" s="75">
        <v>1.6</v>
      </c>
      <c r="AM10" s="75">
        <v>1</v>
      </c>
      <c r="AN10" s="75">
        <v>1.5</v>
      </c>
      <c r="AO10" s="75">
        <v>2</v>
      </c>
      <c r="AP10" s="75">
        <v>2</v>
      </c>
      <c r="AQ10" s="75">
        <v>1</v>
      </c>
      <c r="AR10" s="75">
        <v>2</v>
      </c>
      <c r="AS10" s="75">
        <v>1</v>
      </c>
      <c r="AT10" s="75">
        <v>1</v>
      </c>
      <c r="AU10" s="75">
        <v>2</v>
      </c>
      <c r="AV10" s="75">
        <v>1</v>
      </c>
      <c r="AW10" s="75">
        <v>1</v>
      </c>
      <c r="AX10" s="75">
        <v>2</v>
      </c>
      <c r="AY10" s="13">
        <f t="array" ref="AY10">SUM(IF(C10:AX10&gt;20, 0, 20-ROUND(C10:AX10,0)))</f>
        <v>879</v>
      </c>
      <c r="AZ10" s="75">
        <f t="shared" ref="AZ10:AZ26" si="0">0.454*(AY10/COLUMNS(C10:AX10))</f>
        <v>8.3138749999999995</v>
      </c>
      <c r="BA10" s="75"/>
    </row>
    <row r="11" spans="1:53">
      <c r="A11" s="8"/>
      <c r="B11" s="12" t="s">
        <v>24</v>
      </c>
      <c r="C11" s="75">
        <v>3</v>
      </c>
      <c r="D11" s="75">
        <v>7</v>
      </c>
      <c r="E11" s="75">
        <v>8</v>
      </c>
      <c r="F11" s="75">
        <v>1.8</v>
      </c>
      <c r="G11" s="75">
        <v>3</v>
      </c>
      <c r="H11" s="75">
        <v>7</v>
      </c>
      <c r="I11" s="75">
        <v>7</v>
      </c>
      <c r="J11" s="75">
        <v>3</v>
      </c>
      <c r="K11" s="75">
        <v>5</v>
      </c>
      <c r="L11" s="75">
        <v>3</v>
      </c>
      <c r="M11" s="75">
        <v>16</v>
      </c>
      <c r="N11" s="75">
        <v>7</v>
      </c>
      <c r="O11" s="75">
        <v>3</v>
      </c>
      <c r="P11" s="75">
        <v>6</v>
      </c>
      <c r="Q11" s="75">
        <v>4</v>
      </c>
      <c r="R11" s="75">
        <v>13</v>
      </c>
      <c r="S11" s="75">
        <v>8</v>
      </c>
      <c r="T11" s="75">
        <v>8.5</v>
      </c>
      <c r="U11" s="75">
        <v>7</v>
      </c>
      <c r="V11" s="75">
        <v>5</v>
      </c>
      <c r="W11" s="75">
        <v>3</v>
      </c>
      <c r="X11" s="75">
        <v>6</v>
      </c>
      <c r="Y11" s="75">
        <v>6</v>
      </c>
      <c r="Z11" s="75">
        <v>6</v>
      </c>
      <c r="AA11" s="75">
        <v>6</v>
      </c>
      <c r="AB11" s="75">
        <v>7</v>
      </c>
      <c r="AC11" s="75">
        <v>5.5</v>
      </c>
      <c r="AD11" s="75">
        <v>12</v>
      </c>
      <c r="AE11" s="75">
        <v>7</v>
      </c>
      <c r="AF11" s="75">
        <v>3</v>
      </c>
      <c r="AG11" s="75">
        <v>5</v>
      </c>
      <c r="AH11" s="75">
        <v>6</v>
      </c>
      <c r="AI11" s="75">
        <v>7</v>
      </c>
      <c r="AJ11" s="75">
        <v>7</v>
      </c>
      <c r="AK11" s="75">
        <v>3</v>
      </c>
      <c r="AL11" s="75">
        <v>7</v>
      </c>
      <c r="AM11" s="75"/>
      <c r="AN11" s="75">
        <v>7</v>
      </c>
      <c r="AO11" s="75">
        <v>7</v>
      </c>
      <c r="AP11" s="75">
        <v>7</v>
      </c>
      <c r="AQ11" s="75">
        <v>7</v>
      </c>
      <c r="AR11" s="75">
        <v>7</v>
      </c>
      <c r="AS11" s="75">
        <v>7</v>
      </c>
      <c r="AT11" s="75">
        <v>4</v>
      </c>
      <c r="AU11" s="75">
        <v>12</v>
      </c>
      <c r="AV11" s="75">
        <v>5</v>
      </c>
      <c r="AW11" s="75">
        <v>18</v>
      </c>
      <c r="AX11" s="75">
        <v>7</v>
      </c>
      <c r="AY11" s="13">
        <f t="array" ref="AY11">SUM(IF(C11:AX11&gt;20, 0, 20-ROUND(C11:AX11,0)))</f>
        <v>649</v>
      </c>
      <c r="AZ11" s="75">
        <f t="shared" si="0"/>
        <v>6.1384583333333342</v>
      </c>
      <c r="BA11" s="75"/>
    </row>
    <row r="12" spans="1:53">
      <c r="A12" s="8" t="s">
        <v>20</v>
      </c>
      <c r="B12" s="75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3"/>
      <c r="AZ12" s="75">
        <f t="shared" si="0"/>
        <v>0</v>
      </c>
      <c r="BA12" s="9"/>
    </row>
    <row r="13" spans="1:53">
      <c r="A13" s="8" t="s">
        <v>22</v>
      </c>
      <c r="B13" s="12" t="s">
        <v>23</v>
      </c>
      <c r="C13" s="75">
        <v>4</v>
      </c>
      <c r="D13" s="75">
        <v>5</v>
      </c>
      <c r="E13" s="75">
        <v>2</v>
      </c>
      <c r="F13" s="75">
        <v>2</v>
      </c>
      <c r="G13" s="75">
        <v>2</v>
      </c>
      <c r="H13" s="75">
        <v>10</v>
      </c>
      <c r="I13" s="75">
        <v>1.5</v>
      </c>
      <c r="J13" s="75">
        <v>4</v>
      </c>
      <c r="K13" s="75">
        <v>5</v>
      </c>
      <c r="L13" s="75">
        <v>1.5</v>
      </c>
      <c r="M13" s="75">
        <v>2</v>
      </c>
      <c r="N13" s="75">
        <v>3</v>
      </c>
      <c r="O13" s="75">
        <v>2</v>
      </c>
      <c r="P13" s="75">
        <v>4</v>
      </c>
      <c r="Q13" s="75">
        <v>3</v>
      </c>
      <c r="R13" s="75">
        <v>6</v>
      </c>
      <c r="S13" s="75">
        <v>5</v>
      </c>
      <c r="T13" s="75">
        <v>2</v>
      </c>
      <c r="U13" s="75">
        <v>3</v>
      </c>
      <c r="V13" s="75">
        <v>1</v>
      </c>
      <c r="W13" s="75">
        <v>1.5</v>
      </c>
      <c r="X13" s="75">
        <v>3</v>
      </c>
      <c r="Y13" s="75">
        <v>3</v>
      </c>
      <c r="Z13" s="75">
        <v>2.5</v>
      </c>
      <c r="AA13" s="75">
        <v>3</v>
      </c>
      <c r="AB13" s="75">
        <v>6</v>
      </c>
      <c r="AC13" s="75">
        <v>4</v>
      </c>
      <c r="AD13" s="75">
        <v>2.5</v>
      </c>
      <c r="AE13" s="75">
        <v>4</v>
      </c>
      <c r="AF13" s="75">
        <v>5</v>
      </c>
      <c r="AG13" s="75">
        <v>3</v>
      </c>
      <c r="AH13" s="75">
        <v>1</v>
      </c>
      <c r="AI13" s="75">
        <v>4</v>
      </c>
      <c r="AJ13" s="75">
        <v>1</v>
      </c>
      <c r="AK13" s="75">
        <v>3</v>
      </c>
      <c r="AL13" s="75">
        <v>1</v>
      </c>
      <c r="AM13" s="75">
        <v>1</v>
      </c>
      <c r="AN13" s="75">
        <v>2</v>
      </c>
      <c r="AO13" s="75">
        <v>3</v>
      </c>
      <c r="AP13" s="75">
        <v>3</v>
      </c>
      <c r="AQ13" s="75">
        <v>3.5</v>
      </c>
      <c r="AR13" s="75">
        <v>3</v>
      </c>
      <c r="AS13" s="75">
        <v>2</v>
      </c>
      <c r="AT13" s="75">
        <v>7</v>
      </c>
      <c r="AU13" s="75">
        <v>7</v>
      </c>
      <c r="AV13" s="75">
        <v>3</v>
      </c>
      <c r="AW13" s="75">
        <v>1</v>
      </c>
      <c r="AX13" s="75">
        <v>4</v>
      </c>
      <c r="AY13" s="13">
        <f t="array" ref="AY13">SUM(IF(C13:AX13&gt;20, 0, 20-ROUND(C13:AX13,0)))</f>
        <v>802</v>
      </c>
      <c r="AZ13" s="75">
        <f t="shared" si="0"/>
        <v>7.5855833333333331</v>
      </c>
      <c r="BA13" s="75"/>
    </row>
    <row r="14" spans="1:53">
      <c r="A14" s="8"/>
      <c r="B14" s="12" t="s">
        <v>24</v>
      </c>
      <c r="C14" s="75">
        <v>4</v>
      </c>
      <c r="D14" s="75">
        <v>7</v>
      </c>
      <c r="E14" s="75">
        <v>16.5</v>
      </c>
      <c r="F14" s="75">
        <v>2</v>
      </c>
      <c r="G14" s="75">
        <v>5</v>
      </c>
      <c r="H14" s="75">
        <v>13</v>
      </c>
      <c r="I14" s="75">
        <v>12</v>
      </c>
      <c r="J14" s="75">
        <v>4</v>
      </c>
      <c r="K14" s="75">
        <v>10</v>
      </c>
      <c r="L14" s="75">
        <v>5</v>
      </c>
      <c r="M14" s="75">
        <v>19</v>
      </c>
      <c r="N14" s="75">
        <v>10</v>
      </c>
      <c r="O14" s="75">
        <v>5</v>
      </c>
      <c r="P14" s="75">
        <v>8</v>
      </c>
      <c r="Q14" s="75">
        <v>7</v>
      </c>
      <c r="R14" s="75">
        <v>13</v>
      </c>
      <c r="S14" s="75">
        <v>10</v>
      </c>
      <c r="T14" s="75">
        <v>17</v>
      </c>
      <c r="U14" s="75">
        <v>12</v>
      </c>
      <c r="V14" s="75">
        <v>5</v>
      </c>
      <c r="W14" s="75">
        <v>7</v>
      </c>
      <c r="X14" s="75">
        <v>8</v>
      </c>
      <c r="Y14" s="75">
        <v>8</v>
      </c>
      <c r="Z14" s="75">
        <v>17</v>
      </c>
      <c r="AA14" s="75">
        <v>10</v>
      </c>
      <c r="AB14" s="75">
        <v>11</v>
      </c>
      <c r="AC14" s="75">
        <v>5.5</v>
      </c>
      <c r="AD14" s="75">
        <v>12.5</v>
      </c>
      <c r="AE14" s="75">
        <v>10</v>
      </c>
      <c r="AF14" s="75">
        <v>5</v>
      </c>
      <c r="AG14" s="75">
        <v>5</v>
      </c>
      <c r="AH14" s="75">
        <v>11</v>
      </c>
      <c r="AI14" s="75">
        <v>7</v>
      </c>
      <c r="AJ14" s="75">
        <v>12</v>
      </c>
      <c r="AK14" s="75">
        <v>4</v>
      </c>
      <c r="AL14" s="75">
        <v>8</v>
      </c>
      <c r="AM14" s="75">
        <v>7</v>
      </c>
      <c r="AN14" s="75">
        <v>10</v>
      </c>
      <c r="AO14" s="75">
        <v>10</v>
      </c>
      <c r="AP14" s="75">
        <v>10</v>
      </c>
      <c r="AQ14" s="75">
        <v>11</v>
      </c>
      <c r="AR14" s="75">
        <v>10</v>
      </c>
      <c r="AS14" s="75">
        <v>7</v>
      </c>
      <c r="AT14" s="75">
        <v>7</v>
      </c>
      <c r="AU14" s="75">
        <v>12</v>
      </c>
      <c r="AV14" s="75">
        <v>5</v>
      </c>
      <c r="AW14" s="75">
        <v>20</v>
      </c>
      <c r="AX14" s="75">
        <v>10</v>
      </c>
      <c r="AY14" s="13">
        <f t="array" ref="AY14">SUM(IF(C14:AX14&gt;20, 0, 20-ROUND(C14:AX14,0)))</f>
        <v>514</v>
      </c>
      <c r="AZ14" s="75">
        <f t="shared" si="0"/>
        <v>4.8615833333333338</v>
      </c>
      <c r="BA14" s="75"/>
    </row>
    <row r="15" spans="1:53">
      <c r="A15" s="8" t="s">
        <v>26</v>
      </c>
      <c r="B15" s="75" t="s">
        <v>27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0"/>
      <c r="AZ15" s="75">
        <f t="shared" si="0"/>
        <v>0</v>
      </c>
      <c r="BA15" s="9"/>
    </row>
    <row r="16" spans="1:53">
      <c r="A16" s="8"/>
      <c r="B16" s="12" t="s">
        <v>23</v>
      </c>
      <c r="C16" s="75">
        <v>11</v>
      </c>
      <c r="D16" s="75">
        <v>12</v>
      </c>
      <c r="E16" s="75">
        <v>5</v>
      </c>
      <c r="F16" s="75">
        <v>12</v>
      </c>
      <c r="G16" s="75"/>
      <c r="H16" s="75">
        <v>11</v>
      </c>
      <c r="I16" s="75">
        <v>11</v>
      </c>
      <c r="J16" s="75">
        <v>1</v>
      </c>
      <c r="K16" s="75">
        <v>11</v>
      </c>
      <c r="L16" s="75">
        <v>8</v>
      </c>
      <c r="M16" s="75">
        <v>13.5</v>
      </c>
      <c r="N16" s="75">
        <v>11</v>
      </c>
      <c r="O16" s="75">
        <v>11</v>
      </c>
      <c r="P16" s="75">
        <v>11</v>
      </c>
      <c r="Q16" s="75">
        <v>0</v>
      </c>
      <c r="R16" s="75"/>
      <c r="S16" s="75">
        <v>18</v>
      </c>
      <c r="T16" s="75">
        <v>5</v>
      </c>
      <c r="U16" s="75">
        <v>10</v>
      </c>
      <c r="V16" s="75">
        <v>5</v>
      </c>
      <c r="W16" s="75"/>
      <c r="X16" s="75">
        <v>16</v>
      </c>
      <c r="Y16" s="75">
        <v>11</v>
      </c>
      <c r="Z16" s="75">
        <v>0</v>
      </c>
      <c r="AA16" s="75">
        <v>10</v>
      </c>
      <c r="AB16" s="75">
        <v>11</v>
      </c>
      <c r="AC16" s="75">
        <v>0</v>
      </c>
      <c r="AD16" s="75">
        <v>0</v>
      </c>
      <c r="AE16" s="75">
        <v>10</v>
      </c>
      <c r="AF16" s="75">
        <v>10</v>
      </c>
      <c r="AG16" s="75">
        <v>10</v>
      </c>
      <c r="AH16" s="75">
        <v>10</v>
      </c>
      <c r="AI16" s="75">
        <v>10</v>
      </c>
      <c r="AJ16" s="75">
        <v>10</v>
      </c>
      <c r="AK16" s="75"/>
      <c r="AL16" s="75">
        <v>8</v>
      </c>
      <c r="AM16" s="75">
        <v>15</v>
      </c>
      <c r="AN16" s="75">
        <v>15</v>
      </c>
      <c r="AO16" s="75">
        <v>11</v>
      </c>
      <c r="AP16" s="75">
        <v>15</v>
      </c>
      <c r="AQ16" s="75">
        <v>0</v>
      </c>
      <c r="AR16" s="9"/>
      <c r="AS16" s="75">
        <v>12</v>
      </c>
      <c r="AT16" s="75">
        <v>0</v>
      </c>
      <c r="AU16" s="75"/>
      <c r="AV16" s="75">
        <v>18</v>
      </c>
      <c r="AW16" s="75">
        <v>10</v>
      </c>
      <c r="AX16" s="75">
        <v>10</v>
      </c>
      <c r="AY16" s="13">
        <f t="shared" ref="AY16:AY17" si="1">SUM(C16:AX16)</f>
        <v>388.5</v>
      </c>
      <c r="AZ16" s="75">
        <f t="shared" si="0"/>
        <v>3.6745625</v>
      </c>
      <c r="BA16" s="75"/>
    </row>
    <row r="17" spans="1:53">
      <c r="A17" s="8"/>
      <c r="B17" s="12" t="s">
        <v>24</v>
      </c>
      <c r="C17" s="75">
        <v>11</v>
      </c>
      <c r="D17" s="75">
        <v>12</v>
      </c>
      <c r="E17" s="75">
        <v>8</v>
      </c>
      <c r="F17" s="75"/>
      <c r="G17" s="75"/>
      <c r="H17" s="75">
        <v>15</v>
      </c>
      <c r="I17" s="75">
        <v>11</v>
      </c>
      <c r="J17" s="75">
        <v>1</v>
      </c>
      <c r="K17" s="75">
        <v>17</v>
      </c>
      <c r="L17" s="75">
        <v>8</v>
      </c>
      <c r="M17" s="75">
        <v>13.5</v>
      </c>
      <c r="N17" s="75">
        <v>11</v>
      </c>
      <c r="O17" s="75">
        <v>3</v>
      </c>
      <c r="P17" s="75">
        <v>11</v>
      </c>
      <c r="Q17" s="75">
        <v>14</v>
      </c>
      <c r="R17" s="75">
        <v>11</v>
      </c>
      <c r="S17" s="75">
        <v>18</v>
      </c>
      <c r="T17" s="75">
        <v>8</v>
      </c>
      <c r="U17" s="75">
        <v>10</v>
      </c>
      <c r="V17" s="75">
        <v>22</v>
      </c>
      <c r="W17" s="75">
        <v>15</v>
      </c>
      <c r="X17" s="75">
        <v>16</v>
      </c>
      <c r="Y17" s="75">
        <v>11</v>
      </c>
      <c r="Z17" s="75">
        <v>19</v>
      </c>
      <c r="AA17" s="75">
        <v>15</v>
      </c>
      <c r="AB17" s="75">
        <v>11</v>
      </c>
      <c r="AC17" s="75">
        <v>11</v>
      </c>
      <c r="AD17" s="75">
        <v>14.5</v>
      </c>
      <c r="AE17" s="75">
        <v>10</v>
      </c>
      <c r="AF17" s="75">
        <v>11</v>
      </c>
      <c r="AG17" s="75">
        <v>3</v>
      </c>
      <c r="AH17" s="75">
        <v>16</v>
      </c>
      <c r="AI17" s="75">
        <v>10</v>
      </c>
      <c r="AJ17" s="75">
        <v>16</v>
      </c>
      <c r="AK17" s="75"/>
      <c r="AL17" s="75">
        <v>8</v>
      </c>
      <c r="AM17" s="75">
        <v>15</v>
      </c>
      <c r="AN17" s="75">
        <v>15</v>
      </c>
      <c r="AO17" s="75">
        <v>11</v>
      </c>
      <c r="AP17" s="75">
        <v>15</v>
      </c>
      <c r="AQ17" s="75">
        <v>10</v>
      </c>
      <c r="AR17" s="75">
        <v>2.5</v>
      </c>
      <c r="AS17" s="75">
        <v>12</v>
      </c>
      <c r="AT17" s="75">
        <v>15</v>
      </c>
      <c r="AU17" s="75">
        <v>16</v>
      </c>
      <c r="AV17" s="75">
        <v>18</v>
      </c>
      <c r="AW17" s="75">
        <v>10</v>
      </c>
      <c r="AX17" s="75">
        <v>13</v>
      </c>
      <c r="AY17" s="13">
        <f t="shared" si="1"/>
        <v>543.5</v>
      </c>
      <c r="AZ17" s="75">
        <f t="shared" si="0"/>
        <v>5.1406041666666669</v>
      </c>
      <c r="BA17" s="75"/>
    </row>
    <row r="18" spans="1:53">
      <c r="A18" s="8" t="s">
        <v>26</v>
      </c>
      <c r="B18" s="75" t="s">
        <v>28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0"/>
      <c r="AZ18" s="75">
        <f t="shared" si="0"/>
        <v>0</v>
      </c>
      <c r="BA18" s="9"/>
    </row>
    <row r="19" spans="1:53">
      <c r="A19" s="8" t="s">
        <v>29</v>
      </c>
      <c r="B19" s="12" t="s">
        <v>23</v>
      </c>
      <c r="C19" s="75">
        <v>18</v>
      </c>
      <c r="D19" s="75">
        <v>19</v>
      </c>
      <c r="E19" s="75">
        <v>20</v>
      </c>
      <c r="F19" s="75">
        <v>20</v>
      </c>
      <c r="G19" s="75">
        <v>20</v>
      </c>
      <c r="H19" s="75">
        <v>21</v>
      </c>
      <c r="I19" s="75">
        <v>21</v>
      </c>
      <c r="J19" s="75">
        <v>22</v>
      </c>
      <c r="K19" s="75">
        <v>16</v>
      </c>
      <c r="L19" s="75">
        <v>24</v>
      </c>
      <c r="M19" s="75">
        <v>24</v>
      </c>
      <c r="N19" s="75">
        <v>27</v>
      </c>
      <c r="O19" s="75">
        <v>29</v>
      </c>
      <c r="P19" s="75">
        <v>39</v>
      </c>
      <c r="Q19" s="75">
        <v>40</v>
      </c>
      <c r="R19" s="75">
        <v>43</v>
      </c>
      <c r="S19" s="75">
        <v>44</v>
      </c>
      <c r="T19" s="75">
        <v>45</v>
      </c>
      <c r="U19" s="75">
        <v>45</v>
      </c>
      <c r="V19" s="75">
        <v>46</v>
      </c>
      <c r="W19" s="75">
        <v>46</v>
      </c>
      <c r="X19" s="75">
        <v>47</v>
      </c>
      <c r="Y19" s="75">
        <v>48</v>
      </c>
      <c r="Z19" s="75">
        <v>49</v>
      </c>
      <c r="AA19" s="75">
        <v>49</v>
      </c>
      <c r="AB19" s="75">
        <v>50</v>
      </c>
      <c r="AC19" s="75">
        <v>50</v>
      </c>
      <c r="AD19" s="75">
        <v>51</v>
      </c>
      <c r="AE19" s="75">
        <v>51</v>
      </c>
      <c r="AF19" s="75">
        <v>52</v>
      </c>
      <c r="AG19" s="75">
        <v>54</v>
      </c>
      <c r="AH19" s="75">
        <v>54</v>
      </c>
      <c r="AI19" s="75">
        <v>56</v>
      </c>
      <c r="AJ19" s="75">
        <v>56</v>
      </c>
      <c r="AK19" s="75">
        <v>40</v>
      </c>
      <c r="AL19" s="75">
        <v>61</v>
      </c>
      <c r="AM19" s="75">
        <v>62</v>
      </c>
      <c r="AN19" s="75">
        <v>62</v>
      </c>
      <c r="AO19" s="75">
        <v>63</v>
      </c>
      <c r="AP19" s="75">
        <v>63</v>
      </c>
      <c r="AQ19" s="75">
        <v>66</v>
      </c>
      <c r="AR19" s="75">
        <v>66</v>
      </c>
      <c r="AS19" s="75">
        <v>68</v>
      </c>
      <c r="AT19" s="75">
        <v>69</v>
      </c>
      <c r="AU19" s="75">
        <v>60</v>
      </c>
      <c r="AV19" s="75">
        <v>68</v>
      </c>
      <c r="AW19" s="75">
        <v>70</v>
      </c>
      <c r="AX19" s="75">
        <v>73</v>
      </c>
      <c r="AY19" s="13">
        <f t="array" ref="AY19">SUM(IF(C19:AX19&gt;20, 20, C19:AX19))</f>
        <v>953</v>
      </c>
      <c r="AZ19" s="75">
        <f t="shared" si="0"/>
        <v>9.013791666666668</v>
      </c>
      <c r="BA19" s="75"/>
    </row>
    <row r="20" spans="1:53">
      <c r="A20" s="8"/>
      <c r="B20" s="12" t="s">
        <v>24</v>
      </c>
      <c r="C20" s="75">
        <v>18</v>
      </c>
      <c r="D20" s="75">
        <v>19</v>
      </c>
      <c r="E20" s="75">
        <v>20</v>
      </c>
      <c r="F20" s="75">
        <v>20</v>
      </c>
      <c r="G20" s="75">
        <v>20</v>
      </c>
      <c r="H20" s="75">
        <v>21</v>
      </c>
      <c r="I20" s="75">
        <v>21</v>
      </c>
      <c r="J20" s="75">
        <v>22</v>
      </c>
      <c r="K20" s="75">
        <v>23</v>
      </c>
      <c r="L20" s="75">
        <v>24</v>
      </c>
      <c r="M20" s="75">
        <v>24</v>
      </c>
      <c r="N20" s="75">
        <v>27</v>
      </c>
      <c r="O20" s="75">
        <v>29</v>
      </c>
      <c r="P20" s="75">
        <v>39</v>
      </c>
      <c r="Q20" s="75">
        <v>40</v>
      </c>
      <c r="R20" s="75">
        <v>43</v>
      </c>
      <c r="S20" s="75">
        <v>44</v>
      </c>
      <c r="T20" s="75">
        <v>45</v>
      </c>
      <c r="U20" s="75">
        <v>45</v>
      </c>
      <c r="V20" s="75">
        <v>46</v>
      </c>
      <c r="W20" s="75">
        <v>46</v>
      </c>
      <c r="X20" s="75">
        <v>47</v>
      </c>
      <c r="Y20" s="75">
        <v>48</v>
      </c>
      <c r="Z20" s="75">
        <v>49</v>
      </c>
      <c r="AA20" s="75">
        <v>49</v>
      </c>
      <c r="AB20" s="75">
        <v>50</v>
      </c>
      <c r="AC20" s="75">
        <v>50</v>
      </c>
      <c r="AD20" s="75">
        <v>51</v>
      </c>
      <c r="AE20" s="75">
        <v>51</v>
      </c>
      <c r="AF20" s="75">
        <v>52</v>
      </c>
      <c r="AG20" s="75">
        <v>54</v>
      </c>
      <c r="AH20" s="75">
        <v>54</v>
      </c>
      <c r="AI20" s="75">
        <v>56</v>
      </c>
      <c r="AJ20" s="75">
        <v>56</v>
      </c>
      <c r="AK20" s="75">
        <v>40</v>
      </c>
      <c r="AL20" s="75">
        <v>61</v>
      </c>
      <c r="AM20" s="75">
        <v>62</v>
      </c>
      <c r="AN20" s="75">
        <v>62</v>
      </c>
      <c r="AO20" s="75">
        <v>63</v>
      </c>
      <c r="AP20" s="75">
        <v>63</v>
      </c>
      <c r="AQ20" s="75">
        <v>66</v>
      </c>
      <c r="AR20" s="75">
        <v>66</v>
      </c>
      <c r="AS20" s="75">
        <v>68</v>
      </c>
      <c r="AT20" s="75">
        <v>69</v>
      </c>
      <c r="AU20" s="75">
        <v>72</v>
      </c>
      <c r="AV20" s="75">
        <v>68</v>
      </c>
      <c r="AW20" s="75">
        <v>70</v>
      </c>
      <c r="AX20" s="75">
        <v>73</v>
      </c>
      <c r="AY20" s="13">
        <f t="array" ref="AY20">SUM(IF(C20:AX20&gt;20, 20, C20:AX20))</f>
        <v>957</v>
      </c>
      <c r="AZ20" s="75">
        <f t="shared" si="0"/>
        <v>9.0516249999999996</v>
      </c>
      <c r="BA20" s="75"/>
    </row>
    <row r="21" spans="1:53">
      <c r="A21" s="8" t="s">
        <v>26</v>
      </c>
      <c r="B21" s="75" t="s">
        <v>30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75"/>
      <c r="AV21" s="9"/>
      <c r="AW21" s="9"/>
      <c r="AX21" s="9"/>
      <c r="AY21" s="13">
        <f t="array" ref="AY21">SUM(IF(C21:AX21&gt;20, 20, C21:AX21))</f>
        <v>0</v>
      </c>
      <c r="AZ21" s="75">
        <f t="shared" si="0"/>
        <v>0</v>
      </c>
      <c r="BA21" s="9"/>
    </row>
    <row r="22" spans="1:53">
      <c r="A22" s="8" t="s">
        <v>29</v>
      </c>
      <c r="B22" s="12" t="s">
        <v>23</v>
      </c>
      <c r="C22" s="75">
        <v>18</v>
      </c>
      <c r="D22" s="75">
        <v>19</v>
      </c>
      <c r="E22" s="75">
        <v>20</v>
      </c>
      <c r="F22" s="75">
        <v>20</v>
      </c>
      <c r="G22" s="75">
        <v>20</v>
      </c>
      <c r="H22" s="75">
        <v>21</v>
      </c>
      <c r="I22" s="75">
        <v>21</v>
      </c>
      <c r="J22" s="75">
        <v>22</v>
      </c>
      <c r="K22" s="75">
        <v>16</v>
      </c>
      <c r="L22" s="75">
        <v>24</v>
      </c>
      <c r="M22" s="75">
        <v>24</v>
      </c>
      <c r="N22" s="75">
        <v>27</v>
      </c>
      <c r="O22" s="75">
        <v>29</v>
      </c>
      <c r="P22" s="75">
        <v>39</v>
      </c>
      <c r="Q22" s="75">
        <v>40</v>
      </c>
      <c r="R22" s="75">
        <v>43</v>
      </c>
      <c r="S22" s="75">
        <v>44</v>
      </c>
      <c r="T22" s="75">
        <v>45</v>
      </c>
      <c r="U22" s="75">
        <v>45</v>
      </c>
      <c r="V22" s="75">
        <v>46</v>
      </c>
      <c r="W22" s="75">
        <v>46</v>
      </c>
      <c r="X22" s="75">
        <v>47</v>
      </c>
      <c r="Y22" s="75">
        <v>48</v>
      </c>
      <c r="Z22" s="75">
        <v>49</v>
      </c>
      <c r="AA22" s="75">
        <v>49</v>
      </c>
      <c r="AB22" s="75">
        <v>50</v>
      </c>
      <c r="AC22" s="75">
        <v>50</v>
      </c>
      <c r="AD22" s="75">
        <v>36</v>
      </c>
      <c r="AE22" s="75">
        <v>51</v>
      </c>
      <c r="AF22" s="75">
        <v>52</v>
      </c>
      <c r="AG22" s="75">
        <v>54</v>
      </c>
      <c r="AH22" s="75">
        <v>54</v>
      </c>
      <c r="AI22" s="75">
        <v>56</v>
      </c>
      <c r="AJ22" s="75">
        <v>56</v>
      </c>
      <c r="AK22" s="75">
        <v>60</v>
      </c>
      <c r="AL22" s="75">
        <v>61</v>
      </c>
      <c r="AM22" s="75">
        <v>62</v>
      </c>
      <c r="AN22" s="75">
        <v>62</v>
      </c>
      <c r="AO22" s="75">
        <v>63</v>
      </c>
      <c r="AP22" s="75">
        <v>63</v>
      </c>
      <c r="AQ22" s="75">
        <v>66</v>
      </c>
      <c r="AR22" s="75">
        <v>68</v>
      </c>
      <c r="AS22" s="75">
        <v>68</v>
      </c>
      <c r="AT22" s="75">
        <v>69</v>
      </c>
      <c r="AU22" s="75">
        <v>72</v>
      </c>
      <c r="AV22" s="75">
        <v>72</v>
      </c>
      <c r="AW22" s="75">
        <v>73</v>
      </c>
      <c r="AX22" s="75">
        <v>73</v>
      </c>
      <c r="AY22" s="13">
        <f t="array" ref="AY22">SUM(IF(C22:AX22&gt;20, 20, C22:AX22))</f>
        <v>953</v>
      </c>
      <c r="AZ22" s="75">
        <f t="shared" si="0"/>
        <v>9.013791666666668</v>
      </c>
      <c r="BA22" s="75"/>
    </row>
    <row r="23" spans="1:53">
      <c r="A23" s="8"/>
      <c r="B23" s="12" t="s">
        <v>24</v>
      </c>
      <c r="C23" s="75">
        <v>0</v>
      </c>
      <c r="D23" s="75">
        <v>2</v>
      </c>
      <c r="E23" s="75">
        <v>0</v>
      </c>
      <c r="F23" s="9"/>
      <c r="G23" s="75">
        <v>0</v>
      </c>
      <c r="H23" s="75">
        <v>21</v>
      </c>
      <c r="I23" s="75">
        <v>21</v>
      </c>
      <c r="J23" s="75">
        <v>22</v>
      </c>
      <c r="K23" s="75">
        <v>23</v>
      </c>
      <c r="L23" s="75"/>
      <c r="M23" s="75">
        <v>7</v>
      </c>
      <c r="N23" s="75">
        <v>27</v>
      </c>
      <c r="O23" s="75">
        <v>0</v>
      </c>
      <c r="P23" s="75"/>
      <c r="Q23" s="75">
        <v>40</v>
      </c>
      <c r="R23" s="75">
        <v>0</v>
      </c>
      <c r="S23" s="75">
        <v>44</v>
      </c>
      <c r="T23" s="75">
        <v>0</v>
      </c>
      <c r="U23" s="75">
        <v>45</v>
      </c>
      <c r="V23" s="75">
        <v>46</v>
      </c>
      <c r="W23" s="75">
        <v>0</v>
      </c>
      <c r="X23" s="75"/>
      <c r="Y23" s="75">
        <v>0</v>
      </c>
      <c r="Z23" s="75">
        <v>17</v>
      </c>
      <c r="AA23" s="75">
        <v>49</v>
      </c>
      <c r="AB23" s="75">
        <v>0</v>
      </c>
      <c r="AC23" s="75"/>
      <c r="AD23" s="75">
        <v>15</v>
      </c>
      <c r="AE23" s="75">
        <v>51</v>
      </c>
      <c r="AF23" s="75"/>
      <c r="AG23" s="75">
        <v>54</v>
      </c>
      <c r="AH23" s="75"/>
      <c r="AI23" s="75">
        <v>56</v>
      </c>
      <c r="AJ23" s="75"/>
      <c r="AK23" s="75">
        <v>60</v>
      </c>
      <c r="AL23" s="75">
        <v>61</v>
      </c>
      <c r="AM23" s="75"/>
      <c r="AN23" s="75">
        <v>0</v>
      </c>
      <c r="AO23" s="75">
        <v>63</v>
      </c>
      <c r="AP23" s="75">
        <v>63</v>
      </c>
      <c r="AQ23" s="75">
        <v>66</v>
      </c>
      <c r="AR23" s="75">
        <v>68</v>
      </c>
      <c r="AS23" s="75">
        <v>68</v>
      </c>
      <c r="AT23" s="75">
        <v>69</v>
      </c>
      <c r="AU23" s="75">
        <v>0</v>
      </c>
      <c r="AV23" s="75">
        <v>72</v>
      </c>
      <c r="AW23" s="75">
        <v>48</v>
      </c>
      <c r="AX23" s="75">
        <v>0</v>
      </c>
      <c r="AY23" s="13">
        <f t="array" ref="AY23">SUM(IF(C23:AX23&gt;20, 20, C23:AX23))</f>
        <v>501</v>
      </c>
      <c r="AZ23" s="75">
        <f t="shared" si="0"/>
        <v>4.7386249999999999</v>
      </c>
      <c r="BA23" s="75"/>
    </row>
    <row r="24" spans="1:53">
      <c r="A24" s="8" t="s">
        <v>26</v>
      </c>
      <c r="B24" s="75" t="s">
        <v>31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13">
        <f t="array" ref="AY24">SUM(IF(C24:AX24&gt;20, 20, C24:AX24))</f>
        <v>0</v>
      </c>
      <c r="AZ24" s="75">
        <f t="shared" si="0"/>
        <v>0</v>
      </c>
      <c r="BA24" s="9"/>
    </row>
    <row r="25" spans="1:53">
      <c r="A25" s="8" t="s">
        <v>29</v>
      </c>
      <c r="B25" s="12" t="s">
        <v>23</v>
      </c>
      <c r="C25" s="9"/>
      <c r="D25" s="75">
        <v>16</v>
      </c>
      <c r="E25" s="75"/>
      <c r="F25" s="75"/>
      <c r="G25" s="75">
        <v>1</v>
      </c>
      <c r="H25" s="75">
        <v>15</v>
      </c>
      <c r="I25" s="75"/>
      <c r="J25" s="75">
        <v>3</v>
      </c>
      <c r="K25" s="75">
        <v>16</v>
      </c>
      <c r="L25" s="75">
        <v>24</v>
      </c>
      <c r="M25" s="75">
        <v>24</v>
      </c>
      <c r="N25" s="75"/>
      <c r="O25" s="75">
        <v>6</v>
      </c>
      <c r="P25" s="75">
        <v>25</v>
      </c>
      <c r="Q25" s="75">
        <v>2</v>
      </c>
      <c r="R25" s="75">
        <v>5</v>
      </c>
      <c r="S25" s="75">
        <v>24</v>
      </c>
      <c r="T25" s="9"/>
      <c r="U25" s="75">
        <v>25</v>
      </c>
      <c r="V25" s="75">
        <v>25</v>
      </c>
      <c r="W25" s="75">
        <v>24</v>
      </c>
      <c r="X25" s="75">
        <v>24</v>
      </c>
      <c r="Y25" s="75"/>
      <c r="Z25" s="75">
        <v>25</v>
      </c>
      <c r="AA25" s="75">
        <v>30</v>
      </c>
      <c r="AB25" s="75">
        <v>5</v>
      </c>
      <c r="AC25" s="75">
        <v>7</v>
      </c>
      <c r="AD25" s="75">
        <v>28</v>
      </c>
      <c r="AE25" s="75">
        <v>51</v>
      </c>
      <c r="AF25" s="75">
        <v>30</v>
      </c>
      <c r="AG25" s="75">
        <v>30</v>
      </c>
      <c r="AH25" s="75">
        <v>30</v>
      </c>
      <c r="AI25" s="75">
        <v>16</v>
      </c>
      <c r="AJ25" s="75">
        <v>28</v>
      </c>
      <c r="AK25" s="75">
        <v>30</v>
      </c>
      <c r="AL25" s="75">
        <v>40</v>
      </c>
      <c r="AM25" s="75">
        <v>40</v>
      </c>
      <c r="AN25" s="75">
        <v>35</v>
      </c>
      <c r="AO25" s="75">
        <v>29</v>
      </c>
      <c r="AP25" s="75"/>
      <c r="AQ25" s="75">
        <v>10</v>
      </c>
      <c r="AR25" s="75">
        <v>20</v>
      </c>
      <c r="AS25" s="75">
        <v>68</v>
      </c>
      <c r="AT25" s="75">
        <v>47</v>
      </c>
      <c r="AU25" s="75">
        <v>35</v>
      </c>
      <c r="AV25" s="75">
        <v>53</v>
      </c>
      <c r="AW25" s="75">
        <v>73</v>
      </c>
      <c r="AX25" s="75">
        <v>0</v>
      </c>
      <c r="AY25" s="13">
        <f t="array" ref="AY25">SUM(IF(C25:AX25&gt;20, 20, C25:AX25))</f>
        <v>642</v>
      </c>
      <c r="AZ25" s="75">
        <f t="shared" si="0"/>
        <v>6.0722500000000004</v>
      </c>
      <c r="BA25" s="75"/>
    </row>
    <row r="26" spans="1:53">
      <c r="A26" s="12"/>
      <c r="B26" s="12" t="s">
        <v>24</v>
      </c>
      <c r="C26" s="75"/>
      <c r="D26" s="75">
        <v>10</v>
      </c>
      <c r="E26" s="75"/>
      <c r="F26" s="75"/>
      <c r="G26" s="75">
        <v>1</v>
      </c>
      <c r="H26" s="75">
        <v>15</v>
      </c>
      <c r="I26" s="75"/>
      <c r="J26" s="75">
        <v>3</v>
      </c>
      <c r="K26" s="75">
        <v>23</v>
      </c>
      <c r="L26" s="75"/>
      <c r="M26" s="75">
        <v>10</v>
      </c>
      <c r="N26" s="75"/>
      <c r="O26" s="75">
        <v>3</v>
      </c>
      <c r="P26" s="75">
        <v>20</v>
      </c>
      <c r="Q26" s="75">
        <v>3</v>
      </c>
      <c r="R26" s="75">
        <v>0</v>
      </c>
      <c r="S26" s="75">
        <v>24</v>
      </c>
      <c r="T26" s="75"/>
      <c r="U26" s="75">
        <v>25</v>
      </c>
      <c r="V26" s="75">
        <v>25</v>
      </c>
      <c r="W26" s="75">
        <v>0</v>
      </c>
      <c r="X26" s="75"/>
      <c r="Y26" s="75"/>
      <c r="Z26" s="75">
        <v>25</v>
      </c>
      <c r="AA26" s="75">
        <v>30</v>
      </c>
      <c r="AB26" s="75">
        <v>0</v>
      </c>
      <c r="AC26" s="75">
        <v>10</v>
      </c>
      <c r="AD26" s="75">
        <v>28</v>
      </c>
      <c r="AE26" s="75">
        <v>51</v>
      </c>
      <c r="AF26" s="75">
        <v>21</v>
      </c>
      <c r="AG26" s="75">
        <v>30</v>
      </c>
      <c r="AH26" s="75">
        <v>30</v>
      </c>
      <c r="AI26" s="75">
        <v>16</v>
      </c>
      <c r="AJ26" s="75">
        <v>28</v>
      </c>
      <c r="AK26" s="75">
        <v>30</v>
      </c>
      <c r="AL26" s="75">
        <v>40</v>
      </c>
      <c r="AM26" s="75"/>
      <c r="AN26" s="75">
        <v>35</v>
      </c>
      <c r="AO26" s="75">
        <v>29</v>
      </c>
      <c r="AP26" s="75"/>
      <c r="AQ26" s="75">
        <v>20</v>
      </c>
      <c r="AR26" s="75">
        <v>2</v>
      </c>
      <c r="AS26" s="75">
        <v>68</v>
      </c>
      <c r="AT26" s="75">
        <v>47</v>
      </c>
      <c r="AU26" s="75">
        <v>20</v>
      </c>
      <c r="AV26" s="75">
        <v>53</v>
      </c>
      <c r="AW26" s="75">
        <v>50</v>
      </c>
      <c r="AX26" s="75">
        <v>14</v>
      </c>
      <c r="AY26" s="13">
        <f t="array" ref="AY26">SUM(IF(C26:AX26&gt;20, 20, C26:AX26))</f>
        <v>547</v>
      </c>
      <c r="AZ26" s="75">
        <f t="shared" si="0"/>
        <v>5.1737083333333338</v>
      </c>
      <c r="BA26" s="75"/>
    </row>
    <row r="27" spans="1:53">
      <c r="A27" s="14"/>
      <c r="B27" s="14" t="s">
        <v>32</v>
      </c>
      <c r="C27" s="15">
        <f t="shared" ref="C27:AX27" si="2">0.454*(IF(C10&gt;20, 0, 20-ROUND(C10,0)) + IF(C13&gt;20, 0, 20-ROUND(C13,0)) + C16 + IF(C19&gt;20, 20, C19) + IF(C22&gt;20, 20, C22) + IF(C25&gt;20, 20, C25))</f>
        <v>36.774000000000001</v>
      </c>
      <c r="D27" s="15">
        <f t="shared" si="2"/>
        <v>44.945999999999998</v>
      </c>
      <c r="E27" s="15">
        <f t="shared" si="2"/>
        <v>37.228000000000002</v>
      </c>
      <c r="F27" s="15">
        <f t="shared" si="2"/>
        <v>39.951999999999998</v>
      </c>
      <c r="G27" s="15">
        <f t="shared" si="2"/>
        <v>35.411999999999999</v>
      </c>
      <c r="H27" s="15">
        <f t="shared" si="2"/>
        <v>42.222000000000001</v>
      </c>
      <c r="I27" s="15">
        <f t="shared" si="2"/>
        <v>39.498000000000005</v>
      </c>
      <c r="J27" s="15">
        <f t="shared" si="2"/>
        <v>34.957999999999998</v>
      </c>
      <c r="K27" s="15">
        <f t="shared" si="2"/>
        <v>41.314</v>
      </c>
      <c r="L27" s="15">
        <f t="shared" si="2"/>
        <v>47.67</v>
      </c>
      <c r="M27" s="15">
        <f t="shared" si="2"/>
        <v>50.167000000000002</v>
      </c>
      <c r="N27" s="15">
        <f t="shared" si="2"/>
        <v>39.044000000000004</v>
      </c>
      <c r="O27" s="15">
        <f t="shared" si="2"/>
        <v>42.676000000000002</v>
      </c>
      <c r="P27" s="15">
        <f t="shared" si="2"/>
        <v>47.67</v>
      </c>
      <c r="Q27" s="15">
        <f t="shared" si="2"/>
        <v>35.411999999999999</v>
      </c>
      <c r="R27" s="15">
        <f t="shared" si="2"/>
        <v>34.957999999999998</v>
      </c>
      <c r="S27" s="15">
        <f t="shared" si="2"/>
        <v>49.486000000000004</v>
      </c>
      <c r="T27" s="15">
        <f t="shared" si="2"/>
        <v>37.228000000000002</v>
      </c>
      <c r="U27" s="15">
        <f t="shared" si="2"/>
        <v>48.124000000000002</v>
      </c>
      <c r="V27" s="15">
        <f t="shared" si="2"/>
        <v>46.762</v>
      </c>
      <c r="W27" s="15">
        <f t="shared" si="2"/>
        <v>44.038000000000004</v>
      </c>
      <c r="X27" s="15">
        <f t="shared" si="2"/>
        <v>50.393999999999998</v>
      </c>
      <c r="Y27" s="15">
        <f t="shared" si="2"/>
        <v>39.498000000000005</v>
      </c>
      <c r="Z27" s="15">
        <f t="shared" si="2"/>
        <v>43.584000000000003</v>
      </c>
      <c r="AA27" s="15">
        <f t="shared" si="2"/>
        <v>48.124000000000002</v>
      </c>
      <c r="AB27" s="15">
        <f t="shared" si="2"/>
        <v>39.044000000000004</v>
      </c>
      <c r="AC27" s="15">
        <f t="shared" si="2"/>
        <v>36.32</v>
      </c>
      <c r="AD27" s="15">
        <f t="shared" si="2"/>
        <v>43.584000000000003</v>
      </c>
      <c r="AE27" s="15">
        <f t="shared" si="2"/>
        <v>47.216000000000001</v>
      </c>
      <c r="AF27" s="15">
        <f t="shared" si="2"/>
        <v>47.216000000000001</v>
      </c>
      <c r="AG27" s="15">
        <f t="shared" si="2"/>
        <v>47.67</v>
      </c>
      <c r="AH27" s="15">
        <f t="shared" si="2"/>
        <v>49.032000000000004</v>
      </c>
      <c r="AI27" s="15">
        <f t="shared" si="2"/>
        <v>45.4</v>
      </c>
      <c r="AJ27" s="15">
        <f t="shared" si="2"/>
        <v>49.032000000000004</v>
      </c>
      <c r="AK27" s="15">
        <f t="shared" si="2"/>
        <v>43.13</v>
      </c>
      <c r="AL27" s="15">
        <f t="shared" si="2"/>
        <v>47.67</v>
      </c>
      <c r="AM27" s="15">
        <f t="shared" si="2"/>
        <v>51.302</v>
      </c>
      <c r="AN27" s="15">
        <f t="shared" si="2"/>
        <v>50.393999999999998</v>
      </c>
      <c r="AO27" s="15">
        <f t="shared" si="2"/>
        <v>48.124000000000002</v>
      </c>
      <c r="AP27" s="15">
        <f t="shared" si="2"/>
        <v>40.86</v>
      </c>
      <c r="AQ27" s="15">
        <f t="shared" si="2"/>
        <v>38.590000000000003</v>
      </c>
      <c r="AR27" s="15">
        <f t="shared" si="2"/>
        <v>43.13</v>
      </c>
      <c r="AS27" s="15">
        <f t="shared" si="2"/>
        <v>49.486000000000004</v>
      </c>
      <c r="AT27" s="15">
        <f t="shared" si="2"/>
        <v>41.768000000000001</v>
      </c>
      <c r="AU27" s="15">
        <f t="shared" si="2"/>
        <v>41.314</v>
      </c>
      <c r="AV27" s="15">
        <f t="shared" si="2"/>
        <v>51.756</v>
      </c>
      <c r="AW27" s="15">
        <f t="shared" si="2"/>
        <v>49.032000000000004</v>
      </c>
      <c r="AX27" s="15">
        <f t="shared" si="2"/>
        <v>38.136000000000003</v>
      </c>
      <c r="AY27" s="16">
        <f t="shared" ref="AY27:AY29" si="3">AVERAGE(C27:AX27)</f>
        <v>43.673854166666672</v>
      </c>
      <c r="AZ27" s="17">
        <f t="shared" ref="AZ27:AZ28" si="4">AZ10+AZ13+AZ16+AZ19+AZ22+AZ25</f>
        <v>43.673854166666672</v>
      </c>
      <c r="BA27" s="15"/>
    </row>
    <row r="28" spans="1:53">
      <c r="A28" s="12"/>
      <c r="B28" s="12" t="s">
        <v>33</v>
      </c>
      <c r="C28" s="75">
        <f t="shared" ref="C28:AX28" si="5">0.454*(IF(C11&gt;20, 0, 20-ROUND(C11,0)) + IF(C14&gt;20, 0, 20-ROUND(C14,0)) + C17 + IF(C20&gt;20, 20, C20) + IF(C23&gt;20, 20, C23) + IF(C26&gt;20, 20, C26))</f>
        <v>28.148</v>
      </c>
      <c r="D28" s="75">
        <f t="shared" si="5"/>
        <v>31.326000000000001</v>
      </c>
      <c r="E28" s="75">
        <f t="shared" si="5"/>
        <v>19.522000000000002</v>
      </c>
      <c r="F28" s="75">
        <f t="shared" si="5"/>
        <v>25.423999999999999</v>
      </c>
      <c r="G28" s="75">
        <f t="shared" si="5"/>
        <v>24.062000000000001</v>
      </c>
      <c r="H28" s="75">
        <f t="shared" si="5"/>
        <v>40.86</v>
      </c>
      <c r="I28" s="75">
        <f t="shared" si="5"/>
        <v>32.688000000000002</v>
      </c>
      <c r="J28" s="75">
        <f t="shared" si="5"/>
        <v>34.957999999999998</v>
      </c>
      <c r="K28" s="75">
        <f t="shared" si="5"/>
        <v>46.308</v>
      </c>
      <c r="L28" s="75">
        <f t="shared" si="5"/>
        <v>27.240000000000002</v>
      </c>
      <c r="M28" s="75">
        <f t="shared" si="5"/>
        <v>25.196999999999999</v>
      </c>
      <c r="N28" s="75">
        <f t="shared" si="5"/>
        <v>33.596000000000004</v>
      </c>
      <c r="O28" s="75">
        <f t="shared" si="5"/>
        <v>26.332000000000001</v>
      </c>
      <c r="P28" s="75">
        <f t="shared" si="5"/>
        <v>34.957999999999998</v>
      </c>
      <c r="Q28" s="75">
        <f t="shared" si="5"/>
        <v>39.044000000000004</v>
      </c>
      <c r="R28" s="75">
        <f t="shared" si="5"/>
        <v>20.43</v>
      </c>
      <c r="S28" s="75">
        <f t="shared" si="5"/>
        <v>45.4</v>
      </c>
      <c r="T28" s="75">
        <f t="shared" si="5"/>
        <v>19.068000000000001</v>
      </c>
      <c r="U28" s="75">
        <f t="shared" si="5"/>
        <v>41.314</v>
      </c>
      <c r="V28" s="75">
        <f t="shared" si="5"/>
        <v>50.847999999999999</v>
      </c>
      <c r="W28" s="75">
        <f t="shared" si="5"/>
        <v>29.51</v>
      </c>
      <c r="X28" s="75">
        <f t="shared" si="5"/>
        <v>28.148</v>
      </c>
      <c r="Y28" s="75">
        <f t="shared" si="5"/>
        <v>25.878</v>
      </c>
      <c r="Z28" s="75">
        <f t="shared" si="5"/>
        <v>42.222000000000001</v>
      </c>
      <c r="AA28" s="75">
        <f t="shared" si="5"/>
        <v>44.945999999999998</v>
      </c>
      <c r="AB28" s="75">
        <f t="shared" si="5"/>
        <v>24.062000000000001</v>
      </c>
      <c r="AC28" s="75">
        <f t="shared" si="5"/>
        <v>31.326000000000001</v>
      </c>
      <c r="AD28" s="75">
        <f t="shared" si="5"/>
        <v>38.363</v>
      </c>
      <c r="AE28" s="75">
        <f t="shared" si="5"/>
        <v>42.222000000000001</v>
      </c>
      <c r="AF28" s="75">
        <f t="shared" si="5"/>
        <v>37.682000000000002</v>
      </c>
      <c r="AG28" s="75">
        <f t="shared" si="5"/>
        <v>42.222000000000001</v>
      </c>
      <c r="AH28" s="75">
        <f t="shared" si="5"/>
        <v>35.866</v>
      </c>
      <c r="AI28" s="75">
        <f t="shared" si="5"/>
        <v>41.768000000000001</v>
      </c>
      <c r="AJ28" s="75">
        <f t="shared" si="5"/>
        <v>34.957999999999998</v>
      </c>
      <c r="AK28" s="75">
        <f t="shared" si="5"/>
        <v>42.222000000000001</v>
      </c>
      <c r="AL28" s="75">
        <f t="shared" si="5"/>
        <v>42.222000000000001</v>
      </c>
      <c r="AM28" s="75">
        <f t="shared" si="5"/>
        <v>30.872</v>
      </c>
      <c r="AN28" s="75">
        <f t="shared" si="5"/>
        <v>35.411999999999999</v>
      </c>
      <c r="AO28" s="75">
        <f t="shared" si="5"/>
        <v>42.676000000000002</v>
      </c>
      <c r="AP28" s="75">
        <f t="shared" si="5"/>
        <v>35.411999999999999</v>
      </c>
      <c r="AQ28" s="75">
        <f t="shared" si="5"/>
        <v>41.768000000000001</v>
      </c>
      <c r="AR28" s="75">
        <f t="shared" si="5"/>
        <v>30.645</v>
      </c>
      <c r="AS28" s="75">
        <f t="shared" si="5"/>
        <v>44.492000000000004</v>
      </c>
      <c r="AT28" s="75">
        <f t="shared" si="5"/>
        <v>47.216000000000001</v>
      </c>
      <c r="AU28" s="75">
        <f t="shared" si="5"/>
        <v>32.688000000000002</v>
      </c>
      <c r="AV28" s="75">
        <f t="shared" si="5"/>
        <v>49.032000000000004</v>
      </c>
      <c r="AW28" s="75">
        <f t="shared" si="5"/>
        <v>32.688000000000002</v>
      </c>
      <c r="AX28" s="75">
        <f t="shared" si="5"/>
        <v>31.78</v>
      </c>
      <c r="AY28" s="13">
        <f t="shared" si="3"/>
        <v>35.104604166666668</v>
      </c>
      <c r="AZ28" s="18">
        <f t="shared" si="4"/>
        <v>35.104604166666661</v>
      </c>
      <c r="BA28" s="75"/>
    </row>
    <row r="29" spans="1:53">
      <c r="A29" s="19"/>
      <c r="B29" s="19" t="s">
        <v>34</v>
      </c>
      <c r="C29" s="20">
        <f t="shared" ref="C29:AX29" si="6">C27-C28</f>
        <v>8.6260000000000012</v>
      </c>
      <c r="D29" s="20">
        <f t="shared" si="6"/>
        <v>13.619999999999997</v>
      </c>
      <c r="E29" s="20">
        <f t="shared" si="6"/>
        <v>17.706</v>
      </c>
      <c r="F29" s="20">
        <f t="shared" si="6"/>
        <v>14.527999999999999</v>
      </c>
      <c r="G29" s="20">
        <f t="shared" si="6"/>
        <v>11.349999999999998</v>
      </c>
      <c r="H29" s="20">
        <f t="shared" si="6"/>
        <v>1.3620000000000019</v>
      </c>
      <c r="I29" s="20">
        <f t="shared" si="6"/>
        <v>6.8100000000000023</v>
      </c>
      <c r="J29" s="20">
        <f t="shared" si="6"/>
        <v>0</v>
      </c>
      <c r="K29" s="20">
        <f t="shared" si="6"/>
        <v>-4.9939999999999998</v>
      </c>
      <c r="L29" s="20">
        <f t="shared" si="6"/>
        <v>20.43</v>
      </c>
      <c r="M29" s="20">
        <f t="shared" si="6"/>
        <v>24.970000000000002</v>
      </c>
      <c r="N29" s="20">
        <f t="shared" si="6"/>
        <v>5.4480000000000004</v>
      </c>
      <c r="O29" s="20">
        <f t="shared" si="6"/>
        <v>16.344000000000001</v>
      </c>
      <c r="P29" s="20">
        <f t="shared" si="6"/>
        <v>12.712000000000003</v>
      </c>
      <c r="Q29" s="20">
        <f t="shared" si="6"/>
        <v>-3.632000000000005</v>
      </c>
      <c r="R29" s="20">
        <f t="shared" si="6"/>
        <v>14.527999999999999</v>
      </c>
      <c r="S29" s="20">
        <f t="shared" si="6"/>
        <v>4.0860000000000056</v>
      </c>
      <c r="T29" s="20">
        <f t="shared" si="6"/>
        <v>18.16</v>
      </c>
      <c r="U29" s="20">
        <f t="shared" si="6"/>
        <v>6.8100000000000023</v>
      </c>
      <c r="V29" s="20">
        <f t="shared" si="6"/>
        <v>-4.0859999999999985</v>
      </c>
      <c r="W29" s="20">
        <f t="shared" si="6"/>
        <v>14.528000000000002</v>
      </c>
      <c r="X29" s="20">
        <f t="shared" si="6"/>
        <v>22.245999999999999</v>
      </c>
      <c r="Y29" s="20">
        <f t="shared" si="6"/>
        <v>13.620000000000005</v>
      </c>
      <c r="Z29" s="20">
        <f t="shared" si="6"/>
        <v>1.3620000000000019</v>
      </c>
      <c r="AA29" s="20">
        <f t="shared" si="6"/>
        <v>3.1780000000000044</v>
      </c>
      <c r="AB29" s="20">
        <f t="shared" si="6"/>
        <v>14.982000000000003</v>
      </c>
      <c r="AC29" s="20">
        <f t="shared" si="6"/>
        <v>4.9939999999999998</v>
      </c>
      <c r="AD29" s="20">
        <f t="shared" si="6"/>
        <v>5.2210000000000036</v>
      </c>
      <c r="AE29" s="20">
        <f t="shared" si="6"/>
        <v>4.9939999999999998</v>
      </c>
      <c r="AF29" s="20">
        <f t="shared" si="6"/>
        <v>9.5339999999999989</v>
      </c>
      <c r="AG29" s="20">
        <f t="shared" si="6"/>
        <v>5.4480000000000004</v>
      </c>
      <c r="AH29" s="20">
        <f t="shared" si="6"/>
        <v>13.166000000000004</v>
      </c>
      <c r="AI29" s="20">
        <f t="shared" si="6"/>
        <v>3.6319999999999979</v>
      </c>
      <c r="AJ29" s="20">
        <f t="shared" si="6"/>
        <v>14.074000000000005</v>
      </c>
      <c r="AK29" s="20">
        <f t="shared" si="6"/>
        <v>0.90800000000000125</v>
      </c>
      <c r="AL29" s="20">
        <f t="shared" si="6"/>
        <v>5.4480000000000004</v>
      </c>
      <c r="AM29" s="20">
        <f t="shared" si="6"/>
        <v>20.43</v>
      </c>
      <c r="AN29" s="20">
        <f t="shared" si="6"/>
        <v>14.981999999999999</v>
      </c>
      <c r="AO29" s="20">
        <f t="shared" si="6"/>
        <v>5.4480000000000004</v>
      </c>
      <c r="AP29" s="20">
        <f t="shared" si="6"/>
        <v>5.4480000000000004</v>
      </c>
      <c r="AQ29" s="20">
        <f t="shared" si="6"/>
        <v>-3.1779999999999973</v>
      </c>
      <c r="AR29" s="20">
        <f t="shared" si="6"/>
        <v>12.485000000000003</v>
      </c>
      <c r="AS29" s="20">
        <f t="shared" si="6"/>
        <v>4.9939999999999998</v>
      </c>
      <c r="AT29" s="20">
        <f t="shared" si="6"/>
        <v>-5.4480000000000004</v>
      </c>
      <c r="AU29" s="20">
        <f t="shared" si="6"/>
        <v>8.6259999999999977</v>
      </c>
      <c r="AV29" s="20">
        <f t="shared" si="6"/>
        <v>2.7239999999999966</v>
      </c>
      <c r="AW29" s="20">
        <f t="shared" si="6"/>
        <v>16.344000000000001</v>
      </c>
      <c r="AX29" s="20">
        <f t="shared" si="6"/>
        <v>6.3560000000000016</v>
      </c>
      <c r="AY29" s="21">
        <f t="shared" si="3"/>
        <v>8.5692499999999985</v>
      </c>
      <c r="AZ29" s="22">
        <f>AZ27-AZ28</f>
        <v>8.5692500000000109</v>
      </c>
      <c r="BA29" s="20"/>
    </row>
    <row r="30" spans="1:53">
      <c r="A30" s="23" t="s">
        <v>35</v>
      </c>
      <c r="B30" s="85" t="s">
        <v>36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5"/>
      <c r="AZ30" s="24"/>
      <c r="BA30" s="24"/>
    </row>
    <row r="31" spans="1:53">
      <c r="A31" s="76"/>
      <c r="B31" s="76" t="s">
        <v>37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5"/>
      <c r="AZ31" s="24"/>
      <c r="BA31" s="24"/>
    </row>
    <row r="32" spans="1:53">
      <c r="A32" s="27"/>
      <c r="B32" s="27" t="s">
        <v>23</v>
      </c>
      <c r="C32" s="76">
        <v>100</v>
      </c>
      <c r="D32" s="76">
        <v>90</v>
      </c>
      <c r="E32" s="76">
        <v>100</v>
      </c>
      <c r="F32" s="76">
        <v>100</v>
      </c>
      <c r="G32" s="76">
        <v>90</v>
      </c>
      <c r="H32" s="76">
        <v>63</v>
      </c>
      <c r="I32" s="76">
        <v>80</v>
      </c>
      <c r="J32" s="76">
        <v>56</v>
      </c>
      <c r="K32" s="76">
        <v>17</v>
      </c>
      <c r="L32" s="76">
        <v>80</v>
      </c>
      <c r="M32" s="76">
        <v>95</v>
      </c>
      <c r="N32" s="76">
        <v>90</v>
      </c>
      <c r="O32" s="76">
        <v>95</v>
      </c>
      <c r="P32" s="76">
        <v>90</v>
      </c>
      <c r="Q32" s="76">
        <v>50</v>
      </c>
      <c r="R32" s="76">
        <v>100</v>
      </c>
      <c r="S32" s="76">
        <v>44</v>
      </c>
      <c r="T32" s="76">
        <v>100</v>
      </c>
      <c r="U32" s="76">
        <v>67</v>
      </c>
      <c r="V32" s="76">
        <v>90</v>
      </c>
      <c r="W32" s="76">
        <v>100</v>
      </c>
      <c r="X32" s="76">
        <v>70</v>
      </c>
      <c r="Y32" s="76">
        <v>100</v>
      </c>
      <c r="Z32" s="76">
        <v>50</v>
      </c>
      <c r="AA32" s="76">
        <v>67</v>
      </c>
      <c r="AB32" s="76">
        <v>99</v>
      </c>
      <c r="AC32" s="76">
        <v>100</v>
      </c>
      <c r="AD32" s="76">
        <v>80</v>
      </c>
      <c r="AE32" s="76">
        <v>90</v>
      </c>
      <c r="AF32" s="76">
        <v>60</v>
      </c>
      <c r="AG32" s="76">
        <v>90</v>
      </c>
      <c r="AH32" s="76">
        <v>90</v>
      </c>
      <c r="AI32" s="76">
        <v>90</v>
      </c>
      <c r="AJ32" s="76">
        <v>90</v>
      </c>
      <c r="AK32" s="76">
        <v>83</v>
      </c>
      <c r="AL32" s="76">
        <v>90</v>
      </c>
      <c r="AM32" s="76">
        <v>100</v>
      </c>
      <c r="AN32" s="76">
        <v>90</v>
      </c>
      <c r="AO32" s="76">
        <v>56</v>
      </c>
      <c r="AP32" s="76">
        <v>80</v>
      </c>
      <c r="AQ32" s="76">
        <v>100</v>
      </c>
      <c r="AR32" s="76">
        <v>50</v>
      </c>
      <c r="AS32" s="76">
        <v>80</v>
      </c>
      <c r="AT32" s="76">
        <v>95</v>
      </c>
      <c r="AU32" s="76">
        <v>100</v>
      </c>
      <c r="AV32" s="76">
        <v>50</v>
      </c>
      <c r="AW32" s="76">
        <v>65</v>
      </c>
      <c r="AX32" s="76">
        <v>90</v>
      </c>
      <c r="AY32" s="28">
        <f t="shared" ref="AY32:AY50" si="7">SUM(C32:AX32)</f>
        <v>3902</v>
      </c>
      <c r="AZ32" s="76">
        <f t="shared" ref="AZ32:AZ50" si="8">0.109*(AY32/COLUMNS(C32:AX32))</f>
        <v>8.8607916666666675</v>
      </c>
      <c r="BA32" s="76"/>
    </row>
    <row r="33" spans="1:53">
      <c r="A33" s="27"/>
      <c r="B33" s="27" t="s">
        <v>24</v>
      </c>
      <c r="C33" s="24"/>
      <c r="D33" s="76">
        <v>10</v>
      </c>
      <c r="E33" s="76"/>
      <c r="F33" s="76"/>
      <c r="G33" s="76">
        <v>10</v>
      </c>
      <c r="H33" s="76">
        <v>37</v>
      </c>
      <c r="I33" s="76">
        <v>20</v>
      </c>
      <c r="J33" s="76">
        <v>44</v>
      </c>
      <c r="K33" s="76">
        <v>83</v>
      </c>
      <c r="L33" s="76">
        <v>20</v>
      </c>
      <c r="M33" s="76">
        <v>5</v>
      </c>
      <c r="N33" s="76">
        <v>10</v>
      </c>
      <c r="O33" s="76">
        <v>5</v>
      </c>
      <c r="P33" s="76">
        <v>10</v>
      </c>
      <c r="Q33" s="76">
        <v>50</v>
      </c>
      <c r="R33" s="76"/>
      <c r="S33" s="76">
        <v>56</v>
      </c>
      <c r="T33" s="24"/>
      <c r="U33" s="76">
        <v>33</v>
      </c>
      <c r="V33" s="76">
        <v>10</v>
      </c>
      <c r="W33" s="76"/>
      <c r="X33" s="76">
        <v>30</v>
      </c>
      <c r="Y33" s="76"/>
      <c r="Z33" s="76">
        <v>50</v>
      </c>
      <c r="AA33" s="76">
        <v>33</v>
      </c>
      <c r="AB33" s="76">
        <v>1</v>
      </c>
      <c r="AC33" s="76"/>
      <c r="AD33" s="76">
        <v>20</v>
      </c>
      <c r="AE33" s="76">
        <v>10</v>
      </c>
      <c r="AF33" s="76">
        <v>40</v>
      </c>
      <c r="AG33" s="76">
        <v>10</v>
      </c>
      <c r="AH33" s="76">
        <v>10</v>
      </c>
      <c r="AI33" s="76">
        <v>10</v>
      </c>
      <c r="AJ33" s="76">
        <v>10</v>
      </c>
      <c r="AK33" s="76">
        <v>17</v>
      </c>
      <c r="AL33" s="76">
        <v>10</v>
      </c>
      <c r="AM33" s="76"/>
      <c r="AN33" s="76">
        <v>10</v>
      </c>
      <c r="AO33" s="76">
        <v>44</v>
      </c>
      <c r="AP33" s="76">
        <v>20</v>
      </c>
      <c r="AQ33" s="76"/>
      <c r="AR33" s="76">
        <v>50</v>
      </c>
      <c r="AS33" s="76">
        <v>20</v>
      </c>
      <c r="AT33" s="76">
        <v>5</v>
      </c>
      <c r="AU33" s="76"/>
      <c r="AV33" s="76">
        <v>50</v>
      </c>
      <c r="AW33" s="76">
        <v>35</v>
      </c>
      <c r="AX33" s="76">
        <v>10</v>
      </c>
      <c r="AY33" s="28">
        <f t="shared" si="7"/>
        <v>898</v>
      </c>
      <c r="AZ33" s="76">
        <f t="shared" si="8"/>
        <v>2.0392083333333333</v>
      </c>
      <c r="BA33" s="76"/>
    </row>
    <row r="34" spans="1:53">
      <c r="A34" s="27"/>
      <c r="B34" s="27" t="s">
        <v>38</v>
      </c>
      <c r="C34" s="24"/>
      <c r="D34" s="24"/>
      <c r="E34" s="24"/>
      <c r="F34" s="24"/>
      <c r="G34" s="76"/>
      <c r="H34" s="76"/>
      <c r="I34" s="76"/>
      <c r="J34" s="76"/>
      <c r="K34" s="24"/>
      <c r="L34" s="76"/>
      <c r="M34" s="76"/>
      <c r="N34" s="76"/>
      <c r="O34" s="76"/>
      <c r="P34" s="76"/>
      <c r="Q34" s="76"/>
      <c r="R34" s="76"/>
      <c r="S34" s="24"/>
      <c r="T34" s="24"/>
      <c r="U34" s="76"/>
      <c r="V34" s="24"/>
      <c r="W34" s="76"/>
      <c r="X34" s="76"/>
      <c r="Y34" s="76"/>
      <c r="Z34" s="24"/>
      <c r="AA34" s="24"/>
      <c r="AB34" s="76"/>
      <c r="AC34" s="76"/>
      <c r="AD34" s="76"/>
      <c r="AE34" s="24"/>
      <c r="AF34" s="76"/>
      <c r="AG34" s="24"/>
      <c r="AH34" s="24"/>
      <c r="AI34" s="24"/>
      <c r="AJ34" s="76"/>
      <c r="AK34" s="76"/>
      <c r="AL34" s="76"/>
      <c r="AM34" s="76"/>
      <c r="AN34" s="76"/>
      <c r="AO34" s="76"/>
      <c r="AP34" s="76"/>
      <c r="AQ34" s="76"/>
      <c r="AR34" s="24"/>
      <c r="AS34" s="24"/>
      <c r="AT34" s="76"/>
      <c r="AU34" s="76"/>
      <c r="AV34" s="24"/>
      <c r="AW34" s="24"/>
      <c r="AX34" s="24"/>
      <c r="AY34" s="28">
        <f t="shared" si="7"/>
        <v>0</v>
      </c>
      <c r="AZ34" s="76">
        <f t="shared" si="8"/>
        <v>0</v>
      </c>
      <c r="BA34" s="76"/>
    </row>
    <row r="35" spans="1:53">
      <c r="A35" s="76"/>
      <c r="B35" s="76" t="s">
        <v>39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8">
        <f t="shared" si="7"/>
        <v>0</v>
      </c>
      <c r="AZ35" s="76">
        <f t="shared" si="8"/>
        <v>0</v>
      </c>
      <c r="BA35" s="24"/>
    </row>
    <row r="36" spans="1:53">
      <c r="A36" s="27"/>
      <c r="B36" s="27" t="s">
        <v>23</v>
      </c>
      <c r="C36" s="76">
        <v>90</v>
      </c>
      <c r="D36" s="76">
        <v>100</v>
      </c>
      <c r="E36" s="76">
        <v>100</v>
      </c>
      <c r="F36" s="76">
        <v>100</v>
      </c>
      <c r="G36" s="76">
        <v>95</v>
      </c>
      <c r="H36" s="76">
        <v>67</v>
      </c>
      <c r="I36" s="76">
        <v>90</v>
      </c>
      <c r="J36" s="76">
        <v>56</v>
      </c>
      <c r="K36" s="76">
        <v>50</v>
      </c>
      <c r="L36" s="76">
        <v>100</v>
      </c>
      <c r="M36" s="76">
        <v>100</v>
      </c>
      <c r="N36" s="76">
        <v>90</v>
      </c>
      <c r="O36" s="76">
        <v>100</v>
      </c>
      <c r="P36" s="76">
        <v>95</v>
      </c>
      <c r="Q36" s="76">
        <v>92</v>
      </c>
      <c r="R36" s="76">
        <v>100</v>
      </c>
      <c r="S36" s="76">
        <v>67</v>
      </c>
      <c r="T36" s="76">
        <v>100</v>
      </c>
      <c r="U36" s="76">
        <v>77</v>
      </c>
      <c r="V36" s="76">
        <v>95</v>
      </c>
      <c r="W36" s="76">
        <v>100</v>
      </c>
      <c r="X36" s="76">
        <v>80</v>
      </c>
      <c r="Y36" s="76">
        <v>100</v>
      </c>
      <c r="Z36" s="76">
        <v>80</v>
      </c>
      <c r="AA36" s="76">
        <v>67</v>
      </c>
      <c r="AB36" s="76">
        <v>99</v>
      </c>
      <c r="AC36" s="76">
        <v>100</v>
      </c>
      <c r="AD36" s="76">
        <v>60</v>
      </c>
      <c r="AE36" s="76">
        <v>90</v>
      </c>
      <c r="AF36" s="76">
        <v>90</v>
      </c>
      <c r="AG36" s="76">
        <v>95</v>
      </c>
      <c r="AH36" s="76">
        <v>95</v>
      </c>
      <c r="AI36" s="76">
        <v>90</v>
      </c>
      <c r="AJ36" s="76">
        <v>100</v>
      </c>
      <c r="AK36" s="76">
        <v>83</v>
      </c>
      <c r="AL36" s="76">
        <v>90</v>
      </c>
      <c r="AM36" s="76">
        <v>100</v>
      </c>
      <c r="AN36" s="76">
        <v>90</v>
      </c>
      <c r="AO36" s="76">
        <v>59</v>
      </c>
      <c r="AP36" s="76">
        <v>90</v>
      </c>
      <c r="AQ36" s="76">
        <v>100</v>
      </c>
      <c r="AR36" s="76">
        <v>90</v>
      </c>
      <c r="AS36" s="76">
        <v>80</v>
      </c>
      <c r="AT36" s="76">
        <v>100</v>
      </c>
      <c r="AU36" s="76">
        <v>100</v>
      </c>
      <c r="AV36" s="76">
        <v>90</v>
      </c>
      <c r="AW36" s="76">
        <v>83</v>
      </c>
      <c r="AX36" s="76">
        <v>100</v>
      </c>
      <c r="AY36" s="28">
        <f t="shared" si="7"/>
        <v>4265</v>
      </c>
      <c r="AZ36" s="76">
        <f t="shared" si="8"/>
        <v>9.6851041666666671</v>
      </c>
      <c r="BA36" s="76"/>
    </row>
    <row r="37" spans="1:53">
      <c r="A37" s="27"/>
      <c r="B37" s="27" t="s">
        <v>24</v>
      </c>
      <c r="C37" s="76">
        <v>10</v>
      </c>
      <c r="D37" s="76"/>
      <c r="E37" s="76"/>
      <c r="F37" s="76"/>
      <c r="G37" s="76">
        <v>5</v>
      </c>
      <c r="H37" s="76">
        <v>33</v>
      </c>
      <c r="I37" s="76">
        <v>10</v>
      </c>
      <c r="J37" s="76">
        <v>44</v>
      </c>
      <c r="K37" s="76">
        <v>50</v>
      </c>
      <c r="L37" s="76"/>
      <c r="M37" s="76"/>
      <c r="N37" s="76">
        <v>10</v>
      </c>
      <c r="O37" s="76"/>
      <c r="P37" s="76">
        <v>5</v>
      </c>
      <c r="Q37" s="76">
        <v>8</v>
      </c>
      <c r="R37" s="24"/>
      <c r="S37" s="76">
        <v>33</v>
      </c>
      <c r="T37" s="24"/>
      <c r="U37" s="76">
        <v>23</v>
      </c>
      <c r="V37" s="76">
        <v>5</v>
      </c>
      <c r="W37" s="76"/>
      <c r="X37" s="76">
        <v>20</v>
      </c>
      <c r="Y37" s="76"/>
      <c r="Z37" s="76">
        <v>20</v>
      </c>
      <c r="AA37" s="76">
        <v>33</v>
      </c>
      <c r="AB37" s="76">
        <v>1</v>
      </c>
      <c r="AC37" s="76"/>
      <c r="AD37" s="76">
        <v>40</v>
      </c>
      <c r="AE37" s="76">
        <v>10</v>
      </c>
      <c r="AF37" s="76">
        <v>10</v>
      </c>
      <c r="AG37" s="76">
        <v>5</v>
      </c>
      <c r="AH37" s="76">
        <v>5</v>
      </c>
      <c r="AI37" s="76">
        <v>10</v>
      </c>
      <c r="AJ37" s="76"/>
      <c r="AK37" s="76">
        <v>17</v>
      </c>
      <c r="AL37" s="76">
        <v>10</v>
      </c>
      <c r="AM37" s="76"/>
      <c r="AN37" s="76">
        <v>10</v>
      </c>
      <c r="AO37" s="76">
        <v>41</v>
      </c>
      <c r="AP37" s="76">
        <v>10</v>
      </c>
      <c r="AQ37" s="76"/>
      <c r="AR37" s="76">
        <v>10</v>
      </c>
      <c r="AS37" s="76">
        <v>20</v>
      </c>
      <c r="AT37" s="76"/>
      <c r="AU37" s="76"/>
      <c r="AV37" s="76">
        <v>10</v>
      </c>
      <c r="AW37" s="76">
        <v>17</v>
      </c>
      <c r="AX37" s="76"/>
      <c r="AY37" s="28">
        <f t="shared" si="7"/>
        <v>535</v>
      </c>
      <c r="AZ37" s="76">
        <f t="shared" si="8"/>
        <v>1.2148958333333333</v>
      </c>
      <c r="BA37" s="76"/>
    </row>
    <row r="38" spans="1:53">
      <c r="A38" s="27"/>
      <c r="B38" s="27" t="s">
        <v>38</v>
      </c>
      <c r="C38" s="24"/>
      <c r="D38" s="24"/>
      <c r="E38" s="76"/>
      <c r="F38" s="24"/>
      <c r="G38" s="76"/>
      <c r="H38" s="76"/>
      <c r="I38" s="76"/>
      <c r="J38" s="76"/>
      <c r="K38" s="24"/>
      <c r="L38" s="76"/>
      <c r="M38" s="76"/>
      <c r="N38" s="76"/>
      <c r="O38" s="76"/>
      <c r="P38" s="76"/>
      <c r="Q38" s="76"/>
      <c r="R38" s="24"/>
      <c r="S38" s="24"/>
      <c r="T38" s="24"/>
      <c r="U38" s="24"/>
      <c r="V38" s="24"/>
      <c r="W38" s="76"/>
      <c r="X38" s="76"/>
      <c r="Y38" s="76"/>
      <c r="Z38" s="24"/>
      <c r="AA38" s="24"/>
      <c r="AB38" s="76"/>
      <c r="AC38" s="76"/>
      <c r="AD38" s="76"/>
      <c r="AE38" s="24"/>
      <c r="AF38" s="76"/>
      <c r="AG38" s="24"/>
      <c r="AH38" s="24"/>
      <c r="AI38" s="24"/>
      <c r="AJ38" s="76"/>
      <c r="AK38" s="76"/>
      <c r="AL38" s="76"/>
      <c r="AM38" s="76"/>
      <c r="AN38" s="76"/>
      <c r="AO38" s="76"/>
      <c r="AP38" s="76"/>
      <c r="AQ38" s="76"/>
      <c r="AR38" s="24"/>
      <c r="AS38" s="24"/>
      <c r="AT38" s="76"/>
      <c r="AU38" s="24"/>
      <c r="AV38" s="24"/>
      <c r="AW38" s="24"/>
      <c r="AX38" s="24"/>
      <c r="AY38" s="28">
        <f t="shared" si="7"/>
        <v>0</v>
      </c>
      <c r="AZ38" s="76">
        <f t="shared" si="8"/>
        <v>0</v>
      </c>
      <c r="BA38" s="76"/>
    </row>
    <row r="39" spans="1:53">
      <c r="A39" s="76"/>
      <c r="B39" s="76" t="s">
        <v>40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8">
        <f t="shared" si="7"/>
        <v>0</v>
      </c>
      <c r="AZ39" s="76">
        <f t="shared" si="8"/>
        <v>0</v>
      </c>
      <c r="BA39" s="24"/>
    </row>
    <row r="40" spans="1:53">
      <c r="A40" s="27"/>
      <c r="B40" s="27" t="s">
        <v>23</v>
      </c>
      <c r="C40" s="76">
        <v>90</v>
      </c>
      <c r="D40" s="76">
        <v>50</v>
      </c>
      <c r="E40" s="76">
        <v>100</v>
      </c>
      <c r="F40" s="76">
        <v>100</v>
      </c>
      <c r="G40" s="76"/>
      <c r="H40" s="76">
        <v>33</v>
      </c>
      <c r="I40" s="76"/>
      <c r="J40" s="76">
        <v>56</v>
      </c>
      <c r="K40" s="76"/>
      <c r="L40" s="76">
        <v>50</v>
      </c>
      <c r="M40" s="76">
        <v>90</v>
      </c>
      <c r="N40" s="76"/>
      <c r="O40" s="76">
        <v>95</v>
      </c>
      <c r="P40" s="76"/>
      <c r="Q40" s="76">
        <v>90</v>
      </c>
      <c r="R40" s="76">
        <v>100</v>
      </c>
      <c r="S40" s="76">
        <v>44</v>
      </c>
      <c r="T40" s="76">
        <v>100</v>
      </c>
      <c r="U40" s="76">
        <v>50</v>
      </c>
      <c r="V40" s="76">
        <v>60</v>
      </c>
      <c r="W40" s="76">
        <v>100</v>
      </c>
      <c r="X40" s="76">
        <v>60</v>
      </c>
      <c r="Y40" s="76"/>
      <c r="Z40" s="76">
        <v>50</v>
      </c>
      <c r="AA40" s="76">
        <v>33</v>
      </c>
      <c r="AB40" s="76"/>
      <c r="AC40" s="76">
        <v>80</v>
      </c>
      <c r="AD40" s="76">
        <v>70</v>
      </c>
      <c r="AE40" s="76">
        <v>90</v>
      </c>
      <c r="AF40" s="76">
        <v>80</v>
      </c>
      <c r="AG40" s="76">
        <v>50</v>
      </c>
      <c r="AH40" s="76">
        <v>50</v>
      </c>
      <c r="AI40" s="76">
        <v>90</v>
      </c>
      <c r="AJ40" s="76">
        <v>50</v>
      </c>
      <c r="AK40" s="76">
        <v>83</v>
      </c>
      <c r="AL40" s="76">
        <v>90</v>
      </c>
      <c r="AM40" s="76">
        <v>50</v>
      </c>
      <c r="AN40" s="76">
        <v>50</v>
      </c>
      <c r="AO40" s="76">
        <v>67</v>
      </c>
      <c r="AP40" s="76">
        <v>50</v>
      </c>
      <c r="AQ40" s="76"/>
      <c r="AR40" s="76">
        <v>50</v>
      </c>
      <c r="AS40" s="76">
        <v>80</v>
      </c>
      <c r="AT40" s="76">
        <v>90</v>
      </c>
      <c r="AU40" s="76">
        <v>100</v>
      </c>
      <c r="AV40" s="76">
        <v>50</v>
      </c>
      <c r="AW40" s="76">
        <v>90</v>
      </c>
      <c r="AX40" s="76"/>
      <c r="AY40" s="28">
        <f t="shared" si="7"/>
        <v>2761</v>
      </c>
      <c r="AZ40" s="76">
        <f t="shared" si="8"/>
        <v>6.2697708333333333</v>
      </c>
      <c r="BA40" s="76"/>
    </row>
    <row r="41" spans="1:53">
      <c r="A41" s="27"/>
      <c r="B41" s="27" t="s">
        <v>24</v>
      </c>
      <c r="C41" s="76">
        <v>10</v>
      </c>
      <c r="D41" s="76">
        <v>50</v>
      </c>
      <c r="E41" s="76"/>
      <c r="F41" s="76"/>
      <c r="G41" s="76"/>
      <c r="H41" s="76">
        <v>67</v>
      </c>
      <c r="I41" s="76"/>
      <c r="J41" s="76">
        <v>44</v>
      </c>
      <c r="K41" s="76">
        <v>100</v>
      </c>
      <c r="L41" s="76">
        <v>50</v>
      </c>
      <c r="M41" s="76">
        <v>10</v>
      </c>
      <c r="N41" s="76"/>
      <c r="O41" s="76">
        <v>5</v>
      </c>
      <c r="P41" s="76"/>
      <c r="Q41" s="76">
        <v>10</v>
      </c>
      <c r="R41" s="76"/>
      <c r="S41" s="76">
        <v>56</v>
      </c>
      <c r="T41" s="24"/>
      <c r="U41" s="76">
        <v>50</v>
      </c>
      <c r="V41" s="76">
        <v>40</v>
      </c>
      <c r="W41" s="76"/>
      <c r="X41" s="76">
        <v>40</v>
      </c>
      <c r="Y41" s="76"/>
      <c r="Z41" s="76">
        <v>50</v>
      </c>
      <c r="AA41" s="76">
        <v>67</v>
      </c>
      <c r="AB41" s="76"/>
      <c r="AC41" s="76">
        <v>20</v>
      </c>
      <c r="AD41" s="76">
        <v>27</v>
      </c>
      <c r="AE41" s="76">
        <v>10</v>
      </c>
      <c r="AF41" s="76">
        <v>20</v>
      </c>
      <c r="AG41" s="76">
        <v>50</v>
      </c>
      <c r="AH41" s="76">
        <v>50</v>
      </c>
      <c r="AI41" s="76">
        <v>10</v>
      </c>
      <c r="AJ41" s="76">
        <v>50</v>
      </c>
      <c r="AK41" s="76">
        <v>17</v>
      </c>
      <c r="AL41" s="76">
        <v>10</v>
      </c>
      <c r="AM41" s="76">
        <v>50</v>
      </c>
      <c r="AN41" s="76">
        <v>50</v>
      </c>
      <c r="AO41" s="76">
        <v>33</v>
      </c>
      <c r="AP41" s="76">
        <v>50</v>
      </c>
      <c r="AQ41" s="76"/>
      <c r="AR41" s="76">
        <v>50</v>
      </c>
      <c r="AS41" s="76">
        <v>20</v>
      </c>
      <c r="AT41" s="76">
        <v>10</v>
      </c>
      <c r="AU41" s="76"/>
      <c r="AV41" s="76">
        <v>50</v>
      </c>
      <c r="AW41" s="76">
        <v>10</v>
      </c>
      <c r="AX41" s="76"/>
      <c r="AY41" s="28">
        <f t="shared" si="7"/>
        <v>1236</v>
      </c>
      <c r="AZ41" s="76">
        <f t="shared" si="8"/>
        <v>2.8067500000000001</v>
      </c>
      <c r="BA41" s="76"/>
    </row>
    <row r="42" spans="1:53">
      <c r="A42" s="27"/>
      <c r="B42" s="27" t="s">
        <v>38</v>
      </c>
      <c r="C42" s="24"/>
      <c r="D42" s="24"/>
      <c r="E42" s="76"/>
      <c r="F42" s="24"/>
      <c r="G42" s="76"/>
      <c r="H42" s="24"/>
      <c r="I42" s="76"/>
      <c r="J42" s="76"/>
      <c r="K42" s="24"/>
      <c r="L42" s="76"/>
      <c r="M42" s="76"/>
      <c r="N42" s="76"/>
      <c r="O42" s="76"/>
      <c r="P42" s="76"/>
      <c r="Q42" s="76"/>
      <c r="R42" s="24"/>
      <c r="S42" s="24"/>
      <c r="T42" s="24"/>
      <c r="U42" s="76"/>
      <c r="V42" s="24"/>
      <c r="W42" s="76"/>
      <c r="X42" s="76"/>
      <c r="Y42" s="76"/>
      <c r="Z42" s="24"/>
      <c r="AA42" s="24"/>
      <c r="AB42" s="76"/>
      <c r="AC42" s="76"/>
      <c r="AD42" s="76">
        <v>3</v>
      </c>
      <c r="AE42" s="24"/>
      <c r="AF42" s="76"/>
      <c r="AG42" s="24"/>
      <c r="AH42" s="24"/>
      <c r="AI42" s="24"/>
      <c r="AJ42" s="76"/>
      <c r="AK42" s="76"/>
      <c r="AL42" s="76"/>
      <c r="AM42" s="76"/>
      <c r="AN42" s="76"/>
      <c r="AO42" s="76"/>
      <c r="AP42" s="76"/>
      <c r="AQ42" s="76"/>
      <c r="AR42" s="24"/>
      <c r="AS42" s="24"/>
      <c r="AT42" s="76"/>
      <c r="AU42" s="24"/>
      <c r="AV42" s="24"/>
      <c r="AW42" s="24"/>
      <c r="AX42" s="24"/>
      <c r="AY42" s="28">
        <f t="shared" si="7"/>
        <v>3</v>
      </c>
      <c r="AZ42" s="76">
        <f t="shared" si="8"/>
        <v>6.8125E-3</v>
      </c>
      <c r="BA42" s="76"/>
    </row>
    <row r="43" spans="1:53">
      <c r="A43" s="76"/>
      <c r="B43" s="76" t="s">
        <v>41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8">
        <f t="shared" si="7"/>
        <v>0</v>
      </c>
      <c r="AZ43" s="76">
        <f t="shared" si="8"/>
        <v>0</v>
      </c>
      <c r="BA43" s="24"/>
    </row>
    <row r="44" spans="1:53">
      <c r="A44" s="27"/>
      <c r="B44" s="27" t="s">
        <v>23</v>
      </c>
      <c r="C44" s="76">
        <v>90</v>
      </c>
      <c r="D44" s="76">
        <v>100</v>
      </c>
      <c r="E44" s="76">
        <v>100</v>
      </c>
      <c r="F44" s="76">
        <v>90</v>
      </c>
      <c r="G44" s="76">
        <v>100</v>
      </c>
      <c r="H44" s="76">
        <v>50</v>
      </c>
      <c r="I44" s="76">
        <v>70</v>
      </c>
      <c r="J44" s="76">
        <v>73</v>
      </c>
      <c r="K44" s="76">
        <v>50</v>
      </c>
      <c r="L44" s="76">
        <v>90</v>
      </c>
      <c r="M44" s="76">
        <v>100</v>
      </c>
      <c r="N44" s="76">
        <v>100</v>
      </c>
      <c r="O44" s="76">
        <v>90</v>
      </c>
      <c r="P44" s="76">
        <v>90</v>
      </c>
      <c r="Q44" s="76">
        <v>50</v>
      </c>
      <c r="R44" s="76">
        <v>100</v>
      </c>
      <c r="S44" s="76">
        <v>67</v>
      </c>
      <c r="T44" s="76">
        <v>100</v>
      </c>
      <c r="U44" s="76">
        <v>50</v>
      </c>
      <c r="V44" s="76">
        <v>100</v>
      </c>
      <c r="W44" s="76">
        <v>100</v>
      </c>
      <c r="X44" s="76">
        <v>70</v>
      </c>
      <c r="Y44" s="76">
        <v>100</v>
      </c>
      <c r="Z44" s="76">
        <v>95</v>
      </c>
      <c r="AA44" s="76">
        <v>50</v>
      </c>
      <c r="AB44" s="76">
        <v>60</v>
      </c>
      <c r="AC44" s="76">
        <v>100</v>
      </c>
      <c r="AD44" s="76">
        <v>0</v>
      </c>
      <c r="AE44" s="76">
        <v>90</v>
      </c>
      <c r="AF44" s="76">
        <v>100</v>
      </c>
      <c r="AG44" s="76">
        <v>50</v>
      </c>
      <c r="AH44" s="76">
        <v>70</v>
      </c>
      <c r="AI44" s="76">
        <v>100</v>
      </c>
      <c r="AJ44" s="76">
        <v>80</v>
      </c>
      <c r="AK44" s="76">
        <v>83</v>
      </c>
      <c r="AL44" s="76">
        <v>100</v>
      </c>
      <c r="AM44" s="76">
        <v>100</v>
      </c>
      <c r="AN44" s="76">
        <v>100</v>
      </c>
      <c r="AO44" s="76">
        <v>100</v>
      </c>
      <c r="AP44" s="76">
        <v>100</v>
      </c>
      <c r="AQ44" s="76">
        <v>50</v>
      </c>
      <c r="AR44" s="76">
        <v>100</v>
      </c>
      <c r="AS44" s="76">
        <v>80</v>
      </c>
      <c r="AT44" s="76">
        <v>80</v>
      </c>
      <c r="AU44" s="76">
        <v>20</v>
      </c>
      <c r="AV44" s="76">
        <v>70</v>
      </c>
      <c r="AW44" s="76">
        <v>90</v>
      </c>
      <c r="AX44" s="76">
        <v>50</v>
      </c>
      <c r="AY44" s="28">
        <f t="shared" si="7"/>
        <v>3848</v>
      </c>
      <c r="AZ44" s="76">
        <f t="shared" si="8"/>
        <v>8.7381666666666664</v>
      </c>
      <c r="BA44" s="76"/>
    </row>
    <row r="45" spans="1:53">
      <c r="A45" s="27"/>
      <c r="B45" s="27" t="s">
        <v>24</v>
      </c>
      <c r="C45" s="76">
        <v>10</v>
      </c>
      <c r="D45" s="76"/>
      <c r="E45" s="76"/>
      <c r="F45" s="76">
        <v>10</v>
      </c>
      <c r="G45" s="76"/>
      <c r="H45" s="76">
        <v>50</v>
      </c>
      <c r="I45" s="76">
        <v>30</v>
      </c>
      <c r="J45" s="76">
        <v>18</v>
      </c>
      <c r="K45" s="76">
        <v>50</v>
      </c>
      <c r="L45" s="76">
        <v>10</v>
      </c>
      <c r="M45" s="76"/>
      <c r="N45" s="76"/>
      <c r="O45" s="76">
        <v>10</v>
      </c>
      <c r="P45" s="76">
        <v>10</v>
      </c>
      <c r="Q45" s="76">
        <v>50</v>
      </c>
      <c r="R45" s="76"/>
      <c r="S45" s="76">
        <v>33</v>
      </c>
      <c r="T45" s="24"/>
      <c r="U45" s="76">
        <v>50</v>
      </c>
      <c r="V45" s="76"/>
      <c r="W45" s="76"/>
      <c r="X45" s="76">
        <v>30</v>
      </c>
      <c r="Y45" s="76"/>
      <c r="Z45" s="76">
        <v>5</v>
      </c>
      <c r="AA45" s="76">
        <v>50</v>
      </c>
      <c r="AB45" s="76">
        <v>40</v>
      </c>
      <c r="AC45" s="76"/>
      <c r="AD45" s="76">
        <v>100</v>
      </c>
      <c r="AE45" s="76">
        <v>10</v>
      </c>
      <c r="AF45" s="76"/>
      <c r="AG45" s="76">
        <v>50</v>
      </c>
      <c r="AH45" s="76">
        <v>30</v>
      </c>
      <c r="AI45" s="76"/>
      <c r="AJ45" s="76">
        <v>20</v>
      </c>
      <c r="AK45" s="76">
        <v>17</v>
      </c>
      <c r="AL45" s="76"/>
      <c r="AM45" s="76"/>
      <c r="AN45" s="76"/>
      <c r="AO45" s="76"/>
      <c r="AP45" s="76"/>
      <c r="AQ45" s="76">
        <v>50</v>
      </c>
      <c r="AR45" s="24"/>
      <c r="AS45" s="76">
        <v>20</v>
      </c>
      <c r="AT45" s="76">
        <v>20</v>
      </c>
      <c r="AU45" s="76">
        <v>80</v>
      </c>
      <c r="AV45" s="76">
        <v>30</v>
      </c>
      <c r="AW45" s="76">
        <v>10</v>
      </c>
      <c r="AX45" s="76">
        <v>50</v>
      </c>
      <c r="AY45" s="28">
        <f t="shared" si="7"/>
        <v>943</v>
      </c>
      <c r="AZ45" s="76">
        <f t="shared" si="8"/>
        <v>2.1413958333333332</v>
      </c>
      <c r="BA45" s="76"/>
    </row>
    <row r="46" spans="1:53">
      <c r="A46" s="27"/>
      <c r="B46" s="27" t="s">
        <v>38</v>
      </c>
      <c r="C46" s="24"/>
      <c r="D46" s="24"/>
      <c r="E46" s="24"/>
      <c r="F46" s="24"/>
      <c r="G46" s="76"/>
      <c r="H46" s="76"/>
      <c r="I46" s="76"/>
      <c r="J46" s="76">
        <v>9</v>
      </c>
      <c r="K46" s="24"/>
      <c r="L46" s="76"/>
      <c r="M46" s="76"/>
      <c r="N46" s="76"/>
      <c r="O46" s="76"/>
      <c r="P46" s="76"/>
      <c r="Q46" s="76"/>
      <c r="R46" s="24"/>
      <c r="S46" s="24"/>
      <c r="T46" s="24"/>
      <c r="U46" s="24"/>
      <c r="V46" s="24"/>
      <c r="W46" s="76"/>
      <c r="X46" s="76"/>
      <c r="Y46" s="76"/>
      <c r="Z46" s="24"/>
      <c r="AA46" s="24"/>
      <c r="AB46" s="76"/>
      <c r="AC46" s="76"/>
      <c r="AD46" s="24"/>
      <c r="AE46" s="24"/>
      <c r="AF46" s="76"/>
      <c r="AG46" s="24"/>
      <c r="AH46" s="24"/>
      <c r="AI46" s="24"/>
      <c r="AJ46" s="76"/>
      <c r="AK46" s="76"/>
      <c r="AL46" s="76"/>
      <c r="AM46" s="76"/>
      <c r="AN46" s="76"/>
      <c r="AO46" s="76"/>
      <c r="AP46" s="76"/>
      <c r="AQ46" s="76"/>
      <c r="AR46" s="24"/>
      <c r="AS46" s="24"/>
      <c r="AT46" s="76"/>
      <c r="AU46" s="24"/>
      <c r="AV46" s="24"/>
      <c r="AW46" s="24"/>
      <c r="AX46" s="24"/>
      <c r="AY46" s="28">
        <f t="shared" si="7"/>
        <v>9</v>
      </c>
      <c r="AZ46" s="76">
        <f t="shared" si="8"/>
        <v>2.0437500000000001E-2</v>
      </c>
      <c r="BA46" s="76"/>
    </row>
    <row r="47" spans="1:53">
      <c r="A47" s="76"/>
      <c r="B47" s="76" t="s">
        <v>42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8">
        <f t="shared" si="7"/>
        <v>0</v>
      </c>
      <c r="AZ47" s="76">
        <f t="shared" si="8"/>
        <v>0</v>
      </c>
      <c r="BA47" s="24"/>
    </row>
    <row r="48" spans="1:53">
      <c r="A48" s="27"/>
      <c r="B48" s="27" t="s">
        <v>23</v>
      </c>
      <c r="C48" s="76">
        <v>80</v>
      </c>
      <c r="D48" s="76">
        <v>70</v>
      </c>
      <c r="E48" s="76">
        <v>70</v>
      </c>
      <c r="F48" s="76">
        <v>95</v>
      </c>
      <c r="G48" s="76">
        <v>90</v>
      </c>
      <c r="H48" s="76">
        <v>33</v>
      </c>
      <c r="I48" s="76">
        <v>50</v>
      </c>
      <c r="J48" s="76">
        <v>20</v>
      </c>
      <c r="K48" s="76">
        <v>33</v>
      </c>
      <c r="L48" s="76">
        <v>90</v>
      </c>
      <c r="M48" s="76">
        <v>100</v>
      </c>
      <c r="N48" s="76">
        <v>60</v>
      </c>
      <c r="O48" s="76">
        <v>80</v>
      </c>
      <c r="P48" s="76">
        <v>70</v>
      </c>
      <c r="Q48" s="76">
        <v>30</v>
      </c>
      <c r="R48" s="76">
        <v>50</v>
      </c>
      <c r="S48" s="76">
        <v>33</v>
      </c>
      <c r="T48" s="76">
        <v>50</v>
      </c>
      <c r="U48" s="76">
        <v>33</v>
      </c>
      <c r="V48" s="76">
        <v>30</v>
      </c>
      <c r="W48" s="76">
        <v>10</v>
      </c>
      <c r="X48" s="76">
        <v>60</v>
      </c>
      <c r="Y48" s="76">
        <v>90</v>
      </c>
      <c r="Z48" s="76">
        <v>10</v>
      </c>
      <c r="AA48" s="76">
        <v>33</v>
      </c>
      <c r="AB48" s="76">
        <v>50</v>
      </c>
      <c r="AC48" s="76"/>
      <c r="AD48" s="76">
        <v>0</v>
      </c>
      <c r="AE48" s="76">
        <v>100</v>
      </c>
      <c r="AF48" s="76">
        <v>50</v>
      </c>
      <c r="AG48" s="76">
        <v>50</v>
      </c>
      <c r="AH48" s="76">
        <v>30</v>
      </c>
      <c r="AI48" s="76">
        <v>100</v>
      </c>
      <c r="AJ48" s="76">
        <v>30</v>
      </c>
      <c r="AK48" s="76">
        <v>67</v>
      </c>
      <c r="AL48" s="76">
        <v>50</v>
      </c>
      <c r="AM48" s="76">
        <v>100</v>
      </c>
      <c r="AN48" s="76">
        <v>50</v>
      </c>
      <c r="AO48" s="76">
        <v>67</v>
      </c>
      <c r="AP48" s="76">
        <v>100</v>
      </c>
      <c r="AQ48" s="76">
        <v>10</v>
      </c>
      <c r="AR48" s="76">
        <v>30</v>
      </c>
      <c r="AS48" s="76">
        <v>80</v>
      </c>
      <c r="AT48" s="76">
        <v>10</v>
      </c>
      <c r="AU48" s="76">
        <v>20</v>
      </c>
      <c r="AV48" s="76">
        <v>50</v>
      </c>
      <c r="AW48" s="76">
        <v>70</v>
      </c>
      <c r="AX48" s="76">
        <v>50</v>
      </c>
      <c r="AY48" s="28">
        <f t="shared" si="7"/>
        <v>2534</v>
      </c>
      <c r="AZ48" s="76">
        <f t="shared" si="8"/>
        <v>5.7542916666666661</v>
      </c>
      <c r="BA48" s="76"/>
    </row>
    <row r="49" spans="1:53">
      <c r="A49" s="27"/>
      <c r="B49" s="27" t="s">
        <v>24</v>
      </c>
      <c r="C49" s="76">
        <v>20</v>
      </c>
      <c r="D49" s="76">
        <v>30</v>
      </c>
      <c r="E49" s="76">
        <v>30</v>
      </c>
      <c r="F49" s="76">
        <v>5</v>
      </c>
      <c r="G49" s="76">
        <v>10</v>
      </c>
      <c r="H49" s="76">
        <v>67</v>
      </c>
      <c r="I49" s="76">
        <v>50</v>
      </c>
      <c r="J49" s="76">
        <v>67</v>
      </c>
      <c r="K49" s="76">
        <v>67</v>
      </c>
      <c r="L49" s="76">
        <v>10</v>
      </c>
      <c r="M49" s="76"/>
      <c r="N49" s="76">
        <v>40</v>
      </c>
      <c r="O49" s="76">
        <v>20</v>
      </c>
      <c r="P49" s="76">
        <v>30</v>
      </c>
      <c r="Q49" s="76">
        <v>70</v>
      </c>
      <c r="R49" s="76">
        <v>50</v>
      </c>
      <c r="S49" s="76">
        <v>67</v>
      </c>
      <c r="T49" s="76">
        <v>50</v>
      </c>
      <c r="U49" s="76">
        <v>67</v>
      </c>
      <c r="V49" s="76">
        <v>70</v>
      </c>
      <c r="W49" s="76">
        <v>90</v>
      </c>
      <c r="X49" s="76">
        <v>40</v>
      </c>
      <c r="Y49" s="76">
        <v>10</v>
      </c>
      <c r="Z49" s="76">
        <v>90</v>
      </c>
      <c r="AA49" s="76">
        <v>67</v>
      </c>
      <c r="AB49" s="76">
        <v>50</v>
      </c>
      <c r="AC49" s="76">
        <v>100</v>
      </c>
      <c r="AD49" s="76">
        <v>100</v>
      </c>
      <c r="AE49" s="76"/>
      <c r="AF49" s="76">
        <v>50</v>
      </c>
      <c r="AG49" s="76">
        <v>50</v>
      </c>
      <c r="AH49" s="76">
        <v>70</v>
      </c>
      <c r="AI49" s="76"/>
      <c r="AJ49" s="76">
        <v>70</v>
      </c>
      <c r="AK49" s="76">
        <v>33</v>
      </c>
      <c r="AL49" s="76">
        <v>50</v>
      </c>
      <c r="AM49" s="76"/>
      <c r="AN49" s="76">
        <v>50</v>
      </c>
      <c r="AO49" s="76">
        <v>33</v>
      </c>
      <c r="AP49" s="76"/>
      <c r="AQ49" s="76">
        <v>90</v>
      </c>
      <c r="AR49" s="76">
        <v>70</v>
      </c>
      <c r="AS49" s="76">
        <v>20</v>
      </c>
      <c r="AT49" s="76">
        <v>90</v>
      </c>
      <c r="AU49" s="76">
        <v>80</v>
      </c>
      <c r="AV49" s="76">
        <v>50</v>
      </c>
      <c r="AW49" s="76">
        <v>30</v>
      </c>
      <c r="AX49" s="76">
        <v>50</v>
      </c>
      <c r="AY49" s="28">
        <f t="shared" si="7"/>
        <v>2253</v>
      </c>
      <c r="AZ49" s="76">
        <f t="shared" si="8"/>
        <v>5.1161874999999997</v>
      </c>
      <c r="BA49" s="76"/>
    </row>
    <row r="50" spans="1:53">
      <c r="A50" s="27"/>
      <c r="B50" s="27" t="s">
        <v>38</v>
      </c>
      <c r="C50" s="24"/>
      <c r="D50" s="24"/>
      <c r="E50" s="76"/>
      <c r="F50" s="24"/>
      <c r="G50" s="76"/>
      <c r="H50" s="76"/>
      <c r="I50" s="76"/>
      <c r="J50" s="76">
        <v>13</v>
      </c>
      <c r="K50" s="24"/>
      <c r="L50" s="76"/>
      <c r="M50" s="76"/>
      <c r="N50" s="76"/>
      <c r="O50" s="76"/>
      <c r="P50" s="76"/>
      <c r="Q50" s="76"/>
      <c r="R50" s="24"/>
      <c r="S50" s="24"/>
      <c r="T50" s="24"/>
      <c r="U50" s="24"/>
      <c r="V50" s="24"/>
      <c r="W50" s="76"/>
      <c r="X50" s="76"/>
      <c r="Y50" s="76"/>
      <c r="Z50" s="24"/>
      <c r="AA50" s="24"/>
      <c r="AB50" s="76"/>
      <c r="AC50" s="76"/>
      <c r="AD50" s="76"/>
      <c r="AE50" s="24"/>
      <c r="AF50" s="76"/>
      <c r="AG50" s="24"/>
      <c r="AH50" s="24"/>
      <c r="AI50" s="24"/>
      <c r="AJ50" s="76"/>
      <c r="AK50" s="76"/>
      <c r="AL50" s="76"/>
      <c r="AM50" s="76"/>
      <c r="AN50" s="76"/>
      <c r="AO50" s="76"/>
      <c r="AP50" s="76"/>
      <c r="AQ50" s="76"/>
      <c r="AR50" s="24"/>
      <c r="AS50" s="24"/>
      <c r="AT50" s="76"/>
      <c r="AU50" s="24"/>
      <c r="AV50" s="24"/>
      <c r="AW50" s="24"/>
      <c r="AX50" s="24"/>
      <c r="AY50" s="28">
        <f t="shared" si="7"/>
        <v>13</v>
      </c>
      <c r="AZ50" s="76">
        <f t="shared" si="8"/>
        <v>2.9520833333333333E-2</v>
      </c>
      <c r="BA50" s="76"/>
    </row>
    <row r="51" spans="1:53">
      <c r="A51" s="29"/>
      <c r="B51" s="29" t="s">
        <v>32</v>
      </c>
      <c r="C51" s="30">
        <f t="shared" ref="C51:AX51" si="9">0.109*(C32+C36+C40+C44+C48)</f>
        <v>49.05</v>
      </c>
      <c r="D51" s="30">
        <f t="shared" si="9"/>
        <v>44.69</v>
      </c>
      <c r="E51" s="30">
        <f t="shared" si="9"/>
        <v>51.23</v>
      </c>
      <c r="F51" s="30">
        <f t="shared" si="9"/>
        <v>52.865000000000002</v>
      </c>
      <c r="G51" s="30">
        <f t="shared" si="9"/>
        <v>40.875</v>
      </c>
      <c r="H51" s="30">
        <f t="shared" si="9"/>
        <v>26.814</v>
      </c>
      <c r="I51" s="30">
        <f t="shared" si="9"/>
        <v>31.61</v>
      </c>
      <c r="J51" s="30">
        <f t="shared" si="9"/>
        <v>28.449000000000002</v>
      </c>
      <c r="K51" s="30">
        <f t="shared" si="9"/>
        <v>16.350000000000001</v>
      </c>
      <c r="L51" s="30">
        <f t="shared" si="9"/>
        <v>44.69</v>
      </c>
      <c r="M51" s="30">
        <f t="shared" si="9"/>
        <v>52.865000000000002</v>
      </c>
      <c r="N51" s="30">
        <f t="shared" si="9"/>
        <v>37.06</v>
      </c>
      <c r="O51" s="30">
        <f t="shared" si="9"/>
        <v>50.14</v>
      </c>
      <c r="P51" s="30">
        <f t="shared" si="9"/>
        <v>37.604999999999997</v>
      </c>
      <c r="Q51" s="30">
        <f t="shared" si="9"/>
        <v>34.008000000000003</v>
      </c>
      <c r="R51" s="30">
        <f t="shared" si="9"/>
        <v>49.05</v>
      </c>
      <c r="S51" s="30">
        <f t="shared" si="9"/>
        <v>27.794999999999998</v>
      </c>
      <c r="T51" s="30">
        <f t="shared" si="9"/>
        <v>49.05</v>
      </c>
      <c r="U51" s="30">
        <f t="shared" si="9"/>
        <v>30.193000000000001</v>
      </c>
      <c r="V51" s="30">
        <f t="shared" si="9"/>
        <v>40.875</v>
      </c>
      <c r="W51" s="30">
        <f t="shared" si="9"/>
        <v>44.69</v>
      </c>
      <c r="X51" s="30">
        <f t="shared" si="9"/>
        <v>37.06</v>
      </c>
      <c r="Y51" s="30">
        <f t="shared" si="9"/>
        <v>42.51</v>
      </c>
      <c r="Z51" s="30">
        <f t="shared" si="9"/>
        <v>31.065000000000001</v>
      </c>
      <c r="AA51" s="30">
        <f t="shared" si="9"/>
        <v>27.25</v>
      </c>
      <c r="AB51" s="30">
        <f t="shared" si="9"/>
        <v>33.572000000000003</v>
      </c>
      <c r="AC51" s="30">
        <f t="shared" si="9"/>
        <v>41.42</v>
      </c>
      <c r="AD51" s="30">
        <f t="shared" si="9"/>
        <v>22.89</v>
      </c>
      <c r="AE51" s="30">
        <f t="shared" si="9"/>
        <v>50.14</v>
      </c>
      <c r="AF51" s="30">
        <f t="shared" si="9"/>
        <v>41.42</v>
      </c>
      <c r="AG51" s="30">
        <f t="shared" si="9"/>
        <v>36.515000000000001</v>
      </c>
      <c r="AH51" s="30">
        <f t="shared" si="9"/>
        <v>36.515000000000001</v>
      </c>
      <c r="AI51" s="30">
        <f t="shared" si="9"/>
        <v>51.23</v>
      </c>
      <c r="AJ51" s="30">
        <f t="shared" si="9"/>
        <v>38.15</v>
      </c>
      <c r="AK51" s="30">
        <f t="shared" si="9"/>
        <v>43.491</v>
      </c>
      <c r="AL51" s="30">
        <f t="shared" si="9"/>
        <v>45.78</v>
      </c>
      <c r="AM51" s="30">
        <f t="shared" si="9"/>
        <v>49.05</v>
      </c>
      <c r="AN51" s="30">
        <f t="shared" si="9"/>
        <v>41.42</v>
      </c>
      <c r="AO51" s="30">
        <f t="shared" si="9"/>
        <v>38.040999999999997</v>
      </c>
      <c r="AP51" s="30">
        <f t="shared" si="9"/>
        <v>45.78</v>
      </c>
      <c r="AQ51" s="30">
        <f t="shared" si="9"/>
        <v>28.34</v>
      </c>
      <c r="AR51" s="30">
        <f t="shared" si="9"/>
        <v>34.880000000000003</v>
      </c>
      <c r="AS51" s="30">
        <f t="shared" si="9"/>
        <v>43.6</v>
      </c>
      <c r="AT51" s="30">
        <f t="shared" si="9"/>
        <v>40.875</v>
      </c>
      <c r="AU51" s="30">
        <f t="shared" si="9"/>
        <v>37.06</v>
      </c>
      <c r="AV51" s="30">
        <f t="shared" si="9"/>
        <v>33.79</v>
      </c>
      <c r="AW51" s="30">
        <f t="shared" si="9"/>
        <v>43.381999999999998</v>
      </c>
      <c r="AX51" s="30">
        <f t="shared" si="9"/>
        <v>31.61</v>
      </c>
      <c r="AY51" s="31">
        <f t="shared" ref="AY51:AY53" si="10">AVERAGE(C51:AX51)</f>
        <v>39.308125000000004</v>
      </c>
      <c r="AZ51" s="32">
        <f t="shared" ref="AZ51:AZ52" si="11">AZ32+AZ36+AZ40+AZ44+AZ48</f>
        <v>39.308124999999997</v>
      </c>
      <c r="BA51" s="30"/>
    </row>
    <row r="52" spans="1:53">
      <c r="A52" s="27"/>
      <c r="B52" s="27" t="s">
        <v>33</v>
      </c>
      <c r="C52" s="24">
        <f t="shared" ref="C52:AX52" si="12">0.109*(C33+C37+C41+C45+C49)</f>
        <v>5.45</v>
      </c>
      <c r="D52" s="24">
        <f t="shared" si="12"/>
        <v>9.81</v>
      </c>
      <c r="E52" s="24">
        <f t="shared" si="12"/>
        <v>3.27</v>
      </c>
      <c r="F52" s="24">
        <f t="shared" si="12"/>
        <v>1.635</v>
      </c>
      <c r="G52" s="24">
        <f t="shared" si="12"/>
        <v>2.7250000000000001</v>
      </c>
      <c r="H52" s="24">
        <f t="shared" si="12"/>
        <v>27.686</v>
      </c>
      <c r="I52" s="24">
        <f t="shared" si="12"/>
        <v>11.99</v>
      </c>
      <c r="J52" s="24">
        <f t="shared" si="12"/>
        <v>23.652999999999999</v>
      </c>
      <c r="K52" s="24">
        <f t="shared" si="12"/>
        <v>38.15</v>
      </c>
      <c r="L52" s="24">
        <f t="shared" si="12"/>
        <v>9.81</v>
      </c>
      <c r="M52" s="24">
        <f t="shared" si="12"/>
        <v>1.635</v>
      </c>
      <c r="N52" s="24">
        <f t="shared" si="12"/>
        <v>6.54</v>
      </c>
      <c r="O52" s="24">
        <f t="shared" si="12"/>
        <v>4.3600000000000003</v>
      </c>
      <c r="P52" s="24">
        <f t="shared" si="12"/>
        <v>5.9950000000000001</v>
      </c>
      <c r="Q52" s="24">
        <f t="shared" si="12"/>
        <v>20.492000000000001</v>
      </c>
      <c r="R52" s="24">
        <f t="shared" si="12"/>
        <v>5.45</v>
      </c>
      <c r="S52" s="24">
        <f t="shared" si="12"/>
        <v>26.704999999999998</v>
      </c>
      <c r="T52" s="24">
        <f t="shared" si="12"/>
        <v>5.45</v>
      </c>
      <c r="U52" s="24">
        <f t="shared" si="12"/>
        <v>24.306999999999999</v>
      </c>
      <c r="V52" s="24">
        <f t="shared" si="12"/>
        <v>13.625</v>
      </c>
      <c r="W52" s="24">
        <f t="shared" si="12"/>
        <v>9.81</v>
      </c>
      <c r="X52" s="24">
        <f t="shared" si="12"/>
        <v>17.440000000000001</v>
      </c>
      <c r="Y52" s="24">
        <f t="shared" si="12"/>
        <v>1.0900000000000001</v>
      </c>
      <c r="Z52" s="24">
        <f t="shared" si="12"/>
        <v>23.434999999999999</v>
      </c>
      <c r="AA52" s="24">
        <f t="shared" si="12"/>
        <v>27.25</v>
      </c>
      <c r="AB52" s="24">
        <f t="shared" si="12"/>
        <v>10.028</v>
      </c>
      <c r="AC52" s="24">
        <f t="shared" si="12"/>
        <v>13.08</v>
      </c>
      <c r="AD52" s="24">
        <f t="shared" si="12"/>
        <v>31.283000000000001</v>
      </c>
      <c r="AE52" s="24">
        <f t="shared" si="12"/>
        <v>4.3600000000000003</v>
      </c>
      <c r="AF52" s="24">
        <f t="shared" si="12"/>
        <v>13.08</v>
      </c>
      <c r="AG52" s="24">
        <f t="shared" si="12"/>
        <v>17.984999999999999</v>
      </c>
      <c r="AH52" s="24">
        <f t="shared" si="12"/>
        <v>17.984999999999999</v>
      </c>
      <c r="AI52" s="24">
        <f t="shared" si="12"/>
        <v>3.27</v>
      </c>
      <c r="AJ52" s="24">
        <f t="shared" si="12"/>
        <v>16.350000000000001</v>
      </c>
      <c r="AK52" s="24">
        <f t="shared" si="12"/>
        <v>11.009</v>
      </c>
      <c r="AL52" s="24">
        <f t="shared" si="12"/>
        <v>8.7200000000000006</v>
      </c>
      <c r="AM52" s="24">
        <f t="shared" si="12"/>
        <v>5.45</v>
      </c>
      <c r="AN52" s="24">
        <f t="shared" si="12"/>
        <v>13.08</v>
      </c>
      <c r="AO52" s="24">
        <f t="shared" si="12"/>
        <v>16.459</v>
      </c>
      <c r="AP52" s="24">
        <f t="shared" si="12"/>
        <v>8.7200000000000006</v>
      </c>
      <c r="AQ52" s="24">
        <f t="shared" si="12"/>
        <v>15.26</v>
      </c>
      <c r="AR52" s="24">
        <f t="shared" si="12"/>
        <v>19.62</v>
      </c>
      <c r="AS52" s="24">
        <f t="shared" si="12"/>
        <v>10.9</v>
      </c>
      <c r="AT52" s="24">
        <f t="shared" si="12"/>
        <v>13.625</v>
      </c>
      <c r="AU52" s="24">
        <f t="shared" si="12"/>
        <v>17.440000000000001</v>
      </c>
      <c r="AV52" s="24">
        <f t="shared" si="12"/>
        <v>20.71</v>
      </c>
      <c r="AW52" s="24">
        <f t="shared" si="12"/>
        <v>11.118</v>
      </c>
      <c r="AX52" s="24">
        <f t="shared" si="12"/>
        <v>11.99</v>
      </c>
      <c r="AY52" s="25">
        <f t="shared" si="10"/>
        <v>13.318437500000002</v>
      </c>
      <c r="AZ52" s="33">
        <f t="shared" si="11"/>
        <v>13.318437499999998</v>
      </c>
      <c r="BA52" s="24"/>
    </row>
    <row r="53" spans="1:53">
      <c r="A53" s="34"/>
      <c r="B53" s="34" t="s">
        <v>34</v>
      </c>
      <c r="C53" s="35">
        <f t="shared" ref="C53:AX53" si="13">C51-C52</f>
        <v>43.599999999999994</v>
      </c>
      <c r="D53" s="35">
        <f t="shared" si="13"/>
        <v>34.879999999999995</v>
      </c>
      <c r="E53" s="35">
        <f t="shared" si="13"/>
        <v>47.959999999999994</v>
      </c>
      <c r="F53" s="35">
        <f t="shared" si="13"/>
        <v>51.230000000000004</v>
      </c>
      <c r="G53" s="35">
        <f t="shared" si="13"/>
        <v>38.15</v>
      </c>
      <c r="H53" s="35">
        <f t="shared" si="13"/>
        <v>-0.87199999999999989</v>
      </c>
      <c r="I53" s="35">
        <f t="shared" si="13"/>
        <v>19.619999999999997</v>
      </c>
      <c r="J53" s="35">
        <f t="shared" si="13"/>
        <v>4.7960000000000029</v>
      </c>
      <c r="K53" s="35">
        <f t="shared" si="13"/>
        <v>-21.799999999999997</v>
      </c>
      <c r="L53" s="35">
        <f t="shared" si="13"/>
        <v>34.879999999999995</v>
      </c>
      <c r="M53" s="35">
        <f t="shared" si="13"/>
        <v>51.230000000000004</v>
      </c>
      <c r="N53" s="35">
        <f t="shared" si="13"/>
        <v>30.520000000000003</v>
      </c>
      <c r="O53" s="35">
        <f t="shared" si="13"/>
        <v>45.78</v>
      </c>
      <c r="P53" s="35">
        <f t="shared" si="13"/>
        <v>31.609999999999996</v>
      </c>
      <c r="Q53" s="35">
        <f t="shared" si="13"/>
        <v>13.516000000000002</v>
      </c>
      <c r="R53" s="35">
        <f t="shared" si="13"/>
        <v>43.599999999999994</v>
      </c>
      <c r="S53" s="35">
        <f t="shared" si="13"/>
        <v>1.0899999999999999</v>
      </c>
      <c r="T53" s="35">
        <f t="shared" si="13"/>
        <v>43.599999999999994</v>
      </c>
      <c r="U53" s="35">
        <f t="shared" si="13"/>
        <v>5.8860000000000028</v>
      </c>
      <c r="V53" s="35">
        <f t="shared" si="13"/>
        <v>27.25</v>
      </c>
      <c r="W53" s="35">
        <f t="shared" si="13"/>
        <v>34.879999999999995</v>
      </c>
      <c r="X53" s="35">
        <f t="shared" si="13"/>
        <v>19.62</v>
      </c>
      <c r="Y53" s="35">
        <f t="shared" si="13"/>
        <v>41.419999999999995</v>
      </c>
      <c r="Z53" s="35">
        <f t="shared" si="13"/>
        <v>7.6300000000000026</v>
      </c>
      <c r="AA53" s="35">
        <f t="shared" si="13"/>
        <v>0</v>
      </c>
      <c r="AB53" s="35">
        <f t="shared" si="13"/>
        <v>23.544000000000004</v>
      </c>
      <c r="AC53" s="35">
        <f t="shared" si="13"/>
        <v>28.340000000000003</v>
      </c>
      <c r="AD53" s="35">
        <f t="shared" si="13"/>
        <v>-8.3930000000000007</v>
      </c>
      <c r="AE53" s="35">
        <f t="shared" si="13"/>
        <v>45.78</v>
      </c>
      <c r="AF53" s="35">
        <f t="shared" si="13"/>
        <v>28.340000000000003</v>
      </c>
      <c r="AG53" s="35">
        <f t="shared" si="13"/>
        <v>18.53</v>
      </c>
      <c r="AH53" s="35">
        <f t="shared" si="13"/>
        <v>18.53</v>
      </c>
      <c r="AI53" s="35">
        <f t="shared" si="13"/>
        <v>47.959999999999994</v>
      </c>
      <c r="AJ53" s="35">
        <f t="shared" si="13"/>
        <v>21.799999999999997</v>
      </c>
      <c r="AK53" s="35">
        <f t="shared" si="13"/>
        <v>32.481999999999999</v>
      </c>
      <c r="AL53" s="35">
        <f t="shared" si="13"/>
        <v>37.06</v>
      </c>
      <c r="AM53" s="35">
        <f t="shared" si="13"/>
        <v>43.599999999999994</v>
      </c>
      <c r="AN53" s="35">
        <f t="shared" si="13"/>
        <v>28.340000000000003</v>
      </c>
      <c r="AO53" s="35">
        <f t="shared" si="13"/>
        <v>21.581999999999997</v>
      </c>
      <c r="AP53" s="35">
        <f t="shared" si="13"/>
        <v>37.06</v>
      </c>
      <c r="AQ53" s="35">
        <f t="shared" si="13"/>
        <v>13.08</v>
      </c>
      <c r="AR53" s="35">
        <f t="shared" si="13"/>
        <v>15.260000000000002</v>
      </c>
      <c r="AS53" s="35">
        <f t="shared" si="13"/>
        <v>32.700000000000003</v>
      </c>
      <c r="AT53" s="35">
        <f t="shared" si="13"/>
        <v>27.25</v>
      </c>
      <c r="AU53" s="35">
        <f t="shared" si="13"/>
        <v>19.62</v>
      </c>
      <c r="AV53" s="35">
        <f t="shared" si="13"/>
        <v>13.079999999999998</v>
      </c>
      <c r="AW53" s="35">
        <f t="shared" si="13"/>
        <v>32.263999999999996</v>
      </c>
      <c r="AX53" s="35">
        <f t="shared" si="13"/>
        <v>19.619999999999997</v>
      </c>
      <c r="AY53" s="36">
        <f t="shared" si="10"/>
        <v>25.989687499999988</v>
      </c>
      <c r="AZ53" s="37">
        <f>AZ51-AZ52</f>
        <v>25.989687499999999</v>
      </c>
      <c r="BA53" s="35"/>
    </row>
    <row r="54" spans="1:53">
      <c r="A54" s="38" t="s">
        <v>43</v>
      </c>
      <c r="B54" s="39" t="s">
        <v>44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1"/>
      <c r="AZ54" s="40"/>
      <c r="BA54" s="40"/>
    </row>
    <row r="55" spans="1:53">
      <c r="A55" s="38"/>
      <c r="B55" s="77" t="s">
        <v>45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1"/>
      <c r="AZ55" s="40"/>
      <c r="BA55" s="40"/>
    </row>
    <row r="56" spans="1:53">
      <c r="A56" s="43"/>
      <c r="B56" s="43" t="s">
        <v>23</v>
      </c>
      <c r="C56" s="77">
        <v>6</v>
      </c>
      <c r="D56" s="77">
        <v>4</v>
      </c>
      <c r="E56" s="77">
        <v>6</v>
      </c>
      <c r="F56" s="77">
        <v>6</v>
      </c>
      <c r="G56" s="77">
        <v>6</v>
      </c>
      <c r="H56" s="77">
        <v>6</v>
      </c>
      <c r="I56" s="77">
        <v>6</v>
      </c>
      <c r="J56" s="77">
        <v>6</v>
      </c>
      <c r="K56" s="77">
        <v>6</v>
      </c>
      <c r="L56" s="77">
        <v>6</v>
      </c>
      <c r="M56" s="77">
        <v>6</v>
      </c>
      <c r="N56" s="77">
        <v>6</v>
      </c>
      <c r="O56" s="77">
        <v>6</v>
      </c>
      <c r="P56" s="77">
        <v>6</v>
      </c>
      <c r="Q56" s="77">
        <v>5</v>
      </c>
      <c r="R56" s="77">
        <v>6</v>
      </c>
      <c r="S56" s="77">
        <v>6</v>
      </c>
      <c r="T56" s="77">
        <v>6</v>
      </c>
      <c r="U56" s="77">
        <v>5</v>
      </c>
      <c r="V56" s="77">
        <v>6</v>
      </c>
      <c r="W56" s="77">
        <v>6</v>
      </c>
      <c r="X56" s="77">
        <v>6</v>
      </c>
      <c r="Y56" s="77">
        <v>6</v>
      </c>
      <c r="Z56" s="77">
        <v>6</v>
      </c>
      <c r="AA56" s="77">
        <v>6</v>
      </c>
      <c r="AB56" s="77">
        <v>6</v>
      </c>
      <c r="AC56" s="77">
        <v>6</v>
      </c>
      <c r="AD56" s="77">
        <v>4</v>
      </c>
      <c r="AE56" s="77">
        <v>6</v>
      </c>
      <c r="AF56" s="77">
        <v>6</v>
      </c>
      <c r="AG56" s="77">
        <v>6</v>
      </c>
      <c r="AH56" s="77">
        <v>6</v>
      </c>
      <c r="AI56" s="77">
        <v>6</v>
      </c>
      <c r="AJ56" s="77">
        <v>6</v>
      </c>
      <c r="AK56" s="77">
        <v>6</v>
      </c>
      <c r="AL56" s="77">
        <v>6</v>
      </c>
      <c r="AM56" s="77">
        <v>6</v>
      </c>
      <c r="AN56" s="77">
        <v>6</v>
      </c>
      <c r="AO56" s="77">
        <v>6</v>
      </c>
      <c r="AP56" s="77">
        <v>6</v>
      </c>
      <c r="AQ56" s="77">
        <v>6</v>
      </c>
      <c r="AR56" s="77">
        <v>6</v>
      </c>
      <c r="AS56" s="77">
        <v>6</v>
      </c>
      <c r="AT56" s="77">
        <v>6</v>
      </c>
      <c r="AU56" s="77">
        <v>6</v>
      </c>
      <c r="AV56" s="77">
        <v>6</v>
      </c>
      <c r="AW56" s="77">
        <v>6</v>
      </c>
      <c r="AX56" s="77">
        <v>6</v>
      </c>
      <c r="AY56" s="41">
        <f t="shared" ref="AY56:AY66" si="14">SUM(C56:AX56)</f>
        <v>282</v>
      </c>
      <c r="AZ56" s="77">
        <f t="shared" ref="AZ56:AZ66" si="15">2.27*(AY56/COLUMNS(C56:AX56))</f>
        <v>13.33625</v>
      </c>
      <c r="BA56" s="77"/>
    </row>
    <row r="57" spans="1:53">
      <c r="A57" s="43"/>
      <c r="B57" s="43" t="s">
        <v>24</v>
      </c>
      <c r="C57" s="77">
        <v>6</v>
      </c>
      <c r="D57" s="77">
        <v>6</v>
      </c>
      <c r="E57" s="77">
        <v>3</v>
      </c>
      <c r="F57" s="77">
        <v>6</v>
      </c>
      <c r="G57" s="77">
        <v>6</v>
      </c>
      <c r="H57" s="77">
        <v>6</v>
      </c>
      <c r="I57" s="77">
        <v>6</v>
      </c>
      <c r="J57" s="77">
        <v>6</v>
      </c>
      <c r="K57" s="77">
        <v>6</v>
      </c>
      <c r="L57" s="77">
        <v>6</v>
      </c>
      <c r="M57" s="77">
        <v>2</v>
      </c>
      <c r="N57" s="77">
        <v>6</v>
      </c>
      <c r="O57" s="77">
        <v>6</v>
      </c>
      <c r="P57" s="77">
        <v>6</v>
      </c>
      <c r="Q57" s="77">
        <v>4</v>
      </c>
      <c r="R57" s="77">
        <v>6</v>
      </c>
      <c r="S57" s="77">
        <v>6</v>
      </c>
      <c r="T57" s="77">
        <v>4</v>
      </c>
      <c r="U57" s="77">
        <v>6</v>
      </c>
      <c r="V57" s="77">
        <v>6</v>
      </c>
      <c r="W57" s="77">
        <v>4</v>
      </c>
      <c r="X57" s="77">
        <v>6</v>
      </c>
      <c r="Y57" s="77">
        <v>6</v>
      </c>
      <c r="Z57" s="77">
        <v>6</v>
      </c>
      <c r="AA57" s="77">
        <v>6</v>
      </c>
      <c r="AB57" s="77">
        <v>6</v>
      </c>
      <c r="AC57" s="77">
        <v>3</v>
      </c>
      <c r="AD57" s="77">
        <v>5</v>
      </c>
      <c r="AE57" s="77">
        <v>4</v>
      </c>
      <c r="AF57" s="77">
        <v>6</v>
      </c>
      <c r="AG57" s="77">
        <v>6</v>
      </c>
      <c r="AH57" s="77">
        <v>6</v>
      </c>
      <c r="AI57" s="77">
        <v>4</v>
      </c>
      <c r="AJ57" s="77">
        <v>6</v>
      </c>
      <c r="AK57" s="77">
        <v>6</v>
      </c>
      <c r="AL57" s="77">
        <v>6</v>
      </c>
      <c r="AM57" s="77">
        <v>6</v>
      </c>
      <c r="AN57" s="77">
        <v>6</v>
      </c>
      <c r="AO57" s="77">
        <v>5</v>
      </c>
      <c r="AP57" s="77">
        <v>6</v>
      </c>
      <c r="AQ57" s="77">
        <v>6</v>
      </c>
      <c r="AR57" s="77">
        <v>6</v>
      </c>
      <c r="AS57" s="77">
        <v>5</v>
      </c>
      <c r="AT57" s="77">
        <v>5</v>
      </c>
      <c r="AU57" s="77">
        <v>5</v>
      </c>
      <c r="AV57" s="77">
        <v>6</v>
      </c>
      <c r="AW57" s="77">
        <v>5</v>
      </c>
      <c r="AX57" s="77">
        <v>6</v>
      </c>
      <c r="AY57" s="41">
        <f t="shared" si="14"/>
        <v>262</v>
      </c>
      <c r="AZ57" s="77">
        <f t="shared" si="15"/>
        <v>12.390416666666667</v>
      </c>
      <c r="BA57" s="77"/>
    </row>
    <row r="58" spans="1:53">
      <c r="A58" s="77"/>
      <c r="B58" s="77" t="s">
        <v>46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1">
        <f t="shared" si="14"/>
        <v>0</v>
      </c>
      <c r="AZ58" s="77">
        <f t="shared" si="15"/>
        <v>0</v>
      </c>
      <c r="BA58" s="40"/>
    </row>
    <row r="59" spans="1:53">
      <c r="A59" s="43"/>
      <c r="B59" s="43" t="s">
        <v>23</v>
      </c>
      <c r="C59" s="77">
        <v>6</v>
      </c>
      <c r="D59" s="77">
        <v>6</v>
      </c>
      <c r="E59" s="77">
        <v>6</v>
      </c>
      <c r="F59" s="77">
        <v>6</v>
      </c>
      <c r="G59" s="77">
        <v>6</v>
      </c>
      <c r="H59" s="77">
        <v>6</v>
      </c>
      <c r="I59" s="77">
        <v>6</v>
      </c>
      <c r="J59" s="77">
        <v>6</v>
      </c>
      <c r="K59" s="77">
        <v>6</v>
      </c>
      <c r="L59" s="77">
        <v>6</v>
      </c>
      <c r="M59" s="77">
        <v>6</v>
      </c>
      <c r="N59" s="77">
        <v>6</v>
      </c>
      <c r="O59" s="77">
        <v>6</v>
      </c>
      <c r="P59" s="77">
        <v>6</v>
      </c>
      <c r="Q59" s="77">
        <v>6</v>
      </c>
      <c r="R59" s="77">
        <v>6</v>
      </c>
      <c r="S59" s="77">
        <v>6</v>
      </c>
      <c r="T59" s="77">
        <v>6</v>
      </c>
      <c r="U59" s="77">
        <v>6</v>
      </c>
      <c r="V59" s="77">
        <v>6</v>
      </c>
      <c r="W59" s="77">
        <v>6</v>
      </c>
      <c r="X59" s="77">
        <v>6</v>
      </c>
      <c r="Y59" s="77">
        <v>6</v>
      </c>
      <c r="Z59" s="77">
        <v>6</v>
      </c>
      <c r="AA59" s="77">
        <v>6</v>
      </c>
      <c r="AB59" s="77">
        <v>6</v>
      </c>
      <c r="AC59" s="77">
        <v>5</v>
      </c>
      <c r="AD59" s="77">
        <v>6</v>
      </c>
      <c r="AE59" s="77">
        <v>6</v>
      </c>
      <c r="AF59" s="77">
        <v>6</v>
      </c>
      <c r="AG59" s="77">
        <v>6</v>
      </c>
      <c r="AH59" s="77">
        <v>6</v>
      </c>
      <c r="AI59" s="77">
        <v>6</v>
      </c>
      <c r="AJ59" s="77">
        <v>6</v>
      </c>
      <c r="AK59" s="77">
        <v>6</v>
      </c>
      <c r="AL59" s="77">
        <v>6</v>
      </c>
      <c r="AM59" s="77">
        <v>6</v>
      </c>
      <c r="AN59" s="77">
        <v>6</v>
      </c>
      <c r="AO59" s="77">
        <v>6</v>
      </c>
      <c r="AP59" s="77">
        <v>6</v>
      </c>
      <c r="AQ59" s="77">
        <v>6</v>
      </c>
      <c r="AR59" s="77">
        <v>6</v>
      </c>
      <c r="AS59" s="77">
        <v>6</v>
      </c>
      <c r="AT59" s="77">
        <v>6</v>
      </c>
      <c r="AU59" s="77">
        <v>6</v>
      </c>
      <c r="AV59" s="77">
        <v>6</v>
      </c>
      <c r="AW59" s="77">
        <v>6</v>
      </c>
      <c r="AX59" s="77">
        <v>6</v>
      </c>
      <c r="AY59" s="41">
        <f t="shared" si="14"/>
        <v>287</v>
      </c>
      <c r="AZ59" s="77">
        <f t="shared" si="15"/>
        <v>13.572708333333335</v>
      </c>
      <c r="BA59" s="77"/>
    </row>
    <row r="60" spans="1:53">
      <c r="A60" s="43"/>
      <c r="B60" s="43" t="s">
        <v>24</v>
      </c>
      <c r="C60" s="77">
        <v>6</v>
      </c>
      <c r="D60" s="77">
        <v>6</v>
      </c>
      <c r="E60" s="77">
        <v>4</v>
      </c>
      <c r="F60" s="77">
        <v>6</v>
      </c>
      <c r="G60" s="77">
        <v>6</v>
      </c>
      <c r="H60" s="77">
        <v>6</v>
      </c>
      <c r="I60" s="77">
        <v>6</v>
      </c>
      <c r="J60" s="77">
        <v>6</v>
      </c>
      <c r="K60" s="77">
        <v>6</v>
      </c>
      <c r="L60" s="77">
        <v>6</v>
      </c>
      <c r="M60" s="77">
        <v>3</v>
      </c>
      <c r="N60" s="77">
        <v>6</v>
      </c>
      <c r="O60" s="77">
        <v>6</v>
      </c>
      <c r="P60" s="77">
        <v>6</v>
      </c>
      <c r="Q60" s="77">
        <v>6</v>
      </c>
      <c r="R60" s="77">
        <v>6</v>
      </c>
      <c r="S60" s="77">
        <v>6</v>
      </c>
      <c r="T60" s="77">
        <v>4</v>
      </c>
      <c r="U60" s="77">
        <v>6</v>
      </c>
      <c r="V60" s="77">
        <v>6</v>
      </c>
      <c r="W60" s="77">
        <v>6</v>
      </c>
      <c r="X60" s="77">
        <v>6</v>
      </c>
      <c r="Y60" s="77">
        <v>6</v>
      </c>
      <c r="Z60" s="77">
        <v>6</v>
      </c>
      <c r="AA60" s="77">
        <v>6</v>
      </c>
      <c r="AB60" s="77">
        <v>6</v>
      </c>
      <c r="AC60" s="77">
        <v>4</v>
      </c>
      <c r="AD60" s="77">
        <v>6</v>
      </c>
      <c r="AE60" s="77">
        <v>6</v>
      </c>
      <c r="AF60" s="77">
        <v>6</v>
      </c>
      <c r="AG60" s="77">
        <v>6</v>
      </c>
      <c r="AH60" s="77">
        <v>6</v>
      </c>
      <c r="AI60" s="77">
        <v>3</v>
      </c>
      <c r="AJ60" s="77">
        <v>6</v>
      </c>
      <c r="AK60" s="77">
        <v>6</v>
      </c>
      <c r="AL60" s="77">
        <v>6</v>
      </c>
      <c r="AM60" s="77">
        <v>6</v>
      </c>
      <c r="AN60" s="77">
        <v>6</v>
      </c>
      <c r="AO60" s="77">
        <v>5</v>
      </c>
      <c r="AP60" s="77">
        <v>6</v>
      </c>
      <c r="AQ60" s="77">
        <v>6</v>
      </c>
      <c r="AR60" s="77">
        <v>6</v>
      </c>
      <c r="AS60" s="77">
        <v>5</v>
      </c>
      <c r="AT60" s="77">
        <v>5</v>
      </c>
      <c r="AU60" s="77">
        <v>6</v>
      </c>
      <c r="AV60" s="77">
        <v>6</v>
      </c>
      <c r="AW60" s="77">
        <v>5</v>
      </c>
      <c r="AX60" s="77">
        <v>6</v>
      </c>
      <c r="AY60" s="41">
        <f t="shared" si="14"/>
        <v>272</v>
      </c>
      <c r="AZ60" s="77">
        <f t="shared" si="15"/>
        <v>12.863333333333333</v>
      </c>
      <c r="BA60" s="77"/>
    </row>
    <row r="61" spans="1:53">
      <c r="A61" s="77"/>
      <c r="B61" s="77" t="s">
        <v>47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1">
        <f t="shared" si="14"/>
        <v>0</v>
      </c>
      <c r="AZ61" s="77">
        <f t="shared" si="15"/>
        <v>0</v>
      </c>
      <c r="BA61" s="40"/>
    </row>
    <row r="62" spans="1:53">
      <c r="A62" s="43"/>
      <c r="B62" s="43" t="s">
        <v>23</v>
      </c>
      <c r="C62" s="77">
        <v>6</v>
      </c>
      <c r="D62" s="77">
        <v>5</v>
      </c>
      <c r="E62" s="77">
        <v>6</v>
      </c>
      <c r="F62" s="77">
        <v>6</v>
      </c>
      <c r="G62" s="77">
        <v>6</v>
      </c>
      <c r="H62" s="77">
        <v>5</v>
      </c>
      <c r="I62" s="77">
        <v>6</v>
      </c>
      <c r="J62" s="77">
        <v>6</v>
      </c>
      <c r="K62" s="77">
        <v>6</v>
      </c>
      <c r="L62" s="77">
        <v>6</v>
      </c>
      <c r="M62" s="77">
        <v>6</v>
      </c>
      <c r="N62" s="77">
        <v>6</v>
      </c>
      <c r="O62" s="77">
        <v>6</v>
      </c>
      <c r="P62" s="77">
        <v>6</v>
      </c>
      <c r="Q62" s="77">
        <v>6</v>
      </c>
      <c r="R62" s="77">
        <v>6</v>
      </c>
      <c r="S62" s="77">
        <v>6</v>
      </c>
      <c r="T62" s="77">
        <v>6</v>
      </c>
      <c r="U62" s="77">
        <v>6</v>
      </c>
      <c r="V62" s="77">
        <v>6</v>
      </c>
      <c r="W62" s="77">
        <v>6</v>
      </c>
      <c r="X62" s="77">
        <v>6</v>
      </c>
      <c r="Y62" s="77">
        <v>6</v>
      </c>
      <c r="Z62" s="77">
        <v>4</v>
      </c>
      <c r="AA62" s="77">
        <v>6</v>
      </c>
      <c r="AB62" s="77">
        <v>6</v>
      </c>
      <c r="AC62" s="77">
        <v>4</v>
      </c>
      <c r="AD62" s="77">
        <v>2</v>
      </c>
      <c r="AE62" s="77">
        <v>6</v>
      </c>
      <c r="AF62" s="77">
        <v>6</v>
      </c>
      <c r="AG62" s="77">
        <v>6</v>
      </c>
      <c r="AH62" s="77">
        <v>6</v>
      </c>
      <c r="AI62" s="77">
        <v>6</v>
      </c>
      <c r="AJ62" s="77">
        <v>6</v>
      </c>
      <c r="AK62" s="77">
        <v>6</v>
      </c>
      <c r="AL62" s="77">
        <v>6</v>
      </c>
      <c r="AM62" s="77">
        <v>6</v>
      </c>
      <c r="AN62" s="77">
        <v>6</v>
      </c>
      <c r="AO62" s="77">
        <v>6</v>
      </c>
      <c r="AP62" s="77">
        <v>6</v>
      </c>
      <c r="AQ62" s="77">
        <v>5</v>
      </c>
      <c r="AR62" s="77">
        <v>6</v>
      </c>
      <c r="AS62" s="77">
        <v>6</v>
      </c>
      <c r="AT62" s="77">
        <v>5</v>
      </c>
      <c r="AU62" s="77">
        <v>6</v>
      </c>
      <c r="AV62" s="77">
        <v>6</v>
      </c>
      <c r="AW62" s="77">
        <v>6</v>
      </c>
      <c r="AX62" s="77">
        <v>6</v>
      </c>
      <c r="AY62" s="41">
        <f t="shared" si="14"/>
        <v>276</v>
      </c>
      <c r="AZ62" s="77">
        <f t="shared" si="15"/>
        <v>13.0525</v>
      </c>
      <c r="BA62" s="77"/>
    </row>
    <row r="63" spans="1:53">
      <c r="A63" s="43"/>
      <c r="B63" s="43" t="s">
        <v>24</v>
      </c>
      <c r="C63" s="77">
        <v>6</v>
      </c>
      <c r="D63" s="77">
        <v>6</v>
      </c>
      <c r="E63" s="77">
        <v>4</v>
      </c>
      <c r="F63" s="77">
        <v>6</v>
      </c>
      <c r="G63" s="77">
        <v>6</v>
      </c>
      <c r="H63" s="77">
        <v>6</v>
      </c>
      <c r="I63" s="77">
        <v>6</v>
      </c>
      <c r="J63" s="77">
        <v>6</v>
      </c>
      <c r="K63" s="77">
        <v>6</v>
      </c>
      <c r="L63" s="77">
        <v>6</v>
      </c>
      <c r="M63" s="77">
        <v>3</v>
      </c>
      <c r="N63" s="77">
        <v>6</v>
      </c>
      <c r="O63" s="77">
        <v>6</v>
      </c>
      <c r="P63" s="77">
        <v>6</v>
      </c>
      <c r="Q63" s="77">
        <v>6</v>
      </c>
      <c r="R63" s="77">
        <v>6</v>
      </c>
      <c r="S63" s="77">
        <v>6</v>
      </c>
      <c r="T63" s="77">
        <v>4</v>
      </c>
      <c r="U63" s="77">
        <v>6</v>
      </c>
      <c r="V63" s="77">
        <v>6</v>
      </c>
      <c r="W63" s="77">
        <v>6</v>
      </c>
      <c r="X63" s="77">
        <v>6</v>
      </c>
      <c r="Y63" s="77">
        <v>6</v>
      </c>
      <c r="Z63" s="77">
        <v>6</v>
      </c>
      <c r="AA63" s="77">
        <v>6</v>
      </c>
      <c r="AB63" s="77">
        <v>6</v>
      </c>
      <c r="AC63" s="77">
        <v>4</v>
      </c>
      <c r="AD63" s="77">
        <v>6</v>
      </c>
      <c r="AE63" s="77">
        <v>6</v>
      </c>
      <c r="AF63" s="77">
        <v>6</v>
      </c>
      <c r="AG63" s="77">
        <v>6</v>
      </c>
      <c r="AH63" s="77">
        <v>6</v>
      </c>
      <c r="AI63" s="77">
        <v>4</v>
      </c>
      <c r="AJ63" s="77">
        <v>6</v>
      </c>
      <c r="AK63" s="77">
        <v>6</v>
      </c>
      <c r="AL63" s="77">
        <v>6</v>
      </c>
      <c r="AM63" s="77">
        <v>6</v>
      </c>
      <c r="AN63" s="77">
        <v>6</v>
      </c>
      <c r="AO63" s="77">
        <v>5</v>
      </c>
      <c r="AP63" s="77">
        <v>6</v>
      </c>
      <c r="AQ63" s="77">
        <v>6</v>
      </c>
      <c r="AR63" s="77">
        <v>6</v>
      </c>
      <c r="AS63" s="77">
        <v>5</v>
      </c>
      <c r="AT63" s="77">
        <v>6</v>
      </c>
      <c r="AU63" s="77">
        <v>6</v>
      </c>
      <c r="AV63" s="77">
        <v>6</v>
      </c>
      <c r="AW63" s="77">
        <v>5</v>
      </c>
      <c r="AX63" s="77">
        <v>6</v>
      </c>
      <c r="AY63" s="41">
        <f t="shared" si="14"/>
        <v>274</v>
      </c>
      <c r="AZ63" s="77">
        <f t="shared" si="15"/>
        <v>12.957916666666666</v>
      </c>
      <c r="BA63" s="77"/>
    </row>
    <row r="64" spans="1:53">
      <c r="A64" s="77"/>
      <c r="B64" s="77" t="s">
        <v>48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1">
        <f t="shared" si="14"/>
        <v>0</v>
      </c>
      <c r="AZ64" s="77">
        <f t="shared" si="15"/>
        <v>0</v>
      </c>
      <c r="BA64" s="40"/>
    </row>
    <row r="65" spans="1:53">
      <c r="A65" s="43"/>
      <c r="B65" s="43" t="s">
        <v>23</v>
      </c>
      <c r="C65" s="77">
        <v>6</v>
      </c>
      <c r="D65" s="77">
        <v>6</v>
      </c>
      <c r="E65" s="77">
        <v>6</v>
      </c>
      <c r="F65" s="77">
        <v>6</v>
      </c>
      <c r="G65" s="77">
        <v>6</v>
      </c>
      <c r="H65" s="77">
        <v>5</v>
      </c>
      <c r="I65" s="77">
        <v>6</v>
      </c>
      <c r="J65" s="77">
        <v>6</v>
      </c>
      <c r="K65" s="77">
        <v>6</v>
      </c>
      <c r="L65" s="77">
        <v>6</v>
      </c>
      <c r="M65" s="77">
        <v>6</v>
      </c>
      <c r="N65" s="77">
        <v>6</v>
      </c>
      <c r="O65" s="77">
        <v>6</v>
      </c>
      <c r="P65" s="77">
        <v>6</v>
      </c>
      <c r="Q65" s="77">
        <v>6</v>
      </c>
      <c r="R65" s="77">
        <v>6</v>
      </c>
      <c r="S65" s="77">
        <v>6</v>
      </c>
      <c r="T65" s="77">
        <v>6</v>
      </c>
      <c r="U65" s="77">
        <v>6</v>
      </c>
      <c r="V65" s="77">
        <v>6</v>
      </c>
      <c r="W65" s="77">
        <v>6</v>
      </c>
      <c r="X65" s="77">
        <v>6</v>
      </c>
      <c r="Y65" s="77">
        <v>6</v>
      </c>
      <c r="Z65" s="77">
        <v>5</v>
      </c>
      <c r="AA65" s="77">
        <v>6</v>
      </c>
      <c r="AB65" s="77">
        <v>6</v>
      </c>
      <c r="AC65" s="77">
        <v>6</v>
      </c>
      <c r="AD65" s="77">
        <v>3</v>
      </c>
      <c r="AE65" s="77">
        <v>6</v>
      </c>
      <c r="AF65" s="77">
        <v>6</v>
      </c>
      <c r="AG65" s="77">
        <v>6</v>
      </c>
      <c r="AH65" s="77">
        <v>6</v>
      </c>
      <c r="AI65" s="77">
        <v>6</v>
      </c>
      <c r="AJ65" s="77">
        <v>6</v>
      </c>
      <c r="AK65" s="77">
        <v>6</v>
      </c>
      <c r="AL65" s="77">
        <v>6</v>
      </c>
      <c r="AM65" s="77">
        <v>6</v>
      </c>
      <c r="AN65" s="77">
        <v>6</v>
      </c>
      <c r="AO65" s="77">
        <v>6</v>
      </c>
      <c r="AP65" s="77">
        <v>6</v>
      </c>
      <c r="AQ65" s="77">
        <v>6</v>
      </c>
      <c r="AR65" s="77">
        <v>6</v>
      </c>
      <c r="AS65" s="77">
        <v>6</v>
      </c>
      <c r="AT65" s="77">
        <v>5</v>
      </c>
      <c r="AU65" s="77">
        <v>5</v>
      </c>
      <c r="AV65" s="77">
        <v>6</v>
      </c>
      <c r="AW65" s="77">
        <v>5</v>
      </c>
      <c r="AX65" s="77">
        <v>6</v>
      </c>
      <c r="AY65" s="41">
        <f t="shared" si="14"/>
        <v>280</v>
      </c>
      <c r="AZ65" s="77">
        <f t="shared" si="15"/>
        <v>13.241666666666665</v>
      </c>
      <c r="BA65" s="77"/>
    </row>
    <row r="66" spans="1:53">
      <c r="A66" s="43"/>
      <c r="B66" s="43" t="s">
        <v>24</v>
      </c>
      <c r="C66" s="77">
        <v>6</v>
      </c>
      <c r="D66" s="77">
        <v>6</v>
      </c>
      <c r="E66" s="77">
        <v>5</v>
      </c>
      <c r="F66" s="77">
        <v>6</v>
      </c>
      <c r="G66" s="77">
        <v>6</v>
      </c>
      <c r="H66" s="77">
        <v>6</v>
      </c>
      <c r="I66" s="77">
        <v>6</v>
      </c>
      <c r="J66" s="77">
        <v>6</v>
      </c>
      <c r="K66" s="77">
        <v>6</v>
      </c>
      <c r="L66" s="77">
        <v>6</v>
      </c>
      <c r="M66" s="77">
        <v>3</v>
      </c>
      <c r="N66" s="77">
        <v>6</v>
      </c>
      <c r="O66" s="77">
        <v>6</v>
      </c>
      <c r="P66" s="77">
        <v>6</v>
      </c>
      <c r="Q66" s="77">
        <v>6</v>
      </c>
      <c r="R66" s="77">
        <v>6</v>
      </c>
      <c r="S66" s="77">
        <v>6</v>
      </c>
      <c r="T66" s="77">
        <v>5</v>
      </c>
      <c r="U66" s="77">
        <v>6</v>
      </c>
      <c r="V66" s="77">
        <v>6</v>
      </c>
      <c r="W66" s="77">
        <v>3</v>
      </c>
      <c r="X66" s="77">
        <v>6</v>
      </c>
      <c r="Y66" s="77">
        <v>6</v>
      </c>
      <c r="Z66" s="77">
        <v>5</v>
      </c>
      <c r="AA66" s="77">
        <v>6</v>
      </c>
      <c r="AB66" s="77">
        <v>6</v>
      </c>
      <c r="AC66" s="77">
        <v>6</v>
      </c>
      <c r="AD66" s="77">
        <v>5</v>
      </c>
      <c r="AE66" s="77">
        <v>6</v>
      </c>
      <c r="AF66" s="77">
        <v>6</v>
      </c>
      <c r="AG66" s="77">
        <v>6</v>
      </c>
      <c r="AH66" s="77">
        <v>6</v>
      </c>
      <c r="AI66" s="77">
        <v>6</v>
      </c>
      <c r="AJ66" s="77">
        <v>6</v>
      </c>
      <c r="AK66" s="77">
        <v>6</v>
      </c>
      <c r="AL66" s="77">
        <v>6</v>
      </c>
      <c r="AM66" s="77">
        <v>6</v>
      </c>
      <c r="AN66" s="77">
        <v>6</v>
      </c>
      <c r="AO66" s="77">
        <v>5</v>
      </c>
      <c r="AP66" s="77">
        <v>6</v>
      </c>
      <c r="AQ66" s="77">
        <v>6</v>
      </c>
      <c r="AR66" s="77">
        <v>6</v>
      </c>
      <c r="AS66" s="77">
        <v>5</v>
      </c>
      <c r="AT66" s="77">
        <v>6</v>
      </c>
      <c r="AU66" s="77">
        <v>5</v>
      </c>
      <c r="AV66" s="77">
        <v>6</v>
      </c>
      <c r="AW66" s="77">
        <v>4</v>
      </c>
      <c r="AX66" s="77">
        <v>6</v>
      </c>
      <c r="AY66" s="41">
        <f t="shared" si="14"/>
        <v>273</v>
      </c>
      <c r="AZ66" s="77">
        <f t="shared" si="15"/>
        <v>12.910625</v>
      </c>
      <c r="BA66" s="77"/>
    </row>
    <row r="67" spans="1:53">
      <c r="A67" s="44"/>
      <c r="B67" s="44" t="s">
        <v>32</v>
      </c>
      <c r="C67" s="45">
        <f t="shared" ref="C67:AX67" si="16">2.27*(C56+C59+C62+C65)</f>
        <v>54.480000000000004</v>
      </c>
      <c r="D67" s="45">
        <f t="shared" si="16"/>
        <v>47.67</v>
      </c>
      <c r="E67" s="45">
        <f t="shared" si="16"/>
        <v>54.480000000000004</v>
      </c>
      <c r="F67" s="45">
        <f t="shared" si="16"/>
        <v>54.480000000000004</v>
      </c>
      <c r="G67" s="45">
        <f t="shared" si="16"/>
        <v>54.480000000000004</v>
      </c>
      <c r="H67" s="45">
        <f t="shared" si="16"/>
        <v>49.94</v>
      </c>
      <c r="I67" s="45">
        <f t="shared" si="16"/>
        <v>54.480000000000004</v>
      </c>
      <c r="J67" s="45">
        <f t="shared" si="16"/>
        <v>54.480000000000004</v>
      </c>
      <c r="K67" s="45">
        <f t="shared" si="16"/>
        <v>54.480000000000004</v>
      </c>
      <c r="L67" s="45">
        <f t="shared" si="16"/>
        <v>54.480000000000004</v>
      </c>
      <c r="M67" s="45">
        <f t="shared" si="16"/>
        <v>54.480000000000004</v>
      </c>
      <c r="N67" s="45">
        <f t="shared" si="16"/>
        <v>54.480000000000004</v>
      </c>
      <c r="O67" s="45">
        <f t="shared" si="16"/>
        <v>54.480000000000004</v>
      </c>
      <c r="P67" s="45">
        <f t="shared" si="16"/>
        <v>54.480000000000004</v>
      </c>
      <c r="Q67" s="45">
        <f t="shared" si="16"/>
        <v>52.21</v>
      </c>
      <c r="R67" s="45">
        <f t="shared" si="16"/>
        <v>54.480000000000004</v>
      </c>
      <c r="S67" s="45">
        <f t="shared" si="16"/>
        <v>54.480000000000004</v>
      </c>
      <c r="T67" s="45">
        <f t="shared" si="16"/>
        <v>54.480000000000004</v>
      </c>
      <c r="U67" s="45">
        <f t="shared" si="16"/>
        <v>52.21</v>
      </c>
      <c r="V67" s="45">
        <f t="shared" si="16"/>
        <v>54.480000000000004</v>
      </c>
      <c r="W67" s="45">
        <f t="shared" si="16"/>
        <v>54.480000000000004</v>
      </c>
      <c r="X67" s="45">
        <f t="shared" si="16"/>
        <v>54.480000000000004</v>
      </c>
      <c r="Y67" s="45">
        <f t="shared" si="16"/>
        <v>54.480000000000004</v>
      </c>
      <c r="Z67" s="45">
        <f t="shared" si="16"/>
        <v>47.67</v>
      </c>
      <c r="AA67" s="45">
        <f t="shared" si="16"/>
        <v>54.480000000000004</v>
      </c>
      <c r="AB67" s="45">
        <f t="shared" si="16"/>
        <v>54.480000000000004</v>
      </c>
      <c r="AC67" s="45">
        <f t="shared" si="16"/>
        <v>47.67</v>
      </c>
      <c r="AD67" s="45">
        <f t="shared" si="16"/>
        <v>34.049999999999997</v>
      </c>
      <c r="AE67" s="45">
        <f t="shared" si="16"/>
        <v>54.480000000000004</v>
      </c>
      <c r="AF67" s="45">
        <f t="shared" si="16"/>
        <v>54.480000000000004</v>
      </c>
      <c r="AG67" s="45">
        <f t="shared" si="16"/>
        <v>54.480000000000004</v>
      </c>
      <c r="AH67" s="45">
        <f t="shared" si="16"/>
        <v>54.480000000000004</v>
      </c>
      <c r="AI67" s="45">
        <f t="shared" si="16"/>
        <v>54.480000000000004</v>
      </c>
      <c r="AJ67" s="45">
        <f t="shared" si="16"/>
        <v>54.480000000000004</v>
      </c>
      <c r="AK67" s="45">
        <f t="shared" si="16"/>
        <v>54.480000000000004</v>
      </c>
      <c r="AL67" s="45">
        <f t="shared" si="16"/>
        <v>54.480000000000004</v>
      </c>
      <c r="AM67" s="45">
        <f t="shared" si="16"/>
        <v>54.480000000000004</v>
      </c>
      <c r="AN67" s="45">
        <f t="shared" si="16"/>
        <v>54.480000000000004</v>
      </c>
      <c r="AO67" s="45">
        <f t="shared" si="16"/>
        <v>54.480000000000004</v>
      </c>
      <c r="AP67" s="45">
        <f t="shared" si="16"/>
        <v>54.480000000000004</v>
      </c>
      <c r="AQ67" s="45">
        <f t="shared" si="16"/>
        <v>52.21</v>
      </c>
      <c r="AR67" s="45">
        <f t="shared" si="16"/>
        <v>54.480000000000004</v>
      </c>
      <c r="AS67" s="45">
        <f t="shared" si="16"/>
        <v>54.480000000000004</v>
      </c>
      <c r="AT67" s="45">
        <f t="shared" si="16"/>
        <v>49.94</v>
      </c>
      <c r="AU67" s="45">
        <f t="shared" si="16"/>
        <v>52.21</v>
      </c>
      <c r="AV67" s="45">
        <f t="shared" si="16"/>
        <v>54.480000000000004</v>
      </c>
      <c r="AW67" s="45">
        <f t="shared" si="16"/>
        <v>52.21</v>
      </c>
      <c r="AX67" s="45">
        <f t="shared" si="16"/>
        <v>54.480000000000004</v>
      </c>
      <c r="AY67" s="46">
        <f t="shared" ref="AY67:AY69" si="17">AVERAGE(C67:AX67)</f>
        <v>53.203125000000021</v>
      </c>
      <c r="AZ67" s="47">
        <f t="shared" ref="AZ67:AZ68" si="18">AZ56+AZ59+AZ62+AZ65</f>
        <v>53.203125</v>
      </c>
      <c r="BA67" s="45"/>
    </row>
    <row r="68" spans="1:53">
      <c r="A68" s="43"/>
      <c r="B68" s="43" t="s">
        <v>33</v>
      </c>
      <c r="C68" s="77">
        <f t="shared" ref="C68:AX68" si="19">2.27*(C57+C60+C63+C66)</f>
        <v>54.480000000000004</v>
      </c>
      <c r="D68" s="77">
        <f t="shared" si="19"/>
        <v>54.480000000000004</v>
      </c>
      <c r="E68" s="77">
        <f t="shared" si="19"/>
        <v>36.32</v>
      </c>
      <c r="F68" s="77">
        <f t="shared" si="19"/>
        <v>54.480000000000004</v>
      </c>
      <c r="G68" s="77">
        <f t="shared" si="19"/>
        <v>54.480000000000004</v>
      </c>
      <c r="H68" s="77">
        <f t="shared" si="19"/>
        <v>54.480000000000004</v>
      </c>
      <c r="I68" s="77">
        <f t="shared" si="19"/>
        <v>54.480000000000004</v>
      </c>
      <c r="J68" s="77">
        <f t="shared" si="19"/>
        <v>54.480000000000004</v>
      </c>
      <c r="K68" s="77">
        <f t="shared" si="19"/>
        <v>54.480000000000004</v>
      </c>
      <c r="L68" s="77">
        <f t="shared" si="19"/>
        <v>54.480000000000004</v>
      </c>
      <c r="M68" s="77">
        <f t="shared" si="19"/>
        <v>24.97</v>
      </c>
      <c r="N68" s="77">
        <f t="shared" si="19"/>
        <v>54.480000000000004</v>
      </c>
      <c r="O68" s="77">
        <f t="shared" si="19"/>
        <v>54.480000000000004</v>
      </c>
      <c r="P68" s="77">
        <f t="shared" si="19"/>
        <v>54.480000000000004</v>
      </c>
      <c r="Q68" s="77">
        <f t="shared" si="19"/>
        <v>49.94</v>
      </c>
      <c r="R68" s="77">
        <f t="shared" si="19"/>
        <v>54.480000000000004</v>
      </c>
      <c r="S68" s="77">
        <f t="shared" si="19"/>
        <v>54.480000000000004</v>
      </c>
      <c r="T68" s="77">
        <f t="shared" si="19"/>
        <v>38.590000000000003</v>
      </c>
      <c r="U68" s="77">
        <f t="shared" si="19"/>
        <v>54.480000000000004</v>
      </c>
      <c r="V68" s="77">
        <f t="shared" si="19"/>
        <v>54.480000000000004</v>
      </c>
      <c r="W68" s="77">
        <f t="shared" si="19"/>
        <v>43.13</v>
      </c>
      <c r="X68" s="77">
        <f t="shared" si="19"/>
        <v>54.480000000000004</v>
      </c>
      <c r="Y68" s="77">
        <f t="shared" si="19"/>
        <v>54.480000000000004</v>
      </c>
      <c r="Z68" s="77">
        <f t="shared" si="19"/>
        <v>52.21</v>
      </c>
      <c r="AA68" s="77">
        <f t="shared" si="19"/>
        <v>54.480000000000004</v>
      </c>
      <c r="AB68" s="77">
        <f t="shared" si="19"/>
        <v>54.480000000000004</v>
      </c>
      <c r="AC68" s="77">
        <f t="shared" si="19"/>
        <v>38.590000000000003</v>
      </c>
      <c r="AD68" s="77">
        <f t="shared" si="19"/>
        <v>49.94</v>
      </c>
      <c r="AE68" s="77">
        <f t="shared" si="19"/>
        <v>49.94</v>
      </c>
      <c r="AF68" s="77">
        <f t="shared" si="19"/>
        <v>54.480000000000004</v>
      </c>
      <c r="AG68" s="77">
        <f t="shared" si="19"/>
        <v>54.480000000000004</v>
      </c>
      <c r="AH68" s="77">
        <f t="shared" si="19"/>
        <v>54.480000000000004</v>
      </c>
      <c r="AI68" s="77">
        <f t="shared" si="19"/>
        <v>38.590000000000003</v>
      </c>
      <c r="AJ68" s="77">
        <f t="shared" si="19"/>
        <v>54.480000000000004</v>
      </c>
      <c r="AK68" s="77">
        <f t="shared" si="19"/>
        <v>54.480000000000004</v>
      </c>
      <c r="AL68" s="77">
        <f t="shared" si="19"/>
        <v>54.480000000000004</v>
      </c>
      <c r="AM68" s="77">
        <f t="shared" si="19"/>
        <v>54.480000000000004</v>
      </c>
      <c r="AN68" s="77">
        <f t="shared" si="19"/>
        <v>54.480000000000004</v>
      </c>
      <c r="AO68" s="77">
        <f t="shared" si="19"/>
        <v>45.4</v>
      </c>
      <c r="AP68" s="77">
        <f t="shared" si="19"/>
        <v>54.480000000000004</v>
      </c>
      <c r="AQ68" s="77">
        <f t="shared" si="19"/>
        <v>54.480000000000004</v>
      </c>
      <c r="AR68" s="77">
        <f t="shared" si="19"/>
        <v>54.480000000000004</v>
      </c>
      <c r="AS68" s="77">
        <f t="shared" si="19"/>
        <v>45.4</v>
      </c>
      <c r="AT68" s="77">
        <f t="shared" si="19"/>
        <v>49.94</v>
      </c>
      <c r="AU68" s="77">
        <f t="shared" si="19"/>
        <v>49.94</v>
      </c>
      <c r="AV68" s="77">
        <f t="shared" si="19"/>
        <v>54.480000000000004</v>
      </c>
      <c r="AW68" s="77">
        <f t="shared" si="19"/>
        <v>43.13</v>
      </c>
      <c r="AX68" s="77">
        <f t="shared" si="19"/>
        <v>54.480000000000004</v>
      </c>
      <c r="AY68" s="41">
        <f t="shared" si="17"/>
        <v>51.122291666666683</v>
      </c>
      <c r="AZ68" s="48">
        <f t="shared" si="18"/>
        <v>51.122291666666669</v>
      </c>
      <c r="BA68" s="77"/>
    </row>
    <row r="69" spans="1:53">
      <c r="A69" s="49"/>
      <c r="B69" s="49" t="s">
        <v>34</v>
      </c>
      <c r="C69" s="50">
        <f t="shared" ref="C69:AX69" si="20">C67-C68</f>
        <v>0</v>
      </c>
      <c r="D69" s="50">
        <f t="shared" si="20"/>
        <v>-6.8100000000000023</v>
      </c>
      <c r="E69" s="50">
        <f t="shared" si="20"/>
        <v>18.160000000000004</v>
      </c>
      <c r="F69" s="50">
        <f t="shared" si="20"/>
        <v>0</v>
      </c>
      <c r="G69" s="50">
        <f t="shared" si="20"/>
        <v>0</v>
      </c>
      <c r="H69" s="50">
        <f t="shared" si="20"/>
        <v>-4.5400000000000063</v>
      </c>
      <c r="I69" s="50">
        <f t="shared" si="20"/>
        <v>0</v>
      </c>
      <c r="J69" s="50">
        <f t="shared" si="20"/>
        <v>0</v>
      </c>
      <c r="K69" s="50">
        <f t="shared" si="20"/>
        <v>0</v>
      </c>
      <c r="L69" s="50">
        <f t="shared" si="20"/>
        <v>0</v>
      </c>
      <c r="M69" s="50">
        <f t="shared" si="20"/>
        <v>29.510000000000005</v>
      </c>
      <c r="N69" s="50">
        <f t="shared" si="20"/>
        <v>0</v>
      </c>
      <c r="O69" s="50">
        <f t="shared" si="20"/>
        <v>0</v>
      </c>
      <c r="P69" s="50">
        <f t="shared" si="20"/>
        <v>0</v>
      </c>
      <c r="Q69" s="50">
        <f t="shared" si="20"/>
        <v>2.2700000000000031</v>
      </c>
      <c r="R69" s="50">
        <f t="shared" si="20"/>
        <v>0</v>
      </c>
      <c r="S69" s="50">
        <f t="shared" si="20"/>
        <v>0</v>
      </c>
      <c r="T69" s="50">
        <f t="shared" si="20"/>
        <v>15.89</v>
      </c>
      <c r="U69" s="50">
        <f t="shared" si="20"/>
        <v>-2.2700000000000031</v>
      </c>
      <c r="V69" s="50">
        <f t="shared" si="20"/>
        <v>0</v>
      </c>
      <c r="W69" s="50">
        <f t="shared" si="20"/>
        <v>11.350000000000001</v>
      </c>
      <c r="X69" s="50">
        <f t="shared" si="20"/>
        <v>0</v>
      </c>
      <c r="Y69" s="50">
        <f t="shared" si="20"/>
        <v>0</v>
      </c>
      <c r="Z69" s="50">
        <f t="shared" si="20"/>
        <v>-4.5399999999999991</v>
      </c>
      <c r="AA69" s="50">
        <f t="shared" si="20"/>
        <v>0</v>
      </c>
      <c r="AB69" s="50">
        <f t="shared" si="20"/>
        <v>0</v>
      </c>
      <c r="AC69" s="50">
        <f t="shared" si="20"/>
        <v>9.0799999999999983</v>
      </c>
      <c r="AD69" s="50">
        <f t="shared" si="20"/>
        <v>-15.89</v>
      </c>
      <c r="AE69" s="50">
        <f t="shared" si="20"/>
        <v>4.5400000000000063</v>
      </c>
      <c r="AF69" s="50">
        <f t="shared" si="20"/>
        <v>0</v>
      </c>
      <c r="AG69" s="50">
        <f t="shared" si="20"/>
        <v>0</v>
      </c>
      <c r="AH69" s="50">
        <f t="shared" si="20"/>
        <v>0</v>
      </c>
      <c r="AI69" s="50">
        <f t="shared" si="20"/>
        <v>15.89</v>
      </c>
      <c r="AJ69" s="50">
        <f t="shared" si="20"/>
        <v>0</v>
      </c>
      <c r="AK69" s="50">
        <f t="shared" si="20"/>
        <v>0</v>
      </c>
      <c r="AL69" s="50">
        <f t="shared" si="20"/>
        <v>0</v>
      </c>
      <c r="AM69" s="50">
        <f t="shared" si="20"/>
        <v>0</v>
      </c>
      <c r="AN69" s="50">
        <f t="shared" si="20"/>
        <v>0</v>
      </c>
      <c r="AO69" s="50">
        <f t="shared" si="20"/>
        <v>9.0800000000000054</v>
      </c>
      <c r="AP69" s="50">
        <f t="shared" si="20"/>
        <v>0</v>
      </c>
      <c r="AQ69" s="50">
        <f t="shared" si="20"/>
        <v>-2.2700000000000031</v>
      </c>
      <c r="AR69" s="50">
        <f t="shared" si="20"/>
        <v>0</v>
      </c>
      <c r="AS69" s="50">
        <f t="shared" si="20"/>
        <v>9.0800000000000054</v>
      </c>
      <c r="AT69" s="50">
        <f t="shared" si="20"/>
        <v>0</v>
      </c>
      <c r="AU69" s="50">
        <f t="shared" si="20"/>
        <v>2.2700000000000031</v>
      </c>
      <c r="AV69" s="50">
        <f t="shared" si="20"/>
        <v>0</v>
      </c>
      <c r="AW69" s="50">
        <f t="shared" si="20"/>
        <v>9.0799999999999983</v>
      </c>
      <c r="AX69" s="50">
        <f t="shared" si="20"/>
        <v>0</v>
      </c>
      <c r="AY69" s="51">
        <f t="shared" si="17"/>
        <v>2.0808333333333335</v>
      </c>
      <c r="AZ69" s="52">
        <f>AZ67-AZ68</f>
        <v>2.0808333333333309</v>
      </c>
      <c r="BA69" s="50"/>
    </row>
    <row r="70" spans="1:53">
      <c r="A70" s="53" t="s">
        <v>43</v>
      </c>
      <c r="B70" s="93" t="s">
        <v>49</v>
      </c>
      <c r="C70" s="54"/>
      <c r="D70" s="54"/>
      <c r="E70" s="54"/>
      <c r="F70" s="54"/>
      <c r="G70" s="54"/>
      <c r="H70" s="54"/>
      <c r="I70" s="54"/>
      <c r="J70" s="54"/>
      <c r="K70" s="55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6"/>
      <c r="AZ70" s="54"/>
      <c r="BA70" s="54"/>
    </row>
    <row r="71" spans="1:53">
      <c r="A71" s="55"/>
      <c r="B71" s="55" t="s">
        <v>50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6"/>
      <c r="AZ71" s="54"/>
      <c r="BA71" s="54"/>
    </row>
    <row r="72" spans="1:53">
      <c r="A72" s="57"/>
      <c r="B72" s="57" t="s">
        <v>23</v>
      </c>
      <c r="C72" s="55">
        <v>6</v>
      </c>
      <c r="D72" s="55">
        <v>6</v>
      </c>
      <c r="E72" s="55">
        <v>6</v>
      </c>
      <c r="F72" s="55">
        <v>6</v>
      </c>
      <c r="G72" s="55">
        <v>6</v>
      </c>
      <c r="H72" s="55">
        <v>6</v>
      </c>
      <c r="I72" s="55">
        <v>6</v>
      </c>
      <c r="J72" s="55">
        <v>6</v>
      </c>
      <c r="K72" s="55">
        <v>6</v>
      </c>
      <c r="L72" s="55">
        <v>6</v>
      </c>
      <c r="M72" s="55">
        <v>6</v>
      </c>
      <c r="N72" s="55">
        <v>6</v>
      </c>
      <c r="O72" s="55">
        <v>6</v>
      </c>
      <c r="P72" s="55">
        <v>6</v>
      </c>
      <c r="Q72" s="55">
        <v>6</v>
      </c>
      <c r="R72" s="55">
        <v>6</v>
      </c>
      <c r="S72" s="55">
        <v>6</v>
      </c>
      <c r="T72" s="55">
        <v>6</v>
      </c>
      <c r="U72" s="55">
        <v>6</v>
      </c>
      <c r="V72" s="55">
        <v>6</v>
      </c>
      <c r="W72" s="55">
        <v>6</v>
      </c>
      <c r="X72" s="55">
        <v>6</v>
      </c>
      <c r="Y72" s="55">
        <v>6</v>
      </c>
      <c r="Z72" s="55">
        <v>6</v>
      </c>
      <c r="AA72" s="55">
        <v>6</v>
      </c>
      <c r="AB72" s="55">
        <v>6</v>
      </c>
      <c r="AC72" s="55">
        <v>3</v>
      </c>
      <c r="AD72" s="55">
        <v>6</v>
      </c>
      <c r="AE72" s="55">
        <v>6</v>
      </c>
      <c r="AF72" s="55">
        <v>6</v>
      </c>
      <c r="AG72" s="55">
        <v>6</v>
      </c>
      <c r="AH72" s="55">
        <v>6</v>
      </c>
      <c r="AI72" s="55">
        <v>6</v>
      </c>
      <c r="AJ72" s="55">
        <v>6</v>
      </c>
      <c r="AK72" s="55">
        <v>6</v>
      </c>
      <c r="AL72" s="55">
        <v>6</v>
      </c>
      <c r="AM72" s="55">
        <v>6</v>
      </c>
      <c r="AN72" s="55">
        <v>6</v>
      </c>
      <c r="AO72" s="55">
        <v>6</v>
      </c>
      <c r="AP72" s="55">
        <v>6</v>
      </c>
      <c r="AQ72" s="55">
        <v>6</v>
      </c>
      <c r="AR72" s="55">
        <v>6</v>
      </c>
      <c r="AS72" s="55">
        <v>6</v>
      </c>
      <c r="AT72" s="55">
        <v>6</v>
      </c>
      <c r="AU72" s="55">
        <v>5</v>
      </c>
      <c r="AV72" s="55">
        <v>6</v>
      </c>
      <c r="AW72" s="55">
        <v>6</v>
      </c>
      <c r="AX72" s="55">
        <v>6</v>
      </c>
      <c r="AY72" s="56">
        <f t="shared" ref="AY72:AY82" si="21">SUM(C72:AX72)</f>
        <v>284</v>
      </c>
      <c r="AZ72" s="55">
        <f t="shared" ref="AZ72:AZ82" si="22">2.27*(AY72/COLUMNS(C72:AX72))</f>
        <v>13.430833333333334</v>
      </c>
      <c r="BA72" s="55"/>
    </row>
    <row r="73" spans="1:53">
      <c r="A73" s="57"/>
      <c r="B73" s="57" t="s">
        <v>24</v>
      </c>
      <c r="C73" s="55">
        <v>0</v>
      </c>
      <c r="D73" s="55">
        <v>6</v>
      </c>
      <c r="E73" s="55">
        <v>3</v>
      </c>
      <c r="F73" s="55">
        <v>5</v>
      </c>
      <c r="G73" s="55">
        <v>6</v>
      </c>
      <c r="H73" s="55">
        <v>6</v>
      </c>
      <c r="I73" s="55">
        <v>6</v>
      </c>
      <c r="J73" s="55">
        <v>6</v>
      </c>
      <c r="K73" s="55">
        <v>6</v>
      </c>
      <c r="L73" s="55">
        <v>6</v>
      </c>
      <c r="M73" s="55">
        <v>0</v>
      </c>
      <c r="N73" s="55">
        <v>6</v>
      </c>
      <c r="O73" s="55">
        <v>0</v>
      </c>
      <c r="P73" s="55">
        <v>3</v>
      </c>
      <c r="Q73" s="55">
        <v>5</v>
      </c>
      <c r="R73" s="55">
        <v>0</v>
      </c>
      <c r="S73" s="55">
        <v>6</v>
      </c>
      <c r="T73" s="55">
        <v>3</v>
      </c>
      <c r="U73" s="55">
        <v>6</v>
      </c>
      <c r="V73" s="55">
        <v>6</v>
      </c>
      <c r="W73" s="55">
        <v>3</v>
      </c>
      <c r="X73" s="55">
        <v>5</v>
      </c>
      <c r="Y73" s="55">
        <v>6</v>
      </c>
      <c r="Z73" s="55">
        <v>6</v>
      </c>
      <c r="AA73" s="55">
        <v>6</v>
      </c>
      <c r="AB73" s="55">
        <v>3</v>
      </c>
      <c r="AC73" s="55">
        <v>3</v>
      </c>
      <c r="AD73" s="55">
        <v>6</v>
      </c>
      <c r="AE73" s="55">
        <v>5</v>
      </c>
      <c r="AF73" s="55">
        <v>6</v>
      </c>
      <c r="AG73" s="55">
        <v>6</v>
      </c>
      <c r="AH73" s="55">
        <v>6</v>
      </c>
      <c r="AI73" s="55">
        <v>6</v>
      </c>
      <c r="AJ73" s="55">
        <v>6</v>
      </c>
      <c r="AK73" s="55">
        <v>6</v>
      </c>
      <c r="AL73" s="55">
        <v>6</v>
      </c>
      <c r="AM73" s="55">
        <v>5</v>
      </c>
      <c r="AN73" s="55">
        <v>5</v>
      </c>
      <c r="AO73" s="55">
        <v>5</v>
      </c>
      <c r="AP73" s="55">
        <v>4</v>
      </c>
      <c r="AQ73" s="55">
        <v>6</v>
      </c>
      <c r="AR73" s="55">
        <v>6</v>
      </c>
      <c r="AS73" s="55">
        <v>5</v>
      </c>
      <c r="AT73" s="55">
        <v>5</v>
      </c>
      <c r="AU73" s="55">
        <v>5</v>
      </c>
      <c r="AV73" s="55">
        <v>6</v>
      </c>
      <c r="AW73" s="55">
        <v>5</v>
      </c>
      <c r="AX73" s="55">
        <v>6</v>
      </c>
      <c r="AY73" s="56">
        <f t="shared" si="21"/>
        <v>233</v>
      </c>
      <c r="AZ73" s="55">
        <f t="shared" si="22"/>
        <v>11.018958333333334</v>
      </c>
      <c r="BA73" s="55"/>
    </row>
    <row r="74" spans="1:53">
      <c r="A74" s="55"/>
      <c r="B74" s="55" t="s">
        <v>51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6">
        <f t="shared" si="21"/>
        <v>0</v>
      </c>
      <c r="AZ74" s="55">
        <f t="shared" si="22"/>
        <v>0</v>
      </c>
      <c r="BA74" s="54"/>
    </row>
    <row r="75" spans="1:53">
      <c r="A75" s="57"/>
      <c r="B75" s="57" t="s">
        <v>52</v>
      </c>
      <c r="C75" s="55">
        <v>6</v>
      </c>
      <c r="D75" s="55">
        <v>6</v>
      </c>
      <c r="E75" s="55">
        <v>6</v>
      </c>
      <c r="F75" s="55">
        <v>6</v>
      </c>
      <c r="G75" s="55">
        <v>6</v>
      </c>
      <c r="H75" s="55">
        <v>6</v>
      </c>
      <c r="I75" s="55">
        <v>6</v>
      </c>
      <c r="J75" s="55">
        <v>6</v>
      </c>
      <c r="K75" s="55">
        <v>6</v>
      </c>
      <c r="L75" s="55">
        <v>6</v>
      </c>
      <c r="M75" s="55">
        <v>6</v>
      </c>
      <c r="N75" s="55">
        <v>6</v>
      </c>
      <c r="O75" s="55">
        <v>6</v>
      </c>
      <c r="P75" s="55">
        <v>6</v>
      </c>
      <c r="Q75" s="55">
        <v>6</v>
      </c>
      <c r="R75" s="55">
        <v>6</v>
      </c>
      <c r="S75" s="55">
        <v>6</v>
      </c>
      <c r="T75" s="55">
        <v>6</v>
      </c>
      <c r="U75" s="55">
        <v>6</v>
      </c>
      <c r="V75" s="55">
        <v>6</v>
      </c>
      <c r="W75" s="55">
        <v>6</v>
      </c>
      <c r="X75" s="55">
        <v>6</v>
      </c>
      <c r="Y75" s="55">
        <v>6</v>
      </c>
      <c r="Z75" s="55">
        <v>6</v>
      </c>
      <c r="AA75" s="55">
        <v>6</v>
      </c>
      <c r="AB75" s="55">
        <v>6</v>
      </c>
      <c r="AC75" s="55">
        <v>6</v>
      </c>
      <c r="AD75" s="55">
        <v>6</v>
      </c>
      <c r="AE75" s="55">
        <v>6</v>
      </c>
      <c r="AF75" s="55">
        <v>6</v>
      </c>
      <c r="AG75" s="55">
        <v>6</v>
      </c>
      <c r="AH75" s="55">
        <v>6</v>
      </c>
      <c r="AI75" s="55">
        <v>6</v>
      </c>
      <c r="AJ75" s="55">
        <v>6</v>
      </c>
      <c r="AK75" s="55">
        <v>6</v>
      </c>
      <c r="AL75" s="55">
        <v>6</v>
      </c>
      <c r="AM75" s="55">
        <v>6</v>
      </c>
      <c r="AN75" s="55">
        <v>6</v>
      </c>
      <c r="AO75" s="55">
        <v>6</v>
      </c>
      <c r="AP75" s="55">
        <v>6</v>
      </c>
      <c r="AQ75" s="55">
        <v>6</v>
      </c>
      <c r="AR75" s="55">
        <v>6</v>
      </c>
      <c r="AS75" s="55">
        <v>6</v>
      </c>
      <c r="AT75" s="55">
        <v>6</v>
      </c>
      <c r="AU75" s="55">
        <v>6</v>
      </c>
      <c r="AV75" s="55">
        <v>6</v>
      </c>
      <c r="AW75" s="55">
        <v>6</v>
      </c>
      <c r="AX75" s="55">
        <v>6</v>
      </c>
      <c r="AY75" s="56">
        <f t="shared" si="21"/>
        <v>288</v>
      </c>
      <c r="AZ75" s="55">
        <f t="shared" si="22"/>
        <v>13.620000000000001</v>
      </c>
      <c r="BA75" s="55"/>
    </row>
    <row r="76" spans="1:53">
      <c r="A76" s="57"/>
      <c r="B76" s="57" t="s">
        <v>53</v>
      </c>
      <c r="C76" s="55">
        <v>0</v>
      </c>
      <c r="D76" s="55">
        <v>6</v>
      </c>
      <c r="E76" s="55"/>
      <c r="F76" s="55">
        <v>3</v>
      </c>
      <c r="G76" s="55">
        <v>0</v>
      </c>
      <c r="H76" s="55">
        <v>3</v>
      </c>
      <c r="I76" s="55">
        <v>6</v>
      </c>
      <c r="J76" s="55">
        <v>0</v>
      </c>
      <c r="K76" s="55">
        <v>3</v>
      </c>
      <c r="L76" s="55">
        <v>1</v>
      </c>
      <c r="M76" s="55">
        <v>0</v>
      </c>
      <c r="N76" s="55">
        <v>6</v>
      </c>
      <c r="O76" s="55">
        <v>0</v>
      </c>
      <c r="P76" s="55">
        <v>0</v>
      </c>
      <c r="Q76" s="55">
        <v>3</v>
      </c>
      <c r="R76" s="55">
        <v>4</v>
      </c>
      <c r="S76" s="55">
        <v>2</v>
      </c>
      <c r="T76" s="55"/>
      <c r="U76" s="55">
        <v>6</v>
      </c>
      <c r="V76" s="55">
        <v>6</v>
      </c>
      <c r="W76" s="55">
        <v>3</v>
      </c>
      <c r="X76" s="55">
        <v>5</v>
      </c>
      <c r="Y76" s="55">
        <v>0</v>
      </c>
      <c r="Z76" s="55">
        <v>4</v>
      </c>
      <c r="AA76" s="55">
        <v>6</v>
      </c>
      <c r="AB76" s="55">
        <v>0</v>
      </c>
      <c r="AC76" s="55">
        <v>3</v>
      </c>
      <c r="AD76" s="55">
        <v>4</v>
      </c>
      <c r="AE76" s="55">
        <v>2</v>
      </c>
      <c r="AF76" s="55">
        <v>6</v>
      </c>
      <c r="AG76" s="55">
        <v>3</v>
      </c>
      <c r="AH76" s="55">
        <v>6</v>
      </c>
      <c r="AI76" s="55">
        <v>5</v>
      </c>
      <c r="AJ76" s="55">
        <v>6</v>
      </c>
      <c r="AK76" s="55">
        <v>0</v>
      </c>
      <c r="AL76" s="55">
        <v>6</v>
      </c>
      <c r="AM76" s="55"/>
      <c r="AN76" s="55">
        <v>0</v>
      </c>
      <c r="AO76" s="55">
        <v>5</v>
      </c>
      <c r="AP76" s="55">
        <v>0</v>
      </c>
      <c r="AQ76" s="55">
        <v>4</v>
      </c>
      <c r="AR76" s="55">
        <v>6</v>
      </c>
      <c r="AS76" s="55">
        <v>5</v>
      </c>
      <c r="AT76" s="55">
        <v>6</v>
      </c>
      <c r="AU76" s="55">
        <v>6</v>
      </c>
      <c r="AV76" s="55">
        <v>6</v>
      </c>
      <c r="AW76" s="55">
        <v>4.5</v>
      </c>
      <c r="AX76" s="55">
        <v>6</v>
      </c>
      <c r="AY76" s="56">
        <f t="shared" si="21"/>
        <v>156.5</v>
      </c>
      <c r="AZ76" s="55">
        <f t="shared" si="22"/>
        <v>7.4011458333333326</v>
      </c>
      <c r="BA76" s="55"/>
    </row>
    <row r="77" spans="1:53">
      <c r="A77" s="55"/>
      <c r="B77" s="55" t="s">
        <v>54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5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6">
        <f t="shared" si="21"/>
        <v>0</v>
      </c>
      <c r="AZ77" s="55">
        <f t="shared" si="22"/>
        <v>0</v>
      </c>
      <c r="BA77" s="54"/>
    </row>
    <row r="78" spans="1:53">
      <c r="A78" s="57"/>
      <c r="B78" s="57" t="s">
        <v>55</v>
      </c>
      <c r="C78" s="55">
        <v>6</v>
      </c>
      <c r="D78" s="55">
        <v>6</v>
      </c>
      <c r="E78" s="55">
        <v>6</v>
      </c>
      <c r="F78" s="55">
        <v>6</v>
      </c>
      <c r="G78" s="55">
        <v>6</v>
      </c>
      <c r="H78" s="55">
        <v>6</v>
      </c>
      <c r="I78" s="55">
        <v>6</v>
      </c>
      <c r="J78" s="55">
        <v>6</v>
      </c>
      <c r="K78" s="55">
        <v>6</v>
      </c>
      <c r="L78" s="55">
        <v>6</v>
      </c>
      <c r="M78" s="55">
        <v>6</v>
      </c>
      <c r="N78" s="55">
        <v>6</v>
      </c>
      <c r="O78" s="55">
        <v>6</v>
      </c>
      <c r="P78" s="55">
        <v>6</v>
      </c>
      <c r="Q78" s="55">
        <v>6</v>
      </c>
      <c r="R78" s="55">
        <v>6</v>
      </c>
      <c r="S78" s="55">
        <v>6</v>
      </c>
      <c r="T78" s="55">
        <v>6</v>
      </c>
      <c r="U78" s="55">
        <v>6</v>
      </c>
      <c r="V78" s="55">
        <v>6</v>
      </c>
      <c r="W78" s="55">
        <v>6</v>
      </c>
      <c r="X78" s="55">
        <v>6</v>
      </c>
      <c r="Y78" s="55">
        <v>6</v>
      </c>
      <c r="Z78" s="55">
        <v>6</v>
      </c>
      <c r="AA78" s="55">
        <v>6</v>
      </c>
      <c r="AB78" s="55">
        <v>6</v>
      </c>
      <c r="AC78" s="55">
        <v>6</v>
      </c>
      <c r="AD78" s="55">
        <v>4</v>
      </c>
      <c r="AE78" s="55">
        <v>6</v>
      </c>
      <c r="AF78" s="55">
        <v>6</v>
      </c>
      <c r="AG78" s="55">
        <v>6</v>
      </c>
      <c r="AH78" s="55">
        <v>6</v>
      </c>
      <c r="AI78" s="55">
        <v>6</v>
      </c>
      <c r="AJ78" s="55">
        <v>6</v>
      </c>
      <c r="AK78" s="55">
        <v>6</v>
      </c>
      <c r="AL78" s="55">
        <v>6</v>
      </c>
      <c r="AM78" s="55">
        <v>6</v>
      </c>
      <c r="AN78" s="55">
        <v>6</v>
      </c>
      <c r="AO78" s="55">
        <v>6</v>
      </c>
      <c r="AP78" s="55">
        <v>6</v>
      </c>
      <c r="AQ78" s="55">
        <v>6</v>
      </c>
      <c r="AR78" s="55">
        <v>6</v>
      </c>
      <c r="AS78" s="55">
        <v>6</v>
      </c>
      <c r="AT78" s="55">
        <v>6</v>
      </c>
      <c r="AU78" s="55">
        <v>6</v>
      </c>
      <c r="AV78" s="55">
        <v>6</v>
      </c>
      <c r="AW78" s="55">
        <v>6</v>
      </c>
      <c r="AX78" s="55">
        <v>6</v>
      </c>
      <c r="AY78" s="56">
        <f t="shared" si="21"/>
        <v>286</v>
      </c>
      <c r="AZ78" s="55">
        <f t="shared" si="22"/>
        <v>13.525416666666667</v>
      </c>
      <c r="BA78" s="55"/>
    </row>
    <row r="79" spans="1:53">
      <c r="A79" s="57"/>
      <c r="B79" s="57" t="s">
        <v>56</v>
      </c>
      <c r="C79" s="55">
        <v>0</v>
      </c>
      <c r="D79" s="55">
        <v>6</v>
      </c>
      <c r="E79" s="55">
        <v>0</v>
      </c>
      <c r="F79" s="55">
        <v>2</v>
      </c>
      <c r="G79" s="55">
        <v>0</v>
      </c>
      <c r="H79" s="55">
        <v>6</v>
      </c>
      <c r="I79" s="55">
        <v>4</v>
      </c>
      <c r="J79" s="55">
        <v>0</v>
      </c>
      <c r="K79" s="55">
        <v>6</v>
      </c>
      <c r="L79" s="55">
        <v>3</v>
      </c>
      <c r="M79" s="55">
        <v>0</v>
      </c>
      <c r="N79" s="55">
        <v>4</v>
      </c>
      <c r="O79" s="55">
        <v>0</v>
      </c>
      <c r="P79" s="55">
        <v>0</v>
      </c>
      <c r="Q79" s="55">
        <v>6</v>
      </c>
      <c r="R79" s="55">
        <v>5</v>
      </c>
      <c r="S79" s="55">
        <v>6</v>
      </c>
      <c r="T79" s="55">
        <v>0</v>
      </c>
      <c r="U79" s="55">
        <v>6</v>
      </c>
      <c r="V79" s="55">
        <v>6</v>
      </c>
      <c r="W79" s="55">
        <v>4</v>
      </c>
      <c r="X79" s="55">
        <v>5</v>
      </c>
      <c r="Y79" s="55">
        <v>0</v>
      </c>
      <c r="Z79" s="55">
        <v>5</v>
      </c>
      <c r="AA79" s="55">
        <v>6</v>
      </c>
      <c r="AB79" s="55">
        <v>6</v>
      </c>
      <c r="AC79" s="55">
        <v>2</v>
      </c>
      <c r="AD79" s="55">
        <v>6</v>
      </c>
      <c r="AE79" s="55">
        <v>3</v>
      </c>
      <c r="AF79" s="55">
        <v>6</v>
      </c>
      <c r="AG79" s="55">
        <v>6</v>
      </c>
      <c r="AH79" s="55">
        <v>5</v>
      </c>
      <c r="AI79" s="55">
        <v>5</v>
      </c>
      <c r="AJ79" s="55">
        <v>4</v>
      </c>
      <c r="AK79" s="55"/>
      <c r="AL79" s="55">
        <v>3</v>
      </c>
      <c r="AM79" s="55"/>
      <c r="AN79" s="55">
        <v>5</v>
      </c>
      <c r="AO79" s="55">
        <v>5</v>
      </c>
      <c r="AP79" s="55">
        <v>4</v>
      </c>
      <c r="AQ79" s="55">
        <v>3</v>
      </c>
      <c r="AR79" s="55">
        <v>6</v>
      </c>
      <c r="AS79" s="55">
        <v>5</v>
      </c>
      <c r="AT79" s="55">
        <v>6</v>
      </c>
      <c r="AU79" s="55">
        <v>6</v>
      </c>
      <c r="AV79" s="55">
        <v>6</v>
      </c>
      <c r="AW79" s="55">
        <v>5</v>
      </c>
      <c r="AX79" s="55">
        <v>6</v>
      </c>
      <c r="AY79" s="56">
        <f t="shared" si="21"/>
        <v>183</v>
      </c>
      <c r="AZ79" s="55">
        <f t="shared" si="22"/>
        <v>8.6543749999999999</v>
      </c>
      <c r="BA79" s="55"/>
    </row>
    <row r="80" spans="1:53">
      <c r="A80" s="55"/>
      <c r="B80" s="55" t="s">
        <v>57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6">
        <f t="shared" si="21"/>
        <v>0</v>
      </c>
      <c r="AZ80" s="55">
        <f t="shared" si="22"/>
        <v>0</v>
      </c>
      <c r="BA80" s="54"/>
    </row>
    <row r="81" spans="1:53">
      <c r="A81" s="57"/>
      <c r="B81" s="57" t="s">
        <v>55</v>
      </c>
      <c r="C81" s="55">
        <v>6</v>
      </c>
      <c r="D81" s="55">
        <v>6</v>
      </c>
      <c r="E81" s="55"/>
      <c r="F81" s="55">
        <v>6</v>
      </c>
      <c r="G81" s="55">
        <v>6</v>
      </c>
      <c r="H81" s="55">
        <v>6</v>
      </c>
      <c r="I81" s="55">
        <v>6</v>
      </c>
      <c r="J81" s="55">
        <v>6</v>
      </c>
      <c r="K81" s="55">
        <v>6</v>
      </c>
      <c r="L81" s="55">
        <v>6</v>
      </c>
      <c r="M81" s="55">
        <v>6</v>
      </c>
      <c r="N81" s="55">
        <v>6</v>
      </c>
      <c r="O81" s="55">
        <v>6</v>
      </c>
      <c r="P81" s="55">
        <v>6</v>
      </c>
      <c r="Q81" s="55">
        <v>3</v>
      </c>
      <c r="R81" s="55">
        <v>6</v>
      </c>
      <c r="S81" s="55">
        <v>6</v>
      </c>
      <c r="T81" s="55"/>
      <c r="U81" s="55">
        <v>6</v>
      </c>
      <c r="V81" s="55">
        <v>6</v>
      </c>
      <c r="W81" s="55">
        <v>6</v>
      </c>
      <c r="X81" s="55">
        <v>6</v>
      </c>
      <c r="Y81" s="55">
        <v>6</v>
      </c>
      <c r="Z81" s="55">
        <v>6</v>
      </c>
      <c r="AA81" s="55">
        <v>6</v>
      </c>
      <c r="AB81" s="55">
        <v>6</v>
      </c>
      <c r="AC81" s="55">
        <v>6</v>
      </c>
      <c r="AD81" s="55">
        <v>6</v>
      </c>
      <c r="AE81" s="55">
        <v>6</v>
      </c>
      <c r="AF81" s="55">
        <v>6</v>
      </c>
      <c r="AG81" s="55">
        <v>6</v>
      </c>
      <c r="AH81" s="55">
        <v>6</v>
      </c>
      <c r="AI81" s="55">
        <v>6</v>
      </c>
      <c r="AJ81" s="55">
        <v>6</v>
      </c>
      <c r="AK81" s="55">
        <v>6</v>
      </c>
      <c r="AL81" s="55">
        <v>6</v>
      </c>
      <c r="AM81" s="55">
        <v>6</v>
      </c>
      <c r="AN81" s="55">
        <v>6</v>
      </c>
      <c r="AO81" s="55">
        <v>6</v>
      </c>
      <c r="AP81" s="55">
        <v>6</v>
      </c>
      <c r="AQ81" s="55">
        <v>6</v>
      </c>
      <c r="AR81" s="55">
        <v>6</v>
      </c>
      <c r="AS81" s="55">
        <v>6</v>
      </c>
      <c r="AT81" s="55">
        <v>6</v>
      </c>
      <c r="AU81" s="55">
        <v>6</v>
      </c>
      <c r="AV81" s="55">
        <v>6</v>
      </c>
      <c r="AW81" s="55">
        <v>6</v>
      </c>
      <c r="AX81" s="55">
        <v>3</v>
      </c>
      <c r="AY81" s="56">
        <f t="shared" si="21"/>
        <v>270</v>
      </c>
      <c r="AZ81" s="55">
        <f t="shared" si="22"/>
        <v>12.768750000000001</v>
      </c>
      <c r="BA81" s="55"/>
    </row>
    <row r="82" spans="1:53">
      <c r="A82" s="57"/>
      <c r="B82" s="57" t="s">
        <v>56</v>
      </c>
      <c r="C82" s="55">
        <v>0</v>
      </c>
      <c r="D82" s="55">
        <v>6</v>
      </c>
      <c r="E82" s="55"/>
      <c r="F82" s="55">
        <v>2</v>
      </c>
      <c r="G82" s="55">
        <v>0</v>
      </c>
      <c r="H82" s="55">
        <v>4</v>
      </c>
      <c r="I82" s="55">
        <v>4</v>
      </c>
      <c r="J82" s="55">
        <v>0</v>
      </c>
      <c r="K82" s="55">
        <v>6</v>
      </c>
      <c r="L82" s="55">
        <v>2</v>
      </c>
      <c r="M82" s="55">
        <v>0</v>
      </c>
      <c r="N82" s="55">
        <v>4</v>
      </c>
      <c r="O82" s="55">
        <v>0</v>
      </c>
      <c r="P82" s="55">
        <v>0</v>
      </c>
      <c r="Q82" s="55">
        <v>3</v>
      </c>
      <c r="R82" s="55">
        <v>5</v>
      </c>
      <c r="S82" s="55">
        <v>6</v>
      </c>
      <c r="T82" s="55"/>
      <c r="U82" s="55">
        <v>6</v>
      </c>
      <c r="V82" s="55">
        <v>6</v>
      </c>
      <c r="W82" s="55">
        <v>4</v>
      </c>
      <c r="X82" s="55">
        <v>5</v>
      </c>
      <c r="Y82" s="55">
        <v>0</v>
      </c>
      <c r="Z82" s="55">
        <v>6</v>
      </c>
      <c r="AA82" s="55"/>
      <c r="AB82" s="55">
        <v>0</v>
      </c>
      <c r="AC82" s="55">
        <v>2</v>
      </c>
      <c r="AD82" s="55">
        <v>6</v>
      </c>
      <c r="AE82" s="55">
        <v>3</v>
      </c>
      <c r="AF82" s="55">
        <v>6</v>
      </c>
      <c r="AG82" s="55">
        <v>6</v>
      </c>
      <c r="AH82" s="55">
        <v>5</v>
      </c>
      <c r="AI82" s="55">
        <v>5</v>
      </c>
      <c r="AJ82" s="55">
        <v>5</v>
      </c>
      <c r="AK82" s="55">
        <v>0</v>
      </c>
      <c r="AL82" s="55">
        <v>3</v>
      </c>
      <c r="AM82" s="55"/>
      <c r="AN82" s="55">
        <v>3</v>
      </c>
      <c r="AO82" s="55"/>
      <c r="AP82" s="55">
        <v>3</v>
      </c>
      <c r="AQ82" s="55">
        <v>2</v>
      </c>
      <c r="AR82" s="55">
        <v>6</v>
      </c>
      <c r="AS82" s="55">
        <v>5</v>
      </c>
      <c r="AT82" s="55">
        <v>5</v>
      </c>
      <c r="AU82" s="55">
        <v>5</v>
      </c>
      <c r="AV82" s="55">
        <v>6</v>
      </c>
      <c r="AW82" s="55">
        <v>5</v>
      </c>
      <c r="AX82" s="55">
        <v>3</v>
      </c>
      <c r="AY82" s="56">
        <f t="shared" si="21"/>
        <v>153</v>
      </c>
      <c r="AZ82" s="55">
        <f t="shared" si="22"/>
        <v>7.2356249999999998</v>
      </c>
      <c r="BA82" s="55"/>
    </row>
    <row r="83" spans="1:53">
      <c r="A83" s="58"/>
      <c r="B83" s="58" t="s">
        <v>32</v>
      </c>
      <c r="C83" s="59">
        <f t="shared" ref="C83:AX83" si="23">2.27*(C72+C75+C78+C81)</f>
        <v>54.480000000000004</v>
      </c>
      <c r="D83" s="59">
        <f t="shared" si="23"/>
        <v>54.480000000000004</v>
      </c>
      <c r="E83" s="59">
        <f t="shared" si="23"/>
        <v>40.86</v>
      </c>
      <c r="F83" s="59">
        <f t="shared" si="23"/>
        <v>54.480000000000004</v>
      </c>
      <c r="G83" s="59">
        <f t="shared" si="23"/>
        <v>54.480000000000004</v>
      </c>
      <c r="H83" s="59">
        <f t="shared" si="23"/>
        <v>54.480000000000004</v>
      </c>
      <c r="I83" s="59">
        <f t="shared" si="23"/>
        <v>54.480000000000004</v>
      </c>
      <c r="J83" s="59">
        <f t="shared" si="23"/>
        <v>54.480000000000004</v>
      </c>
      <c r="K83" s="59">
        <f t="shared" si="23"/>
        <v>54.480000000000004</v>
      </c>
      <c r="L83" s="59">
        <f t="shared" si="23"/>
        <v>54.480000000000004</v>
      </c>
      <c r="M83" s="59">
        <f t="shared" si="23"/>
        <v>54.480000000000004</v>
      </c>
      <c r="N83" s="59">
        <f t="shared" si="23"/>
        <v>54.480000000000004</v>
      </c>
      <c r="O83" s="59">
        <f t="shared" si="23"/>
        <v>54.480000000000004</v>
      </c>
      <c r="P83" s="59">
        <f t="shared" si="23"/>
        <v>54.480000000000004</v>
      </c>
      <c r="Q83" s="59">
        <f t="shared" si="23"/>
        <v>47.67</v>
      </c>
      <c r="R83" s="59">
        <f t="shared" si="23"/>
        <v>54.480000000000004</v>
      </c>
      <c r="S83" s="59">
        <f t="shared" si="23"/>
        <v>54.480000000000004</v>
      </c>
      <c r="T83" s="59">
        <f t="shared" si="23"/>
        <v>40.86</v>
      </c>
      <c r="U83" s="59">
        <f t="shared" si="23"/>
        <v>54.480000000000004</v>
      </c>
      <c r="V83" s="59">
        <f t="shared" si="23"/>
        <v>54.480000000000004</v>
      </c>
      <c r="W83" s="59">
        <f t="shared" si="23"/>
        <v>54.480000000000004</v>
      </c>
      <c r="X83" s="59">
        <f t="shared" si="23"/>
        <v>54.480000000000004</v>
      </c>
      <c r="Y83" s="59">
        <f t="shared" si="23"/>
        <v>54.480000000000004</v>
      </c>
      <c r="Z83" s="59">
        <f t="shared" si="23"/>
        <v>54.480000000000004</v>
      </c>
      <c r="AA83" s="59">
        <f t="shared" si="23"/>
        <v>54.480000000000004</v>
      </c>
      <c r="AB83" s="59">
        <f t="shared" si="23"/>
        <v>54.480000000000004</v>
      </c>
      <c r="AC83" s="59">
        <f t="shared" si="23"/>
        <v>47.67</v>
      </c>
      <c r="AD83" s="59">
        <f t="shared" si="23"/>
        <v>49.94</v>
      </c>
      <c r="AE83" s="59">
        <f t="shared" si="23"/>
        <v>54.480000000000004</v>
      </c>
      <c r="AF83" s="59">
        <f t="shared" si="23"/>
        <v>54.480000000000004</v>
      </c>
      <c r="AG83" s="59">
        <f t="shared" si="23"/>
        <v>54.480000000000004</v>
      </c>
      <c r="AH83" s="59">
        <f t="shared" si="23"/>
        <v>54.480000000000004</v>
      </c>
      <c r="AI83" s="59">
        <f t="shared" si="23"/>
        <v>54.480000000000004</v>
      </c>
      <c r="AJ83" s="59">
        <f t="shared" si="23"/>
        <v>54.480000000000004</v>
      </c>
      <c r="AK83" s="59">
        <f t="shared" si="23"/>
        <v>54.480000000000004</v>
      </c>
      <c r="AL83" s="59">
        <f t="shared" si="23"/>
        <v>54.480000000000004</v>
      </c>
      <c r="AM83" s="59">
        <f t="shared" si="23"/>
        <v>54.480000000000004</v>
      </c>
      <c r="AN83" s="59">
        <f t="shared" si="23"/>
        <v>54.480000000000004</v>
      </c>
      <c r="AO83" s="59">
        <f t="shared" si="23"/>
        <v>54.480000000000004</v>
      </c>
      <c r="AP83" s="59">
        <f t="shared" si="23"/>
        <v>54.480000000000004</v>
      </c>
      <c r="AQ83" s="59">
        <f t="shared" si="23"/>
        <v>54.480000000000004</v>
      </c>
      <c r="AR83" s="59">
        <f t="shared" si="23"/>
        <v>54.480000000000004</v>
      </c>
      <c r="AS83" s="59">
        <f t="shared" si="23"/>
        <v>54.480000000000004</v>
      </c>
      <c r="AT83" s="59">
        <f t="shared" si="23"/>
        <v>54.480000000000004</v>
      </c>
      <c r="AU83" s="59">
        <f t="shared" si="23"/>
        <v>52.21</v>
      </c>
      <c r="AV83" s="59">
        <f t="shared" si="23"/>
        <v>54.480000000000004</v>
      </c>
      <c r="AW83" s="59">
        <f t="shared" si="23"/>
        <v>54.480000000000004</v>
      </c>
      <c r="AX83" s="59">
        <f t="shared" si="23"/>
        <v>47.67</v>
      </c>
      <c r="AY83" s="60">
        <f t="shared" ref="AY83:AY85" si="24">AVERAGE(C83:AX83)</f>
        <v>53.34500000000002</v>
      </c>
      <c r="AZ83" s="61">
        <f t="shared" ref="AZ83:AZ84" si="25">AZ72+AZ75+AZ78+AZ81</f>
        <v>53.344999999999999</v>
      </c>
      <c r="BA83" s="59"/>
    </row>
    <row r="84" spans="1:53">
      <c r="A84" s="57"/>
      <c r="B84" s="57" t="s">
        <v>33</v>
      </c>
      <c r="C84" s="55">
        <f t="shared" ref="C84:AX84" si="26">2.27*(C73+C76+C79+C82)</f>
        <v>0</v>
      </c>
      <c r="D84" s="55">
        <f t="shared" si="26"/>
        <v>54.480000000000004</v>
      </c>
      <c r="E84" s="55">
        <f t="shared" si="26"/>
        <v>6.8100000000000005</v>
      </c>
      <c r="F84" s="55">
        <f t="shared" si="26"/>
        <v>27.240000000000002</v>
      </c>
      <c r="G84" s="55">
        <f t="shared" si="26"/>
        <v>13.620000000000001</v>
      </c>
      <c r="H84" s="55">
        <f t="shared" si="26"/>
        <v>43.13</v>
      </c>
      <c r="I84" s="55">
        <f t="shared" si="26"/>
        <v>45.4</v>
      </c>
      <c r="J84" s="55">
        <f t="shared" si="26"/>
        <v>13.620000000000001</v>
      </c>
      <c r="K84" s="55">
        <f t="shared" si="26"/>
        <v>47.67</v>
      </c>
      <c r="L84" s="55">
        <f t="shared" si="26"/>
        <v>27.240000000000002</v>
      </c>
      <c r="M84" s="55">
        <f t="shared" si="26"/>
        <v>0</v>
      </c>
      <c r="N84" s="55">
        <f t="shared" si="26"/>
        <v>45.4</v>
      </c>
      <c r="O84" s="55">
        <f t="shared" si="26"/>
        <v>0</v>
      </c>
      <c r="P84" s="55">
        <f t="shared" si="26"/>
        <v>6.8100000000000005</v>
      </c>
      <c r="Q84" s="55">
        <f t="shared" si="26"/>
        <v>38.590000000000003</v>
      </c>
      <c r="R84" s="55">
        <f t="shared" si="26"/>
        <v>31.78</v>
      </c>
      <c r="S84" s="55">
        <f t="shared" si="26"/>
        <v>45.4</v>
      </c>
      <c r="T84" s="55">
        <f t="shared" si="26"/>
        <v>6.8100000000000005</v>
      </c>
      <c r="U84" s="55">
        <f t="shared" si="26"/>
        <v>54.480000000000004</v>
      </c>
      <c r="V84" s="55">
        <f t="shared" si="26"/>
        <v>54.480000000000004</v>
      </c>
      <c r="W84" s="55">
        <f t="shared" si="26"/>
        <v>31.78</v>
      </c>
      <c r="X84" s="55">
        <f t="shared" si="26"/>
        <v>45.4</v>
      </c>
      <c r="Y84" s="55">
        <f t="shared" si="26"/>
        <v>13.620000000000001</v>
      </c>
      <c r="Z84" s="55">
        <f t="shared" si="26"/>
        <v>47.67</v>
      </c>
      <c r="AA84" s="55">
        <f t="shared" si="26"/>
        <v>40.86</v>
      </c>
      <c r="AB84" s="55">
        <f t="shared" si="26"/>
        <v>20.43</v>
      </c>
      <c r="AC84" s="55">
        <f t="shared" si="26"/>
        <v>22.7</v>
      </c>
      <c r="AD84" s="55">
        <f t="shared" si="26"/>
        <v>49.94</v>
      </c>
      <c r="AE84" s="55">
        <f t="shared" si="26"/>
        <v>29.51</v>
      </c>
      <c r="AF84" s="55">
        <f t="shared" si="26"/>
        <v>54.480000000000004</v>
      </c>
      <c r="AG84" s="55">
        <f t="shared" si="26"/>
        <v>47.67</v>
      </c>
      <c r="AH84" s="55">
        <f t="shared" si="26"/>
        <v>49.94</v>
      </c>
      <c r="AI84" s="55">
        <f t="shared" si="26"/>
        <v>47.67</v>
      </c>
      <c r="AJ84" s="55">
        <f t="shared" si="26"/>
        <v>47.67</v>
      </c>
      <c r="AK84" s="55">
        <f t="shared" si="26"/>
        <v>13.620000000000001</v>
      </c>
      <c r="AL84" s="55">
        <f t="shared" si="26"/>
        <v>40.86</v>
      </c>
      <c r="AM84" s="55">
        <f t="shared" si="26"/>
        <v>11.35</v>
      </c>
      <c r="AN84" s="55">
        <f t="shared" si="26"/>
        <v>29.51</v>
      </c>
      <c r="AO84" s="55">
        <f t="shared" si="26"/>
        <v>34.049999999999997</v>
      </c>
      <c r="AP84" s="55">
        <f t="shared" si="26"/>
        <v>24.97</v>
      </c>
      <c r="AQ84" s="55">
        <f t="shared" si="26"/>
        <v>34.049999999999997</v>
      </c>
      <c r="AR84" s="55">
        <f t="shared" si="26"/>
        <v>54.480000000000004</v>
      </c>
      <c r="AS84" s="55">
        <f t="shared" si="26"/>
        <v>45.4</v>
      </c>
      <c r="AT84" s="55">
        <f t="shared" si="26"/>
        <v>49.94</v>
      </c>
      <c r="AU84" s="55">
        <f t="shared" si="26"/>
        <v>49.94</v>
      </c>
      <c r="AV84" s="55">
        <f t="shared" si="26"/>
        <v>54.480000000000004</v>
      </c>
      <c r="AW84" s="55">
        <f t="shared" si="26"/>
        <v>44.265000000000001</v>
      </c>
      <c r="AX84" s="55">
        <f t="shared" si="26"/>
        <v>47.67</v>
      </c>
      <c r="AY84" s="56">
        <f t="shared" si="24"/>
        <v>34.310104166666669</v>
      </c>
      <c r="AZ84" s="62">
        <f t="shared" si="25"/>
        <v>34.310104166666669</v>
      </c>
      <c r="BA84" s="55"/>
    </row>
    <row r="85" spans="1:53">
      <c r="A85" s="63"/>
      <c r="B85" s="63" t="s">
        <v>34</v>
      </c>
      <c r="C85" s="64">
        <f t="shared" ref="C85:AX85" si="27">C83-C84</f>
        <v>54.480000000000004</v>
      </c>
      <c r="D85" s="64">
        <f t="shared" si="27"/>
        <v>0</v>
      </c>
      <c r="E85" s="64">
        <f t="shared" si="27"/>
        <v>34.049999999999997</v>
      </c>
      <c r="F85" s="64">
        <f t="shared" si="27"/>
        <v>27.240000000000002</v>
      </c>
      <c r="G85" s="64">
        <f t="shared" si="27"/>
        <v>40.86</v>
      </c>
      <c r="H85" s="64">
        <f t="shared" si="27"/>
        <v>11.350000000000001</v>
      </c>
      <c r="I85" s="64">
        <f t="shared" si="27"/>
        <v>9.0800000000000054</v>
      </c>
      <c r="J85" s="64">
        <f t="shared" si="27"/>
        <v>40.86</v>
      </c>
      <c r="K85" s="64">
        <f t="shared" si="27"/>
        <v>6.8100000000000023</v>
      </c>
      <c r="L85" s="64">
        <f t="shared" si="27"/>
        <v>27.240000000000002</v>
      </c>
      <c r="M85" s="64">
        <f t="shared" si="27"/>
        <v>54.480000000000004</v>
      </c>
      <c r="N85" s="64">
        <f t="shared" si="27"/>
        <v>9.0800000000000054</v>
      </c>
      <c r="O85" s="64">
        <f t="shared" si="27"/>
        <v>54.480000000000004</v>
      </c>
      <c r="P85" s="64">
        <f t="shared" si="27"/>
        <v>47.67</v>
      </c>
      <c r="Q85" s="64">
        <f t="shared" si="27"/>
        <v>9.0799999999999983</v>
      </c>
      <c r="R85" s="64">
        <f t="shared" si="27"/>
        <v>22.700000000000003</v>
      </c>
      <c r="S85" s="64">
        <f t="shared" si="27"/>
        <v>9.0800000000000054</v>
      </c>
      <c r="T85" s="64">
        <f t="shared" si="27"/>
        <v>34.049999999999997</v>
      </c>
      <c r="U85" s="64">
        <f t="shared" si="27"/>
        <v>0</v>
      </c>
      <c r="V85" s="64">
        <f t="shared" si="27"/>
        <v>0</v>
      </c>
      <c r="W85" s="64">
        <f t="shared" si="27"/>
        <v>22.700000000000003</v>
      </c>
      <c r="X85" s="64">
        <f t="shared" si="27"/>
        <v>9.0800000000000054</v>
      </c>
      <c r="Y85" s="64">
        <f t="shared" si="27"/>
        <v>40.86</v>
      </c>
      <c r="Z85" s="64">
        <f t="shared" si="27"/>
        <v>6.8100000000000023</v>
      </c>
      <c r="AA85" s="64">
        <f t="shared" si="27"/>
        <v>13.620000000000005</v>
      </c>
      <c r="AB85" s="64">
        <f t="shared" si="27"/>
        <v>34.050000000000004</v>
      </c>
      <c r="AC85" s="64">
        <f t="shared" si="27"/>
        <v>24.970000000000002</v>
      </c>
      <c r="AD85" s="64">
        <f t="shared" si="27"/>
        <v>0</v>
      </c>
      <c r="AE85" s="64">
        <f t="shared" si="27"/>
        <v>24.970000000000002</v>
      </c>
      <c r="AF85" s="64">
        <f t="shared" si="27"/>
        <v>0</v>
      </c>
      <c r="AG85" s="64">
        <f t="shared" si="27"/>
        <v>6.8100000000000023</v>
      </c>
      <c r="AH85" s="64">
        <f t="shared" si="27"/>
        <v>4.5400000000000063</v>
      </c>
      <c r="AI85" s="64">
        <f t="shared" si="27"/>
        <v>6.8100000000000023</v>
      </c>
      <c r="AJ85" s="64">
        <f t="shared" si="27"/>
        <v>6.8100000000000023</v>
      </c>
      <c r="AK85" s="64">
        <f t="shared" si="27"/>
        <v>40.86</v>
      </c>
      <c r="AL85" s="64">
        <f t="shared" si="27"/>
        <v>13.620000000000005</v>
      </c>
      <c r="AM85" s="64">
        <f t="shared" si="27"/>
        <v>43.13</v>
      </c>
      <c r="AN85" s="64">
        <f t="shared" si="27"/>
        <v>24.970000000000002</v>
      </c>
      <c r="AO85" s="64">
        <f t="shared" si="27"/>
        <v>20.430000000000007</v>
      </c>
      <c r="AP85" s="64">
        <f t="shared" si="27"/>
        <v>29.510000000000005</v>
      </c>
      <c r="AQ85" s="64">
        <f t="shared" si="27"/>
        <v>20.430000000000007</v>
      </c>
      <c r="AR85" s="64">
        <f t="shared" si="27"/>
        <v>0</v>
      </c>
      <c r="AS85" s="64">
        <f t="shared" si="27"/>
        <v>9.0800000000000054</v>
      </c>
      <c r="AT85" s="64">
        <f t="shared" si="27"/>
        <v>4.5400000000000063</v>
      </c>
      <c r="AU85" s="64">
        <f t="shared" si="27"/>
        <v>2.2700000000000031</v>
      </c>
      <c r="AV85" s="64">
        <f t="shared" si="27"/>
        <v>0</v>
      </c>
      <c r="AW85" s="64">
        <f t="shared" si="27"/>
        <v>10.215000000000003</v>
      </c>
      <c r="AX85" s="64">
        <f t="shared" si="27"/>
        <v>0</v>
      </c>
      <c r="AY85" s="65">
        <f t="shared" si="24"/>
        <v>19.034895833333337</v>
      </c>
      <c r="AZ85" s="66">
        <f>AZ83-AZ84</f>
        <v>19.03489583333333</v>
      </c>
      <c r="BA85" s="64"/>
    </row>
    <row r="86" spans="1:53">
      <c r="B86" s="4" t="s">
        <v>58</v>
      </c>
      <c r="C86" s="4" t="s">
        <v>63</v>
      </c>
      <c r="D86" s="4" t="s">
        <v>61</v>
      </c>
      <c r="E86" s="4" t="s">
        <v>59</v>
      </c>
      <c r="F86" s="2"/>
      <c r="G86" s="4" t="s">
        <v>61</v>
      </c>
      <c r="H86" s="4" t="s">
        <v>59</v>
      </c>
      <c r="I86" s="4" t="s">
        <v>59</v>
      </c>
      <c r="J86" s="4" t="s">
        <v>61</v>
      </c>
      <c r="K86" s="4" t="s">
        <v>59</v>
      </c>
      <c r="L86" s="2"/>
      <c r="M86" s="2"/>
      <c r="N86" s="4" t="s">
        <v>59</v>
      </c>
      <c r="O86" s="4" t="s">
        <v>59</v>
      </c>
      <c r="P86" s="4" t="s">
        <v>59</v>
      </c>
      <c r="Q86" s="4" t="s">
        <v>61</v>
      </c>
      <c r="R86" s="4" t="s">
        <v>59</v>
      </c>
      <c r="S86" s="4" t="s">
        <v>59</v>
      </c>
      <c r="T86" s="4" t="s">
        <v>59</v>
      </c>
      <c r="U86" s="4" t="s">
        <v>59</v>
      </c>
      <c r="V86" s="4" t="s">
        <v>62</v>
      </c>
      <c r="W86" s="4" t="s">
        <v>59</v>
      </c>
      <c r="X86" s="4" t="s">
        <v>59</v>
      </c>
      <c r="Y86" s="4" t="s">
        <v>59</v>
      </c>
      <c r="Z86" s="4" t="s">
        <v>61</v>
      </c>
      <c r="AA86" s="4" t="s">
        <v>59</v>
      </c>
      <c r="AB86" s="4" t="s">
        <v>59</v>
      </c>
      <c r="AC86" s="4" t="s">
        <v>59</v>
      </c>
      <c r="AD86" s="4" t="s">
        <v>60</v>
      </c>
      <c r="AE86" s="2"/>
      <c r="AF86" s="4" t="s">
        <v>59</v>
      </c>
      <c r="AG86" s="4" t="s">
        <v>61</v>
      </c>
      <c r="AH86" s="4" t="s">
        <v>59</v>
      </c>
      <c r="AI86" s="2"/>
      <c r="AJ86" s="4" t="s">
        <v>59</v>
      </c>
      <c r="AK86" s="4" t="s">
        <v>64</v>
      </c>
      <c r="AL86" s="4" t="s">
        <v>59</v>
      </c>
      <c r="AM86" s="4" t="s">
        <v>59</v>
      </c>
      <c r="AN86" s="2"/>
      <c r="AO86" s="4" t="s">
        <v>59</v>
      </c>
      <c r="AP86" s="4" t="s">
        <v>59</v>
      </c>
      <c r="AQ86" s="4" t="s">
        <v>59</v>
      </c>
      <c r="AR86" s="4" t="s">
        <v>59</v>
      </c>
      <c r="AS86" s="4" t="s">
        <v>59</v>
      </c>
      <c r="AT86" s="4" t="s">
        <v>59</v>
      </c>
      <c r="AU86" s="4" t="s">
        <v>59</v>
      </c>
      <c r="AV86" s="4" t="s">
        <v>59</v>
      </c>
      <c r="AW86" s="4" t="s">
        <v>59</v>
      </c>
      <c r="AX86" s="4" t="s">
        <v>59</v>
      </c>
      <c r="AY86" s="3"/>
      <c r="AZ86" s="4"/>
      <c r="BA86" s="4"/>
    </row>
    <row r="87" spans="1:53">
      <c r="A87" s="2"/>
      <c r="B87" s="78" t="s">
        <v>65</v>
      </c>
      <c r="C87" s="68">
        <f t="shared" ref="C87:AX87" si="28">C27+C51+C67+C83</f>
        <v>194.78399999999999</v>
      </c>
      <c r="D87" s="68">
        <f t="shared" si="28"/>
        <v>191.786</v>
      </c>
      <c r="E87" s="68">
        <f t="shared" si="28"/>
        <v>183.798</v>
      </c>
      <c r="F87" s="68">
        <f t="shared" si="28"/>
        <v>201.77700000000004</v>
      </c>
      <c r="G87" s="68">
        <f t="shared" si="28"/>
        <v>185.24700000000001</v>
      </c>
      <c r="H87" s="68">
        <f t="shared" si="28"/>
        <v>173.45600000000002</v>
      </c>
      <c r="I87" s="68">
        <f t="shared" si="28"/>
        <v>180.06800000000001</v>
      </c>
      <c r="J87" s="68">
        <f t="shared" si="28"/>
        <v>172.36700000000002</v>
      </c>
      <c r="K87" s="68">
        <f t="shared" si="28"/>
        <v>166.62400000000002</v>
      </c>
      <c r="L87" s="68">
        <f t="shared" si="28"/>
        <v>201.32</v>
      </c>
      <c r="M87" s="68">
        <f t="shared" si="28"/>
        <v>211.99200000000002</v>
      </c>
      <c r="N87" s="68">
        <f t="shared" si="28"/>
        <v>185.06400000000002</v>
      </c>
      <c r="O87" s="68">
        <f t="shared" si="28"/>
        <v>201.77600000000001</v>
      </c>
      <c r="P87" s="68">
        <f t="shared" si="28"/>
        <v>194.23500000000001</v>
      </c>
      <c r="Q87" s="68">
        <f t="shared" si="28"/>
        <v>169.3</v>
      </c>
      <c r="R87" s="68">
        <f t="shared" si="28"/>
        <v>192.96800000000002</v>
      </c>
      <c r="S87" s="68">
        <f t="shared" si="28"/>
        <v>186.24100000000004</v>
      </c>
      <c r="T87" s="68">
        <f t="shared" si="28"/>
        <v>181.61799999999999</v>
      </c>
      <c r="U87" s="68">
        <f t="shared" si="28"/>
        <v>185.00700000000001</v>
      </c>
      <c r="V87" s="68">
        <f t="shared" si="28"/>
        <v>196.59700000000004</v>
      </c>
      <c r="W87" s="68">
        <f t="shared" si="28"/>
        <v>197.68800000000005</v>
      </c>
      <c r="X87" s="68">
        <f t="shared" si="28"/>
        <v>196.41400000000004</v>
      </c>
      <c r="Y87" s="68">
        <f t="shared" si="28"/>
        <v>190.96800000000002</v>
      </c>
      <c r="Z87" s="68">
        <f t="shared" si="28"/>
        <v>176.79900000000001</v>
      </c>
      <c r="AA87" s="68">
        <f t="shared" si="28"/>
        <v>184.334</v>
      </c>
      <c r="AB87" s="68">
        <f t="shared" si="28"/>
        <v>181.57600000000002</v>
      </c>
      <c r="AC87" s="68">
        <f t="shared" si="28"/>
        <v>173.08</v>
      </c>
      <c r="AD87" s="68">
        <f t="shared" si="28"/>
        <v>150.464</v>
      </c>
      <c r="AE87" s="68">
        <f t="shared" si="28"/>
        <v>206.31600000000003</v>
      </c>
      <c r="AF87" s="68">
        <f t="shared" si="28"/>
        <v>197.596</v>
      </c>
      <c r="AG87" s="68">
        <f t="shared" si="28"/>
        <v>193.14500000000004</v>
      </c>
      <c r="AH87" s="68">
        <f t="shared" si="28"/>
        <v>194.50700000000001</v>
      </c>
      <c r="AI87" s="68">
        <f t="shared" si="28"/>
        <v>205.59000000000003</v>
      </c>
      <c r="AJ87" s="68">
        <f t="shared" si="28"/>
        <v>196.142</v>
      </c>
      <c r="AK87" s="68">
        <f t="shared" si="28"/>
        <v>195.58100000000002</v>
      </c>
      <c r="AL87" s="68">
        <f t="shared" si="28"/>
        <v>202.41000000000003</v>
      </c>
      <c r="AM87" s="68">
        <f t="shared" si="28"/>
        <v>209.31200000000001</v>
      </c>
      <c r="AN87" s="68">
        <f t="shared" si="28"/>
        <v>200.774</v>
      </c>
      <c r="AO87" s="68">
        <f t="shared" si="28"/>
        <v>195.125</v>
      </c>
      <c r="AP87" s="68">
        <f t="shared" si="28"/>
        <v>195.60000000000002</v>
      </c>
      <c r="AQ87" s="68">
        <f t="shared" si="28"/>
        <v>173.62</v>
      </c>
      <c r="AR87" s="68">
        <f t="shared" si="28"/>
        <v>186.97000000000003</v>
      </c>
      <c r="AS87" s="68">
        <f t="shared" si="28"/>
        <v>202.04600000000005</v>
      </c>
      <c r="AT87" s="68">
        <f t="shared" si="28"/>
        <v>187.06299999999999</v>
      </c>
      <c r="AU87" s="68">
        <f t="shared" si="28"/>
        <v>182.79400000000001</v>
      </c>
      <c r="AV87" s="68">
        <f t="shared" si="28"/>
        <v>194.50600000000003</v>
      </c>
      <c r="AW87" s="68">
        <f t="shared" si="28"/>
        <v>199.10399999999998</v>
      </c>
      <c r="AX87" s="68">
        <f t="shared" si="28"/>
        <v>171.89600000000002</v>
      </c>
      <c r="AY87" s="69">
        <f t="shared" ref="AY87:AY89" si="29">AVERAGE(C87:AX87)</f>
        <v>189.53010416666666</v>
      </c>
      <c r="AZ87" s="68">
        <f t="shared" ref="AZ87:AZ89" si="30">AZ27+AZ51+AZ67+AZ83</f>
        <v>189.53010416666666</v>
      </c>
    </row>
    <row r="88" spans="1:53">
      <c r="A88" s="2"/>
      <c r="B88" s="78" t="s">
        <v>66</v>
      </c>
      <c r="C88" s="68">
        <f t="shared" ref="C88:AX88" si="31">C28+C52+C68+C84</f>
        <v>88.078000000000003</v>
      </c>
      <c r="D88" s="68">
        <f t="shared" si="31"/>
        <v>150.096</v>
      </c>
      <c r="E88" s="68">
        <f t="shared" si="31"/>
        <v>65.921999999999997</v>
      </c>
      <c r="F88" s="68">
        <f t="shared" si="31"/>
        <v>108.779</v>
      </c>
      <c r="G88" s="68">
        <f t="shared" si="31"/>
        <v>94.887000000000015</v>
      </c>
      <c r="H88" s="68">
        <f t="shared" si="31"/>
        <v>166.15600000000001</v>
      </c>
      <c r="I88" s="68">
        <f t="shared" si="31"/>
        <v>144.55800000000002</v>
      </c>
      <c r="J88" s="68">
        <f t="shared" si="31"/>
        <v>126.71100000000001</v>
      </c>
      <c r="K88" s="68">
        <f t="shared" si="31"/>
        <v>186.608</v>
      </c>
      <c r="L88" s="68">
        <f t="shared" si="31"/>
        <v>118.77000000000001</v>
      </c>
      <c r="M88" s="68">
        <f t="shared" si="31"/>
        <v>51.802</v>
      </c>
      <c r="N88" s="68">
        <f t="shared" si="31"/>
        <v>140.01600000000002</v>
      </c>
      <c r="O88" s="68">
        <f t="shared" si="31"/>
        <v>85.171999999999997</v>
      </c>
      <c r="P88" s="68">
        <f t="shared" si="31"/>
        <v>102.24299999999999</v>
      </c>
      <c r="Q88" s="68">
        <f t="shared" si="31"/>
        <v>148.066</v>
      </c>
      <c r="R88" s="68">
        <f t="shared" si="31"/>
        <v>112.14</v>
      </c>
      <c r="S88" s="68">
        <f t="shared" si="31"/>
        <v>171.98499999999999</v>
      </c>
      <c r="T88" s="68">
        <f t="shared" si="31"/>
        <v>69.918000000000006</v>
      </c>
      <c r="U88" s="68">
        <f t="shared" si="31"/>
        <v>174.58100000000002</v>
      </c>
      <c r="V88" s="68">
        <f t="shared" si="31"/>
        <v>173.43299999999999</v>
      </c>
      <c r="W88" s="68">
        <f t="shared" si="31"/>
        <v>114.23</v>
      </c>
      <c r="X88" s="68">
        <f t="shared" si="31"/>
        <v>145.46800000000002</v>
      </c>
      <c r="Y88" s="68">
        <f t="shared" si="31"/>
        <v>95.068000000000012</v>
      </c>
      <c r="Z88" s="68">
        <f t="shared" si="31"/>
        <v>165.53699999999998</v>
      </c>
      <c r="AA88" s="68">
        <f t="shared" si="31"/>
        <v>167.536</v>
      </c>
      <c r="AB88" s="68">
        <f t="shared" si="31"/>
        <v>109</v>
      </c>
      <c r="AC88" s="68">
        <f t="shared" si="31"/>
        <v>105.69600000000001</v>
      </c>
      <c r="AD88" s="68">
        <f t="shared" si="31"/>
        <v>169.52600000000001</v>
      </c>
      <c r="AE88" s="68">
        <f t="shared" si="31"/>
        <v>126.032</v>
      </c>
      <c r="AF88" s="68">
        <f t="shared" si="31"/>
        <v>159.72200000000001</v>
      </c>
      <c r="AG88" s="68">
        <f t="shared" si="31"/>
        <v>162.35700000000003</v>
      </c>
      <c r="AH88" s="68">
        <f t="shared" si="31"/>
        <v>158.27100000000002</v>
      </c>
      <c r="AI88" s="68">
        <f t="shared" si="31"/>
        <v>131.298</v>
      </c>
      <c r="AJ88" s="68">
        <f t="shared" si="31"/>
        <v>153.45800000000003</v>
      </c>
      <c r="AK88" s="68">
        <f t="shared" si="31"/>
        <v>121.33100000000002</v>
      </c>
      <c r="AL88" s="68">
        <f t="shared" si="31"/>
        <v>146.28199999999998</v>
      </c>
      <c r="AM88" s="68">
        <f t="shared" si="31"/>
        <v>102.152</v>
      </c>
      <c r="AN88" s="68">
        <f t="shared" si="31"/>
        <v>132.482</v>
      </c>
      <c r="AO88" s="68">
        <f t="shared" si="31"/>
        <v>138.58499999999998</v>
      </c>
      <c r="AP88" s="68">
        <f t="shared" si="31"/>
        <v>123.58199999999999</v>
      </c>
      <c r="AQ88" s="68">
        <f t="shared" si="31"/>
        <v>145.55799999999999</v>
      </c>
      <c r="AR88" s="68">
        <f t="shared" si="31"/>
        <v>159.22500000000002</v>
      </c>
      <c r="AS88" s="68">
        <f t="shared" si="31"/>
        <v>146.19200000000001</v>
      </c>
      <c r="AT88" s="68">
        <f t="shared" si="31"/>
        <v>160.721</v>
      </c>
      <c r="AU88" s="68">
        <f t="shared" si="31"/>
        <v>150.00799999999998</v>
      </c>
      <c r="AV88" s="68">
        <f t="shared" si="31"/>
        <v>178.702</v>
      </c>
      <c r="AW88" s="68">
        <f t="shared" si="31"/>
        <v>131.20100000000002</v>
      </c>
      <c r="AX88" s="68">
        <f t="shared" si="31"/>
        <v>145.92000000000002</v>
      </c>
      <c r="AY88" s="69">
        <f t="shared" si="29"/>
        <v>133.85543750000002</v>
      </c>
      <c r="AZ88" s="68">
        <f t="shared" si="30"/>
        <v>133.85543749999999</v>
      </c>
    </row>
    <row r="89" spans="1:53">
      <c r="A89" s="2"/>
      <c r="B89" s="78" t="s">
        <v>67</v>
      </c>
      <c r="C89" s="68">
        <f t="shared" ref="C89:AX89" si="32">C29+C53+C69+C85</f>
        <v>106.706</v>
      </c>
      <c r="D89" s="68">
        <f t="shared" si="32"/>
        <v>41.689999999999991</v>
      </c>
      <c r="E89" s="68">
        <f t="shared" si="32"/>
        <v>117.87599999999999</v>
      </c>
      <c r="F89" s="68">
        <f t="shared" si="32"/>
        <v>92.998000000000019</v>
      </c>
      <c r="G89" s="68">
        <f t="shared" si="32"/>
        <v>90.36</v>
      </c>
      <c r="H89" s="68">
        <f t="shared" si="32"/>
        <v>7.2999999999999972</v>
      </c>
      <c r="I89" s="68">
        <f t="shared" si="32"/>
        <v>35.510000000000005</v>
      </c>
      <c r="J89" s="68">
        <f t="shared" si="32"/>
        <v>45.656000000000006</v>
      </c>
      <c r="K89" s="68">
        <f t="shared" si="32"/>
        <v>-19.983999999999995</v>
      </c>
      <c r="L89" s="68">
        <f t="shared" si="32"/>
        <v>82.55</v>
      </c>
      <c r="M89" s="68">
        <f t="shared" si="32"/>
        <v>160.19</v>
      </c>
      <c r="N89" s="68">
        <f t="shared" si="32"/>
        <v>45.048000000000009</v>
      </c>
      <c r="O89" s="68">
        <f t="shared" si="32"/>
        <v>116.60400000000001</v>
      </c>
      <c r="P89" s="68">
        <f t="shared" si="32"/>
        <v>91.992000000000004</v>
      </c>
      <c r="Q89" s="68">
        <f t="shared" si="32"/>
        <v>21.233999999999998</v>
      </c>
      <c r="R89" s="68">
        <f t="shared" si="32"/>
        <v>80.828000000000003</v>
      </c>
      <c r="S89" s="68">
        <f t="shared" si="32"/>
        <v>14.256000000000011</v>
      </c>
      <c r="T89" s="68">
        <f t="shared" si="32"/>
        <v>111.69999999999999</v>
      </c>
      <c r="U89" s="68">
        <f t="shared" si="32"/>
        <v>10.426000000000002</v>
      </c>
      <c r="V89" s="68">
        <f t="shared" si="32"/>
        <v>23.164000000000001</v>
      </c>
      <c r="W89" s="68">
        <f t="shared" si="32"/>
        <v>83.457999999999998</v>
      </c>
      <c r="X89" s="68">
        <f t="shared" si="32"/>
        <v>50.946000000000005</v>
      </c>
      <c r="Y89" s="68">
        <f t="shared" si="32"/>
        <v>95.9</v>
      </c>
      <c r="Z89" s="68">
        <f t="shared" si="32"/>
        <v>11.262000000000008</v>
      </c>
      <c r="AA89" s="68">
        <f t="shared" si="32"/>
        <v>16.798000000000009</v>
      </c>
      <c r="AB89" s="68">
        <f t="shared" si="32"/>
        <v>72.576000000000022</v>
      </c>
      <c r="AC89" s="68">
        <f t="shared" si="32"/>
        <v>67.384</v>
      </c>
      <c r="AD89" s="68">
        <f t="shared" si="32"/>
        <v>-19.061999999999998</v>
      </c>
      <c r="AE89" s="68">
        <f t="shared" si="32"/>
        <v>80.284000000000006</v>
      </c>
      <c r="AF89" s="68">
        <f t="shared" si="32"/>
        <v>37.874000000000002</v>
      </c>
      <c r="AG89" s="68">
        <f t="shared" si="32"/>
        <v>30.788000000000004</v>
      </c>
      <c r="AH89" s="68">
        <f t="shared" si="32"/>
        <v>36.236000000000011</v>
      </c>
      <c r="AI89" s="68">
        <f t="shared" si="32"/>
        <v>74.292000000000002</v>
      </c>
      <c r="AJ89" s="68">
        <f t="shared" si="32"/>
        <v>42.684000000000005</v>
      </c>
      <c r="AK89" s="68">
        <f t="shared" si="32"/>
        <v>74.25</v>
      </c>
      <c r="AL89" s="68">
        <f t="shared" si="32"/>
        <v>56.128000000000007</v>
      </c>
      <c r="AM89" s="68">
        <f t="shared" si="32"/>
        <v>107.16</v>
      </c>
      <c r="AN89" s="68">
        <f t="shared" si="32"/>
        <v>68.292000000000002</v>
      </c>
      <c r="AO89" s="68">
        <f t="shared" si="32"/>
        <v>56.540000000000006</v>
      </c>
      <c r="AP89" s="68">
        <f t="shared" si="32"/>
        <v>72.018000000000001</v>
      </c>
      <c r="AQ89" s="68">
        <f t="shared" si="32"/>
        <v>28.062000000000005</v>
      </c>
      <c r="AR89" s="68">
        <f t="shared" si="32"/>
        <v>27.745000000000005</v>
      </c>
      <c r="AS89" s="68">
        <f t="shared" si="32"/>
        <v>55.854000000000013</v>
      </c>
      <c r="AT89" s="68">
        <f t="shared" si="32"/>
        <v>26.342000000000006</v>
      </c>
      <c r="AU89" s="68">
        <f t="shared" si="32"/>
        <v>32.786000000000001</v>
      </c>
      <c r="AV89" s="68">
        <f t="shared" si="32"/>
        <v>15.803999999999995</v>
      </c>
      <c r="AW89" s="68">
        <f t="shared" si="32"/>
        <v>67.902999999999992</v>
      </c>
      <c r="AX89" s="68">
        <f t="shared" si="32"/>
        <v>25.975999999999999</v>
      </c>
      <c r="AY89" s="69">
        <f t="shared" si="29"/>
        <v>55.67466666666666</v>
      </c>
      <c r="AZ89" s="68">
        <f t="shared" si="30"/>
        <v>55.674666666666674</v>
      </c>
    </row>
    <row r="90" spans="1:53">
      <c r="A90" s="2"/>
      <c r="AY90" s="69"/>
    </row>
    <row r="91" spans="1:53">
      <c r="A91" s="2"/>
      <c r="B91" s="78" t="s">
        <v>68</v>
      </c>
      <c r="C91" s="68">
        <f t="shared" ref="C91:AX91" si="33">0.454*(IF(C10&gt;20, 0, 20-ROUND(C10,0)) + IF(C13&gt;20, 0, 20-ROUND(C13,0)) + C16 + IF(C19&gt;20, 20, C19) + IF(C22&gt;20, 20, C22) + IF(C25&gt;20, 20, C25)) + (C32+C36+C40+C44+C48)*0.109 + (C56+C59+C62+C65)*2.27 + (C72+C75+C78+C81)*2.27</f>
        <v>194.78399999999999</v>
      </c>
      <c r="D91" s="68">
        <f t="shared" si="33"/>
        <v>191.786</v>
      </c>
      <c r="E91" s="68">
        <f t="shared" si="33"/>
        <v>183.798</v>
      </c>
      <c r="F91" s="68">
        <f t="shared" si="33"/>
        <v>201.77700000000004</v>
      </c>
      <c r="G91" s="68">
        <f t="shared" si="33"/>
        <v>185.24700000000001</v>
      </c>
      <c r="H91" s="68">
        <f t="shared" si="33"/>
        <v>173.45600000000002</v>
      </c>
      <c r="I91" s="68">
        <f t="shared" si="33"/>
        <v>180.06800000000001</v>
      </c>
      <c r="J91" s="68">
        <f t="shared" si="33"/>
        <v>172.36700000000002</v>
      </c>
      <c r="K91" s="68">
        <f t="shared" si="33"/>
        <v>166.62400000000002</v>
      </c>
      <c r="L91" s="68">
        <f t="shared" si="33"/>
        <v>201.32</v>
      </c>
      <c r="M91" s="68">
        <f t="shared" si="33"/>
        <v>211.99200000000002</v>
      </c>
      <c r="N91" s="68">
        <f t="shared" si="33"/>
        <v>185.06400000000002</v>
      </c>
      <c r="O91" s="68">
        <f t="shared" si="33"/>
        <v>201.77600000000001</v>
      </c>
      <c r="P91" s="68">
        <f t="shared" si="33"/>
        <v>194.23500000000001</v>
      </c>
      <c r="Q91" s="68">
        <f t="shared" si="33"/>
        <v>169.3</v>
      </c>
      <c r="R91" s="68">
        <f t="shared" si="33"/>
        <v>192.96800000000002</v>
      </c>
      <c r="S91" s="68">
        <f t="shared" si="33"/>
        <v>186.24100000000004</v>
      </c>
      <c r="T91" s="68">
        <f t="shared" si="33"/>
        <v>181.61799999999999</v>
      </c>
      <c r="U91" s="68">
        <f t="shared" si="33"/>
        <v>185.00700000000001</v>
      </c>
      <c r="V91" s="68">
        <f t="shared" si="33"/>
        <v>196.59700000000004</v>
      </c>
      <c r="W91" s="68">
        <f t="shared" si="33"/>
        <v>197.68800000000005</v>
      </c>
      <c r="X91" s="68">
        <f t="shared" si="33"/>
        <v>196.41400000000004</v>
      </c>
      <c r="Y91" s="68">
        <f t="shared" si="33"/>
        <v>190.96800000000002</v>
      </c>
      <c r="Z91" s="68">
        <f t="shared" si="33"/>
        <v>176.79900000000001</v>
      </c>
      <c r="AA91" s="68">
        <f t="shared" si="33"/>
        <v>184.334</v>
      </c>
      <c r="AB91" s="68">
        <f t="shared" si="33"/>
        <v>181.57600000000002</v>
      </c>
      <c r="AC91" s="68">
        <f t="shared" si="33"/>
        <v>173.08</v>
      </c>
      <c r="AD91" s="68">
        <f t="shared" si="33"/>
        <v>150.464</v>
      </c>
      <c r="AE91" s="68">
        <f t="shared" si="33"/>
        <v>206.31600000000003</v>
      </c>
      <c r="AF91" s="68">
        <f t="shared" si="33"/>
        <v>197.596</v>
      </c>
      <c r="AG91" s="68">
        <f t="shared" si="33"/>
        <v>193.14500000000004</v>
      </c>
      <c r="AH91" s="68">
        <f t="shared" si="33"/>
        <v>194.50700000000001</v>
      </c>
      <c r="AI91" s="68">
        <f t="shared" si="33"/>
        <v>205.59000000000003</v>
      </c>
      <c r="AJ91" s="68">
        <f t="shared" si="33"/>
        <v>196.142</v>
      </c>
      <c r="AK91" s="68">
        <f t="shared" si="33"/>
        <v>195.58100000000002</v>
      </c>
      <c r="AL91" s="68">
        <f t="shared" si="33"/>
        <v>202.41000000000003</v>
      </c>
      <c r="AM91" s="68">
        <f t="shared" si="33"/>
        <v>209.31200000000001</v>
      </c>
      <c r="AN91" s="68">
        <f t="shared" si="33"/>
        <v>200.774</v>
      </c>
      <c r="AO91" s="68">
        <f t="shared" si="33"/>
        <v>195.125</v>
      </c>
      <c r="AP91" s="68">
        <f t="shared" si="33"/>
        <v>195.60000000000002</v>
      </c>
      <c r="AQ91" s="68">
        <f t="shared" si="33"/>
        <v>173.62</v>
      </c>
      <c r="AR91" s="68">
        <f t="shared" si="33"/>
        <v>186.97000000000003</v>
      </c>
      <c r="AS91" s="68">
        <f t="shared" si="33"/>
        <v>202.04600000000005</v>
      </c>
      <c r="AT91" s="68">
        <f t="shared" si="33"/>
        <v>187.06299999999999</v>
      </c>
      <c r="AU91" s="68">
        <f t="shared" si="33"/>
        <v>182.79400000000001</v>
      </c>
      <c r="AV91" s="68">
        <f t="shared" si="33"/>
        <v>194.50600000000003</v>
      </c>
      <c r="AW91" s="68">
        <f t="shared" si="33"/>
        <v>199.10399999999998</v>
      </c>
      <c r="AX91" s="68">
        <f t="shared" si="33"/>
        <v>171.89600000000002</v>
      </c>
      <c r="AY91" s="69">
        <f t="shared" ref="AY91:AY93" si="34">AVERAGE(C91:AX91)</f>
        <v>189.53010416666666</v>
      </c>
    </row>
    <row r="92" spans="1:53">
      <c r="A92" s="2"/>
      <c r="B92" s="78" t="s">
        <v>69</v>
      </c>
      <c r="C92" s="70">
        <f t="shared" ref="C92:AX92" si="35">0.454*(IF(C11&gt;20, 0, 20-ROUND(C11,0)) + IF(C14&gt;20, 0, 20-ROUND(C14,0)) + C17 + IF(C20&gt;20, 20, C20) + IF(C23&gt;20, 20, C23) + IF(C26&gt;20, 20, C26)) + (C33+C37+C41+C45+C49)*0.109 + (C57+C60+C63+C66)*2.27 + (C73+C76+C79+C82)*2.27</f>
        <v>88.078000000000003</v>
      </c>
      <c r="D92" s="70">
        <f t="shared" si="35"/>
        <v>150.096</v>
      </c>
      <c r="E92" s="70">
        <f t="shared" si="35"/>
        <v>65.921999999999997</v>
      </c>
      <c r="F92" s="70">
        <f t="shared" si="35"/>
        <v>108.779</v>
      </c>
      <c r="G92" s="70">
        <f t="shared" si="35"/>
        <v>94.887000000000015</v>
      </c>
      <c r="H92" s="70">
        <f t="shared" si="35"/>
        <v>166.15600000000001</v>
      </c>
      <c r="I92" s="70">
        <f t="shared" si="35"/>
        <v>144.55800000000002</v>
      </c>
      <c r="J92" s="70">
        <f t="shared" si="35"/>
        <v>126.71100000000001</v>
      </c>
      <c r="K92" s="70">
        <f t="shared" si="35"/>
        <v>186.608</v>
      </c>
      <c r="L92" s="70">
        <f t="shared" si="35"/>
        <v>118.77000000000001</v>
      </c>
      <c r="M92" s="70">
        <f t="shared" si="35"/>
        <v>51.802</v>
      </c>
      <c r="N92" s="70">
        <f t="shared" si="35"/>
        <v>140.01600000000002</v>
      </c>
      <c r="O92" s="70">
        <f t="shared" si="35"/>
        <v>85.171999999999997</v>
      </c>
      <c r="P92" s="70">
        <f t="shared" si="35"/>
        <v>102.24299999999999</v>
      </c>
      <c r="Q92" s="70">
        <f t="shared" si="35"/>
        <v>148.066</v>
      </c>
      <c r="R92" s="70">
        <f t="shared" si="35"/>
        <v>112.14</v>
      </c>
      <c r="S92" s="70">
        <f t="shared" si="35"/>
        <v>171.98499999999999</v>
      </c>
      <c r="T92" s="70">
        <f t="shared" si="35"/>
        <v>69.918000000000006</v>
      </c>
      <c r="U92" s="70">
        <f t="shared" si="35"/>
        <v>174.58100000000002</v>
      </c>
      <c r="V92" s="70">
        <f t="shared" si="35"/>
        <v>173.43299999999999</v>
      </c>
      <c r="W92" s="70">
        <f t="shared" si="35"/>
        <v>114.23</v>
      </c>
      <c r="X92" s="70">
        <f t="shared" si="35"/>
        <v>145.46800000000002</v>
      </c>
      <c r="Y92" s="70">
        <f t="shared" si="35"/>
        <v>95.068000000000012</v>
      </c>
      <c r="Z92" s="70">
        <f t="shared" si="35"/>
        <v>165.53699999999998</v>
      </c>
      <c r="AA92" s="70">
        <f t="shared" si="35"/>
        <v>167.536</v>
      </c>
      <c r="AB92" s="70">
        <f t="shared" si="35"/>
        <v>109</v>
      </c>
      <c r="AC92" s="70">
        <f t="shared" si="35"/>
        <v>105.69600000000001</v>
      </c>
      <c r="AD92" s="70">
        <f t="shared" si="35"/>
        <v>169.52600000000001</v>
      </c>
      <c r="AE92" s="70">
        <f t="shared" si="35"/>
        <v>126.032</v>
      </c>
      <c r="AF92" s="70">
        <f t="shared" si="35"/>
        <v>159.72200000000001</v>
      </c>
      <c r="AG92" s="70">
        <f t="shared" si="35"/>
        <v>162.35700000000003</v>
      </c>
      <c r="AH92" s="70">
        <f t="shared" si="35"/>
        <v>158.27100000000002</v>
      </c>
      <c r="AI92" s="70">
        <f t="shared" si="35"/>
        <v>131.298</v>
      </c>
      <c r="AJ92" s="70">
        <f t="shared" si="35"/>
        <v>153.45800000000003</v>
      </c>
      <c r="AK92" s="70">
        <f t="shared" si="35"/>
        <v>121.33100000000002</v>
      </c>
      <c r="AL92" s="70">
        <f t="shared" si="35"/>
        <v>146.28199999999998</v>
      </c>
      <c r="AM92" s="70">
        <f t="shared" si="35"/>
        <v>102.152</v>
      </c>
      <c r="AN92" s="70">
        <f t="shared" si="35"/>
        <v>132.482</v>
      </c>
      <c r="AO92" s="70">
        <f t="shared" si="35"/>
        <v>138.58499999999998</v>
      </c>
      <c r="AP92" s="70">
        <f t="shared" si="35"/>
        <v>123.58199999999999</v>
      </c>
      <c r="AQ92" s="70">
        <f t="shared" si="35"/>
        <v>145.55799999999999</v>
      </c>
      <c r="AR92" s="70">
        <f t="shared" si="35"/>
        <v>159.22500000000002</v>
      </c>
      <c r="AS92" s="70">
        <f t="shared" si="35"/>
        <v>146.19200000000001</v>
      </c>
      <c r="AT92" s="70">
        <f t="shared" si="35"/>
        <v>160.721</v>
      </c>
      <c r="AU92" s="70">
        <f t="shared" si="35"/>
        <v>150.00799999999998</v>
      </c>
      <c r="AV92" s="70">
        <f t="shared" si="35"/>
        <v>178.702</v>
      </c>
      <c r="AW92" s="70">
        <f t="shared" si="35"/>
        <v>131.20100000000002</v>
      </c>
      <c r="AX92" s="70">
        <f t="shared" si="35"/>
        <v>145.92000000000002</v>
      </c>
      <c r="AY92" s="69">
        <f t="shared" si="34"/>
        <v>133.85543750000002</v>
      </c>
      <c r="AZ92" s="70"/>
      <c r="BA92" s="70"/>
    </row>
    <row r="93" spans="1:53">
      <c r="A93" s="71"/>
      <c r="B93" s="72" t="s">
        <v>70</v>
      </c>
      <c r="C93" s="73">
        <f t="shared" ref="C93:AX93" si="36">C91-C92</f>
        <v>106.70599999999999</v>
      </c>
      <c r="D93" s="73">
        <f t="shared" si="36"/>
        <v>41.69</v>
      </c>
      <c r="E93" s="73">
        <f t="shared" si="36"/>
        <v>117.876</v>
      </c>
      <c r="F93" s="73">
        <f t="shared" si="36"/>
        <v>92.998000000000047</v>
      </c>
      <c r="G93" s="73">
        <f t="shared" si="36"/>
        <v>90.36</v>
      </c>
      <c r="H93" s="73">
        <f t="shared" si="36"/>
        <v>7.3000000000000114</v>
      </c>
      <c r="I93" s="73">
        <f t="shared" si="36"/>
        <v>35.509999999999991</v>
      </c>
      <c r="J93" s="73">
        <f t="shared" si="36"/>
        <v>45.656000000000006</v>
      </c>
      <c r="K93" s="73">
        <f t="shared" si="36"/>
        <v>-19.98399999999998</v>
      </c>
      <c r="L93" s="73">
        <f t="shared" si="36"/>
        <v>82.549999999999983</v>
      </c>
      <c r="M93" s="73">
        <f t="shared" si="36"/>
        <v>160.19000000000003</v>
      </c>
      <c r="N93" s="73">
        <f t="shared" si="36"/>
        <v>45.048000000000002</v>
      </c>
      <c r="O93" s="73">
        <f t="shared" si="36"/>
        <v>116.60400000000001</v>
      </c>
      <c r="P93" s="73">
        <f t="shared" si="36"/>
        <v>91.992000000000019</v>
      </c>
      <c r="Q93" s="73">
        <f t="shared" si="36"/>
        <v>21.234000000000009</v>
      </c>
      <c r="R93" s="73">
        <f t="shared" si="36"/>
        <v>80.828000000000017</v>
      </c>
      <c r="S93" s="73">
        <f t="shared" si="36"/>
        <v>14.256000000000057</v>
      </c>
      <c r="T93" s="73">
        <f t="shared" si="36"/>
        <v>111.69999999999999</v>
      </c>
      <c r="U93" s="73">
        <f t="shared" si="36"/>
        <v>10.425999999999988</v>
      </c>
      <c r="V93" s="73">
        <f t="shared" si="36"/>
        <v>23.164000000000044</v>
      </c>
      <c r="W93" s="73">
        <f t="shared" si="36"/>
        <v>83.458000000000041</v>
      </c>
      <c r="X93" s="73">
        <f t="shared" si="36"/>
        <v>50.946000000000026</v>
      </c>
      <c r="Y93" s="73">
        <f t="shared" si="36"/>
        <v>95.9</v>
      </c>
      <c r="Z93" s="73">
        <f t="shared" si="36"/>
        <v>11.262000000000029</v>
      </c>
      <c r="AA93" s="73">
        <f t="shared" si="36"/>
        <v>16.798000000000002</v>
      </c>
      <c r="AB93" s="73">
        <f t="shared" si="36"/>
        <v>72.576000000000022</v>
      </c>
      <c r="AC93" s="73">
        <f t="shared" si="36"/>
        <v>67.384</v>
      </c>
      <c r="AD93" s="73">
        <f t="shared" si="36"/>
        <v>-19.062000000000012</v>
      </c>
      <c r="AE93" s="73">
        <f t="shared" si="36"/>
        <v>80.284000000000034</v>
      </c>
      <c r="AF93" s="73">
        <f t="shared" si="36"/>
        <v>37.873999999999995</v>
      </c>
      <c r="AG93" s="73">
        <f t="shared" si="36"/>
        <v>30.788000000000011</v>
      </c>
      <c r="AH93" s="73">
        <f t="shared" si="36"/>
        <v>36.23599999999999</v>
      </c>
      <c r="AI93" s="73">
        <f t="shared" si="36"/>
        <v>74.29200000000003</v>
      </c>
      <c r="AJ93" s="73">
        <f t="shared" si="36"/>
        <v>42.683999999999969</v>
      </c>
      <c r="AK93" s="73">
        <f t="shared" si="36"/>
        <v>74.25</v>
      </c>
      <c r="AL93" s="73">
        <f t="shared" si="36"/>
        <v>56.128000000000043</v>
      </c>
      <c r="AM93" s="73">
        <f t="shared" si="36"/>
        <v>107.16000000000001</v>
      </c>
      <c r="AN93" s="73">
        <f t="shared" si="36"/>
        <v>68.292000000000002</v>
      </c>
      <c r="AO93" s="73">
        <f t="shared" si="36"/>
        <v>56.54000000000002</v>
      </c>
      <c r="AP93" s="73">
        <f t="shared" si="36"/>
        <v>72.018000000000029</v>
      </c>
      <c r="AQ93" s="73">
        <f t="shared" si="36"/>
        <v>28.062000000000012</v>
      </c>
      <c r="AR93" s="73">
        <f t="shared" si="36"/>
        <v>27.745000000000005</v>
      </c>
      <c r="AS93" s="73">
        <f t="shared" si="36"/>
        <v>55.854000000000042</v>
      </c>
      <c r="AT93" s="73">
        <f t="shared" si="36"/>
        <v>26.341999999999985</v>
      </c>
      <c r="AU93" s="73">
        <f t="shared" si="36"/>
        <v>32.78600000000003</v>
      </c>
      <c r="AV93" s="73">
        <f t="shared" si="36"/>
        <v>15.80400000000003</v>
      </c>
      <c r="AW93" s="73">
        <f t="shared" si="36"/>
        <v>67.902999999999963</v>
      </c>
      <c r="AX93" s="73">
        <f t="shared" si="36"/>
        <v>25.975999999999999</v>
      </c>
      <c r="AY93" s="69">
        <f t="shared" si="34"/>
        <v>55.674666666666674</v>
      </c>
      <c r="AZ93" s="73"/>
      <c r="BA93" s="73"/>
    </row>
    <row r="94" spans="1:53">
      <c r="A94" s="2"/>
      <c r="AY94" s="69"/>
    </row>
    <row r="95" spans="1:53">
      <c r="A95" s="2"/>
      <c r="B95" s="78" t="s">
        <v>15</v>
      </c>
      <c r="C95" s="68">
        <f>AVERAGE(C93:AX93)</f>
        <v>55.674666666666674</v>
      </c>
      <c r="AY95" s="69"/>
    </row>
    <row r="96" spans="1:53">
      <c r="A96" s="2"/>
      <c r="B96" s="78" t="s">
        <v>71</v>
      </c>
      <c r="C96" s="9">
        <f>MEDIAN(C93:AX93)</f>
        <v>53.400000000000034</v>
      </c>
      <c r="AY96" s="69"/>
    </row>
    <row r="97" spans="1:51">
      <c r="A97" s="2"/>
      <c r="B97" s="78" t="s">
        <v>72</v>
      </c>
      <c r="C97" s="68">
        <f t="shared" ref="C97:C98" si="37">AVERAGE(C91:AX91)</f>
        <v>189.53010416666666</v>
      </c>
      <c r="AY97" s="69"/>
    </row>
    <row r="98" spans="1:51">
      <c r="A98" s="2"/>
      <c r="B98" s="78" t="s">
        <v>73</v>
      </c>
      <c r="C98" s="68">
        <f t="shared" si="37"/>
        <v>133.85543750000002</v>
      </c>
      <c r="AY98" s="69"/>
    </row>
    <row r="99" spans="1:51">
      <c r="A99" s="2"/>
      <c r="AY99" s="69"/>
    </row>
    <row r="100" spans="1:51">
      <c r="A100" s="2"/>
      <c r="AY100" s="69"/>
    </row>
    <row r="101" spans="1:51">
      <c r="A101" s="2"/>
      <c r="B101" s="185"/>
      <c r="C101" s="185"/>
      <c r="AY101" s="69"/>
    </row>
    <row r="102" spans="1:51">
      <c r="A102" s="2"/>
      <c r="B102" s="186"/>
      <c r="C102" s="186"/>
      <c r="AY102" s="69"/>
    </row>
    <row r="103" spans="1:51">
      <c r="A103" s="2"/>
      <c r="B103" s="185"/>
      <c r="C103" s="186"/>
      <c r="AY103" s="69"/>
    </row>
    <row r="104" spans="1:51">
      <c r="A104" s="2"/>
      <c r="B104" s="186"/>
      <c r="C104" s="186"/>
      <c r="AY104" s="69"/>
    </row>
    <row r="105" spans="1:51">
      <c r="A105" s="2"/>
      <c r="B105" s="185"/>
      <c r="C105" s="186"/>
      <c r="AY105" s="69"/>
    </row>
    <row r="106" spans="1:51">
      <c r="A106" s="2"/>
      <c r="B106" s="186"/>
      <c r="C106" s="186"/>
      <c r="AY106" s="69"/>
    </row>
    <row r="107" spans="1:51">
      <c r="A107" s="2"/>
      <c r="B107" s="185"/>
      <c r="C107" s="186"/>
      <c r="AY107" s="69"/>
    </row>
    <row r="108" spans="1:51">
      <c r="A108" s="2"/>
      <c r="B108" s="186"/>
      <c r="C108" s="186"/>
      <c r="AY108" s="69"/>
    </row>
    <row r="109" spans="1:51">
      <c r="A109" s="2"/>
      <c r="B109" s="185"/>
      <c r="C109" s="186"/>
      <c r="AY109" s="69"/>
    </row>
    <row r="110" spans="1:51">
      <c r="A110" s="2"/>
      <c r="B110" s="185"/>
      <c r="C110" s="185"/>
      <c r="AY110" s="69"/>
    </row>
    <row r="111" spans="1:51">
      <c r="A111" s="2"/>
      <c r="B111" s="185"/>
      <c r="C111" s="185"/>
      <c r="AY111" s="69"/>
    </row>
    <row r="112" spans="1:51">
      <c r="A112" s="2"/>
      <c r="B112" s="185"/>
      <c r="C112" s="185"/>
      <c r="AY112" s="69"/>
    </row>
    <row r="113" spans="1:51">
      <c r="A113" s="2"/>
      <c r="AY113" s="69"/>
    </row>
    <row r="114" spans="1:51">
      <c r="A114" s="2"/>
      <c r="AY114" s="69"/>
    </row>
    <row r="115" spans="1:51">
      <c r="A115" s="2"/>
      <c r="AY115" s="69"/>
    </row>
    <row r="116" spans="1:51">
      <c r="A116" s="2"/>
      <c r="AY116" s="69"/>
    </row>
    <row r="117" spans="1:51">
      <c r="A117" s="2"/>
      <c r="AY117" s="69"/>
    </row>
    <row r="118" spans="1:51">
      <c r="A118" s="2"/>
      <c r="AY118" s="69"/>
    </row>
    <row r="119" spans="1:51">
      <c r="A119" s="2"/>
      <c r="AY119" s="69"/>
    </row>
    <row r="120" spans="1:51">
      <c r="A120" s="2"/>
      <c r="AY120" s="69"/>
    </row>
    <row r="121" spans="1:51">
      <c r="A121" s="2"/>
      <c r="AY121" s="69"/>
    </row>
    <row r="122" spans="1:51">
      <c r="A122" s="2"/>
      <c r="AY122" s="69"/>
    </row>
    <row r="123" spans="1:51">
      <c r="A123" s="2"/>
      <c r="AY123" s="69"/>
    </row>
    <row r="124" spans="1:51">
      <c r="A124" s="2"/>
      <c r="AY124" s="69"/>
    </row>
    <row r="125" spans="1:51">
      <c r="A125" s="2"/>
      <c r="AY125" s="69"/>
    </row>
    <row r="126" spans="1:51">
      <c r="A126" s="2"/>
      <c r="AY126" s="69"/>
    </row>
    <row r="127" spans="1:51">
      <c r="A127" s="2"/>
      <c r="AY127" s="69"/>
    </row>
    <row r="128" spans="1:51">
      <c r="A128" s="2"/>
      <c r="AY128" s="69"/>
    </row>
    <row r="129" spans="1:51">
      <c r="A129" s="2"/>
      <c r="AY129" s="69"/>
    </row>
    <row r="130" spans="1:51">
      <c r="A130" s="2"/>
      <c r="AY130" s="69"/>
    </row>
    <row r="131" spans="1:51">
      <c r="A131" s="2"/>
      <c r="AY131" s="69"/>
    </row>
    <row r="132" spans="1:51">
      <c r="A132" s="2"/>
      <c r="AY132" s="69"/>
    </row>
    <row r="133" spans="1:51">
      <c r="A133" s="2"/>
      <c r="AY133" s="69"/>
    </row>
    <row r="134" spans="1:51">
      <c r="A134" s="2"/>
      <c r="AY134" s="69"/>
    </row>
    <row r="135" spans="1:51">
      <c r="A135" s="2"/>
      <c r="AY135" s="69"/>
    </row>
    <row r="136" spans="1:51">
      <c r="A136" s="2"/>
      <c r="AY136" s="69"/>
    </row>
    <row r="137" spans="1:51">
      <c r="A137" s="2"/>
      <c r="AY137" s="69"/>
    </row>
    <row r="138" spans="1:51">
      <c r="A138" s="2"/>
      <c r="AY138" s="69"/>
    </row>
    <row r="139" spans="1:51">
      <c r="A139" s="2"/>
      <c r="AY139" s="69"/>
    </row>
    <row r="140" spans="1:51">
      <c r="A140" s="2"/>
      <c r="AY140" s="69"/>
    </row>
    <row r="141" spans="1:51">
      <c r="A141" s="2"/>
      <c r="AY141" s="69"/>
    </row>
    <row r="142" spans="1:51">
      <c r="A142" s="2"/>
      <c r="AY142" s="69"/>
    </row>
    <row r="143" spans="1:51">
      <c r="A143" s="2"/>
      <c r="AY143" s="69"/>
    </row>
    <row r="144" spans="1:51">
      <c r="A144" s="2"/>
      <c r="AY144" s="69"/>
    </row>
    <row r="145" spans="1:51">
      <c r="A145" s="2"/>
      <c r="AY145" s="69"/>
    </row>
    <row r="146" spans="1:51">
      <c r="A146" s="2"/>
      <c r="AY146" s="69"/>
    </row>
    <row r="147" spans="1:51">
      <c r="A147" s="2"/>
      <c r="AY147" s="69"/>
    </row>
    <row r="148" spans="1:51">
      <c r="A148" s="2"/>
      <c r="AY148" s="69"/>
    </row>
    <row r="149" spans="1:51">
      <c r="A149" s="2"/>
      <c r="AY149" s="69"/>
    </row>
    <row r="150" spans="1:51">
      <c r="A150" s="2"/>
      <c r="AY150" s="69"/>
    </row>
    <row r="151" spans="1:51">
      <c r="A151" s="2"/>
      <c r="AY151" s="69"/>
    </row>
    <row r="152" spans="1:51">
      <c r="A152" s="2"/>
      <c r="AY152" s="69"/>
    </row>
    <row r="153" spans="1:51">
      <c r="A153" s="2"/>
      <c r="AY153" s="69"/>
    </row>
    <row r="154" spans="1:51">
      <c r="A154" s="2"/>
      <c r="AY154" s="69"/>
    </row>
    <row r="155" spans="1:51">
      <c r="A155" s="2"/>
      <c r="AY155" s="69"/>
    </row>
    <row r="156" spans="1:51">
      <c r="A156" s="2"/>
      <c r="AY156" s="69"/>
    </row>
    <row r="157" spans="1:51">
      <c r="A157" s="2"/>
      <c r="AY157" s="69"/>
    </row>
    <row r="158" spans="1:51">
      <c r="A158" s="2"/>
      <c r="AY158" s="69"/>
    </row>
    <row r="159" spans="1:51">
      <c r="A159" s="2"/>
      <c r="AY159" s="69"/>
    </row>
    <row r="160" spans="1:51">
      <c r="A160" s="2"/>
      <c r="AY160" s="69"/>
    </row>
    <row r="161" spans="1:51">
      <c r="A161" s="2"/>
      <c r="AY161" s="69"/>
    </row>
    <row r="162" spans="1:51">
      <c r="A162" s="2"/>
      <c r="AY162" s="69"/>
    </row>
    <row r="163" spans="1:51">
      <c r="A163" s="2"/>
      <c r="AY163" s="69"/>
    </row>
    <row r="164" spans="1:51">
      <c r="A164" s="2"/>
      <c r="AY164" s="69"/>
    </row>
    <row r="165" spans="1:51">
      <c r="A165" s="2"/>
      <c r="AY165" s="69"/>
    </row>
    <row r="166" spans="1:51">
      <c r="A166" s="2"/>
      <c r="AY166" s="69"/>
    </row>
    <row r="167" spans="1:51">
      <c r="A167" s="2"/>
      <c r="AY167" s="69"/>
    </row>
    <row r="168" spans="1:51">
      <c r="A168" s="2"/>
      <c r="AY168" s="69"/>
    </row>
    <row r="169" spans="1:51">
      <c r="A169" s="2"/>
      <c r="AY169" s="69"/>
    </row>
    <row r="170" spans="1:51">
      <c r="A170" s="2"/>
      <c r="AY170" s="69"/>
    </row>
    <row r="171" spans="1:51">
      <c r="A171" s="2"/>
      <c r="AY171" s="69"/>
    </row>
    <row r="172" spans="1:51">
      <c r="A172" s="2"/>
      <c r="AY172" s="69"/>
    </row>
    <row r="173" spans="1:51">
      <c r="A173" s="2"/>
      <c r="AY173" s="69"/>
    </row>
    <row r="174" spans="1:51">
      <c r="A174" s="2"/>
      <c r="AY174" s="69"/>
    </row>
    <row r="175" spans="1:51">
      <c r="A175" s="2"/>
      <c r="AY175" s="69"/>
    </row>
    <row r="176" spans="1:51">
      <c r="A176" s="2"/>
      <c r="AY176" s="69"/>
    </row>
    <row r="177" spans="1:51">
      <c r="A177" s="2"/>
      <c r="AY177" s="69"/>
    </row>
    <row r="178" spans="1:51">
      <c r="A178" s="2"/>
      <c r="AY178" s="69"/>
    </row>
    <row r="179" spans="1:51">
      <c r="A179" s="2"/>
      <c r="AY179" s="69"/>
    </row>
    <row r="180" spans="1:51">
      <c r="A180" s="2"/>
      <c r="AY180" s="69"/>
    </row>
    <row r="181" spans="1:51">
      <c r="A181" s="2"/>
      <c r="AY181" s="69"/>
    </row>
    <row r="182" spans="1:51">
      <c r="A182" s="2"/>
      <c r="AY182" s="69"/>
    </row>
    <row r="183" spans="1:51">
      <c r="A183" s="2"/>
      <c r="AY183" s="69"/>
    </row>
    <row r="184" spans="1:51">
      <c r="A184" s="2"/>
      <c r="AY184" s="69"/>
    </row>
    <row r="185" spans="1:51">
      <c r="A185" s="2"/>
      <c r="AY185" s="69"/>
    </row>
    <row r="186" spans="1:51">
      <c r="A186" s="2"/>
      <c r="AY186" s="69"/>
    </row>
    <row r="187" spans="1:51">
      <c r="A187" s="2"/>
      <c r="AY187" s="69"/>
    </row>
    <row r="188" spans="1:51">
      <c r="A188" s="2"/>
      <c r="AY188" s="69"/>
    </row>
    <row r="189" spans="1:51">
      <c r="A189" s="2"/>
      <c r="AY189" s="69"/>
    </row>
    <row r="190" spans="1:51">
      <c r="A190" s="2"/>
      <c r="AY190" s="69"/>
    </row>
    <row r="191" spans="1:51">
      <c r="A191" s="2"/>
      <c r="AY191" s="69"/>
    </row>
    <row r="192" spans="1:51">
      <c r="A192" s="2"/>
      <c r="AY192" s="69"/>
    </row>
    <row r="193" spans="1:51">
      <c r="A193" s="2"/>
      <c r="AY193" s="69"/>
    </row>
    <row r="194" spans="1:51">
      <c r="A194" s="2"/>
      <c r="AY194" s="69"/>
    </row>
    <row r="195" spans="1:51">
      <c r="A195" s="2"/>
      <c r="AY195" s="69"/>
    </row>
    <row r="196" spans="1:51">
      <c r="A196" s="2"/>
      <c r="AY196" s="69"/>
    </row>
    <row r="197" spans="1:51">
      <c r="A197" s="2"/>
      <c r="AY197" s="69"/>
    </row>
    <row r="198" spans="1:51">
      <c r="A198" s="2"/>
      <c r="AY198" s="69"/>
    </row>
    <row r="199" spans="1:51">
      <c r="A199" s="2"/>
      <c r="AY199" s="69"/>
    </row>
    <row r="200" spans="1:51">
      <c r="A200" s="2"/>
      <c r="AY200" s="69"/>
    </row>
    <row r="201" spans="1:51">
      <c r="A201" s="2"/>
      <c r="AY201" s="69"/>
    </row>
    <row r="202" spans="1:51">
      <c r="A202" s="2"/>
      <c r="AY202" s="69"/>
    </row>
    <row r="203" spans="1:51">
      <c r="A203" s="2"/>
      <c r="AY203" s="69"/>
    </row>
    <row r="204" spans="1:51">
      <c r="A204" s="2"/>
      <c r="AY204" s="69"/>
    </row>
    <row r="205" spans="1:51">
      <c r="A205" s="2"/>
      <c r="AY205" s="69"/>
    </row>
    <row r="206" spans="1:51">
      <c r="A206" s="2"/>
      <c r="AY206" s="69"/>
    </row>
    <row r="207" spans="1:51">
      <c r="A207" s="2"/>
      <c r="AY207" s="69"/>
    </row>
    <row r="208" spans="1:51">
      <c r="A208" s="2"/>
      <c r="AY208" s="69"/>
    </row>
    <row r="209" spans="1:51">
      <c r="A209" s="2"/>
      <c r="AY209" s="69"/>
    </row>
    <row r="210" spans="1:51">
      <c r="A210" s="2"/>
      <c r="AY210" s="69"/>
    </row>
    <row r="211" spans="1:51">
      <c r="A211" s="2"/>
      <c r="AY211" s="69"/>
    </row>
    <row r="212" spans="1:51">
      <c r="A212" s="2"/>
      <c r="AY212" s="69"/>
    </row>
    <row r="213" spans="1:51">
      <c r="A213" s="2"/>
      <c r="AY213" s="69"/>
    </row>
    <row r="214" spans="1:51">
      <c r="A214" s="2"/>
      <c r="AY214" s="69"/>
    </row>
    <row r="215" spans="1:51">
      <c r="A215" s="2"/>
      <c r="AY215" s="69"/>
    </row>
    <row r="216" spans="1:51">
      <c r="A216" s="2"/>
      <c r="AY216" s="69"/>
    </row>
    <row r="217" spans="1:51">
      <c r="A217" s="2"/>
      <c r="AY217" s="69"/>
    </row>
    <row r="218" spans="1:51">
      <c r="A218" s="2"/>
      <c r="AY218" s="69"/>
    </row>
    <row r="219" spans="1:51">
      <c r="A219" s="2"/>
      <c r="AY219" s="69"/>
    </row>
    <row r="220" spans="1:51">
      <c r="A220" s="2"/>
      <c r="AY220" s="69"/>
    </row>
    <row r="221" spans="1:51">
      <c r="A221" s="2"/>
      <c r="AY221" s="69"/>
    </row>
    <row r="222" spans="1:51">
      <c r="A222" s="2"/>
      <c r="AY222" s="69"/>
    </row>
    <row r="223" spans="1:51">
      <c r="A223" s="2"/>
      <c r="AY223" s="69"/>
    </row>
    <row r="224" spans="1:51">
      <c r="A224" s="2"/>
      <c r="AY224" s="69"/>
    </row>
    <row r="225" spans="1:51">
      <c r="A225" s="2"/>
      <c r="AY225" s="69"/>
    </row>
    <row r="226" spans="1:51">
      <c r="A226" s="2"/>
      <c r="AY226" s="69"/>
    </row>
    <row r="227" spans="1:51">
      <c r="A227" s="2"/>
      <c r="AY227" s="69"/>
    </row>
    <row r="228" spans="1:51">
      <c r="A228" s="2"/>
      <c r="AY228" s="69"/>
    </row>
    <row r="229" spans="1:51">
      <c r="A229" s="2"/>
      <c r="AY229" s="69"/>
    </row>
    <row r="230" spans="1:51">
      <c r="A230" s="2"/>
      <c r="AY230" s="69"/>
    </row>
    <row r="231" spans="1:51">
      <c r="A231" s="2"/>
      <c r="AY231" s="69"/>
    </row>
    <row r="232" spans="1:51">
      <c r="A232" s="2"/>
      <c r="AY232" s="69"/>
    </row>
    <row r="233" spans="1:51">
      <c r="A233" s="2"/>
      <c r="AY233" s="69"/>
    </row>
    <row r="234" spans="1:51">
      <c r="A234" s="2"/>
      <c r="AY234" s="69"/>
    </row>
    <row r="235" spans="1:51">
      <c r="A235" s="2"/>
      <c r="AY235" s="69"/>
    </row>
    <row r="236" spans="1:51">
      <c r="A236" s="2"/>
      <c r="AY236" s="69"/>
    </row>
    <row r="237" spans="1:51">
      <c r="A237" s="2"/>
      <c r="AY237" s="69"/>
    </row>
    <row r="238" spans="1:51">
      <c r="A238" s="2"/>
      <c r="AY238" s="69"/>
    </row>
    <row r="239" spans="1:51">
      <c r="A239" s="2"/>
      <c r="AY239" s="69"/>
    </row>
    <row r="240" spans="1:51">
      <c r="A240" s="2"/>
      <c r="AY240" s="69"/>
    </row>
    <row r="241" spans="1:51">
      <c r="A241" s="2"/>
      <c r="AY241" s="69"/>
    </row>
    <row r="242" spans="1:51">
      <c r="A242" s="2"/>
      <c r="AY242" s="69"/>
    </row>
    <row r="243" spans="1:51">
      <c r="A243" s="2"/>
      <c r="AY243" s="69"/>
    </row>
    <row r="244" spans="1:51">
      <c r="A244" s="2"/>
      <c r="AY244" s="69"/>
    </row>
    <row r="245" spans="1:51">
      <c r="A245" s="2"/>
      <c r="AY245" s="69"/>
    </row>
    <row r="246" spans="1:51">
      <c r="A246" s="2"/>
      <c r="AY246" s="69"/>
    </row>
    <row r="247" spans="1:51">
      <c r="A247" s="2"/>
      <c r="AY247" s="69"/>
    </row>
    <row r="248" spans="1:51">
      <c r="A248" s="2"/>
      <c r="AY248" s="69"/>
    </row>
    <row r="249" spans="1:51">
      <c r="A249" s="2"/>
      <c r="AY249" s="69"/>
    </row>
    <row r="250" spans="1:51">
      <c r="A250" s="2"/>
      <c r="AY250" s="69"/>
    </row>
    <row r="251" spans="1:51">
      <c r="A251" s="2"/>
      <c r="AY251" s="69"/>
    </row>
    <row r="252" spans="1:51">
      <c r="A252" s="2"/>
      <c r="AY252" s="69"/>
    </row>
    <row r="253" spans="1:51">
      <c r="A253" s="2"/>
      <c r="AY253" s="69"/>
    </row>
    <row r="254" spans="1:51">
      <c r="A254" s="2"/>
      <c r="AY254" s="69"/>
    </row>
    <row r="255" spans="1:51">
      <c r="A255" s="2"/>
      <c r="AY255" s="69"/>
    </row>
    <row r="256" spans="1:51">
      <c r="A256" s="2"/>
      <c r="AY256" s="69"/>
    </row>
    <row r="257" spans="1:51">
      <c r="A257" s="2"/>
      <c r="AY257" s="69"/>
    </row>
    <row r="258" spans="1:51">
      <c r="A258" s="2"/>
      <c r="AY258" s="69"/>
    </row>
    <row r="259" spans="1:51">
      <c r="A259" s="2"/>
      <c r="AY259" s="69"/>
    </row>
    <row r="260" spans="1:51">
      <c r="A260" s="2"/>
      <c r="AY260" s="69"/>
    </row>
    <row r="261" spans="1:51">
      <c r="A261" s="2"/>
      <c r="AY261" s="69"/>
    </row>
    <row r="262" spans="1:51">
      <c r="A262" s="2"/>
      <c r="AY262" s="69"/>
    </row>
    <row r="263" spans="1:51">
      <c r="A263" s="2"/>
      <c r="AY263" s="69"/>
    </row>
    <row r="264" spans="1:51">
      <c r="A264" s="2"/>
      <c r="AY264" s="69"/>
    </row>
    <row r="265" spans="1:51">
      <c r="A265" s="2"/>
      <c r="AY265" s="69"/>
    </row>
    <row r="266" spans="1:51">
      <c r="A266" s="2"/>
      <c r="AY266" s="69"/>
    </row>
    <row r="267" spans="1:51">
      <c r="A267" s="2"/>
      <c r="AY267" s="69"/>
    </row>
    <row r="268" spans="1:51">
      <c r="A268" s="2"/>
      <c r="AY268" s="69"/>
    </row>
    <row r="269" spans="1:51">
      <c r="A269" s="2"/>
      <c r="AY269" s="69"/>
    </row>
    <row r="270" spans="1:51">
      <c r="A270" s="2"/>
      <c r="AY270" s="69"/>
    </row>
    <row r="271" spans="1:51">
      <c r="A271" s="2"/>
      <c r="AY271" s="69"/>
    </row>
    <row r="272" spans="1:51">
      <c r="A272" s="2"/>
      <c r="AY272" s="69"/>
    </row>
    <row r="273" spans="1:51">
      <c r="A273" s="2"/>
      <c r="AY273" s="69"/>
    </row>
    <row r="274" spans="1:51">
      <c r="A274" s="2"/>
      <c r="AY274" s="69"/>
    </row>
    <row r="275" spans="1:51">
      <c r="A275" s="2"/>
      <c r="AY275" s="69"/>
    </row>
    <row r="276" spans="1:51">
      <c r="A276" s="2"/>
      <c r="AY276" s="69"/>
    </row>
    <row r="277" spans="1:51">
      <c r="A277" s="2"/>
      <c r="AY277" s="69"/>
    </row>
    <row r="278" spans="1:51">
      <c r="A278" s="2"/>
      <c r="AY278" s="69"/>
    </row>
    <row r="279" spans="1:51">
      <c r="A279" s="2"/>
      <c r="AY279" s="69"/>
    </row>
    <row r="280" spans="1:51">
      <c r="A280" s="2"/>
      <c r="AY280" s="69"/>
    </row>
    <row r="281" spans="1:51">
      <c r="A281" s="2"/>
      <c r="AY281" s="69"/>
    </row>
    <row r="282" spans="1:51">
      <c r="A282" s="2"/>
      <c r="AY282" s="69"/>
    </row>
    <row r="283" spans="1:51">
      <c r="A283" s="2"/>
      <c r="AY283" s="69"/>
    </row>
    <row r="284" spans="1:51">
      <c r="A284" s="2"/>
      <c r="AY284" s="69"/>
    </row>
    <row r="285" spans="1:51">
      <c r="A285" s="2"/>
      <c r="AY285" s="69"/>
    </row>
    <row r="286" spans="1:51">
      <c r="A286" s="2"/>
      <c r="AY286" s="69"/>
    </row>
    <row r="287" spans="1:51">
      <c r="A287" s="2"/>
      <c r="AY287" s="69"/>
    </row>
    <row r="288" spans="1:51">
      <c r="A288" s="2"/>
      <c r="AY288" s="69"/>
    </row>
    <row r="289" spans="1:51">
      <c r="A289" s="2"/>
      <c r="AY289" s="69"/>
    </row>
    <row r="290" spans="1:51">
      <c r="A290" s="2"/>
      <c r="AY290" s="69"/>
    </row>
    <row r="291" spans="1:51">
      <c r="A291" s="2"/>
      <c r="AY291" s="69"/>
    </row>
    <row r="292" spans="1:51">
      <c r="A292" s="2"/>
      <c r="AY292" s="69"/>
    </row>
    <row r="293" spans="1:51">
      <c r="A293" s="2"/>
      <c r="AY293" s="69"/>
    </row>
    <row r="294" spans="1:51">
      <c r="A294" s="2"/>
      <c r="AY294" s="69"/>
    </row>
    <row r="295" spans="1:51">
      <c r="A295" s="2"/>
      <c r="AY295" s="69"/>
    </row>
    <row r="296" spans="1:51">
      <c r="A296" s="2"/>
      <c r="AY296" s="69"/>
    </row>
    <row r="297" spans="1:51">
      <c r="A297" s="2"/>
      <c r="AY297" s="69"/>
    </row>
    <row r="298" spans="1:51">
      <c r="A298" s="2"/>
      <c r="AY298" s="69"/>
    </row>
    <row r="299" spans="1:51">
      <c r="A299" s="2"/>
      <c r="AY299" s="69"/>
    </row>
    <row r="300" spans="1:51">
      <c r="A300" s="2"/>
      <c r="AY300" s="69"/>
    </row>
    <row r="301" spans="1:51">
      <c r="A301" s="2"/>
      <c r="AY301" s="69"/>
    </row>
    <row r="302" spans="1:51">
      <c r="A302" s="2"/>
      <c r="AY302" s="69"/>
    </row>
    <row r="303" spans="1:51">
      <c r="A303" s="2"/>
      <c r="AY303" s="69"/>
    </row>
    <row r="304" spans="1:51">
      <c r="A304" s="2"/>
      <c r="AY304" s="69"/>
    </row>
    <row r="305" spans="1:51">
      <c r="A305" s="2"/>
      <c r="AY305" s="69"/>
    </row>
    <row r="306" spans="1:51">
      <c r="A306" s="2"/>
      <c r="AY306" s="69"/>
    </row>
    <row r="307" spans="1:51">
      <c r="A307" s="2"/>
      <c r="AY307" s="69"/>
    </row>
    <row r="308" spans="1:51">
      <c r="A308" s="2"/>
      <c r="AY308" s="69"/>
    </row>
    <row r="309" spans="1:51">
      <c r="A309" s="2"/>
      <c r="AY309" s="69"/>
    </row>
    <row r="310" spans="1:51">
      <c r="A310" s="2"/>
      <c r="AY310" s="69"/>
    </row>
    <row r="311" spans="1:51">
      <c r="A311" s="2"/>
      <c r="AY311" s="69"/>
    </row>
    <row r="312" spans="1:51">
      <c r="A312" s="2"/>
      <c r="AY312" s="69"/>
    </row>
    <row r="313" spans="1:51">
      <c r="A313" s="2"/>
      <c r="AY313" s="69"/>
    </row>
    <row r="314" spans="1:51">
      <c r="A314" s="2"/>
      <c r="AY314" s="69"/>
    </row>
    <row r="315" spans="1:51">
      <c r="A315" s="2"/>
      <c r="AY315" s="69"/>
    </row>
    <row r="316" spans="1:51">
      <c r="A316" s="2"/>
      <c r="AY316" s="69"/>
    </row>
    <row r="317" spans="1:51">
      <c r="A317" s="2"/>
      <c r="AY317" s="69"/>
    </row>
    <row r="318" spans="1:51">
      <c r="A318" s="2"/>
      <c r="AY318" s="69"/>
    </row>
    <row r="319" spans="1:51">
      <c r="A319" s="2"/>
      <c r="AY319" s="69"/>
    </row>
    <row r="320" spans="1:51">
      <c r="A320" s="2"/>
      <c r="AY320" s="69"/>
    </row>
    <row r="321" spans="1:51">
      <c r="A321" s="2"/>
      <c r="AY321" s="69"/>
    </row>
    <row r="322" spans="1:51">
      <c r="A322" s="2"/>
      <c r="AY322" s="69"/>
    </row>
    <row r="323" spans="1:51">
      <c r="A323" s="2"/>
      <c r="AY323" s="69"/>
    </row>
    <row r="324" spans="1:51">
      <c r="A324" s="2"/>
      <c r="AY324" s="69"/>
    </row>
    <row r="325" spans="1:51">
      <c r="A325" s="2"/>
      <c r="AY325" s="69"/>
    </row>
    <row r="326" spans="1:51">
      <c r="A326" s="2"/>
      <c r="AY326" s="69"/>
    </row>
    <row r="327" spans="1:51">
      <c r="A327" s="2"/>
      <c r="AY327" s="69"/>
    </row>
    <row r="328" spans="1:51">
      <c r="A328" s="2"/>
      <c r="AY328" s="69"/>
    </row>
    <row r="329" spans="1:51">
      <c r="A329" s="2"/>
      <c r="AY329" s="69"/>
    </row>
    <row r="330" spans="1:51">
      <c r="A330" s="2"/>
      <c r="AY330" s="69"/>
    </row>
    <row r="331" spans="1:51">
      <c r="A331" s="2"/>
      <c r="AY331" s="69"/>
    </row>
    <row r="332" spans="1:51">
      <c r="A332" s="2"/>
      <c r="AY332" s="69"/>
    </row>
    <row r="333" spans="1:51">
      <c r="A333" s="2"/>
      <c r="AY333" s="69"/>
    </row>
    <row r="334" spans="1:51">
      <c r="A334" s="2"/>
      <c r="AY334" s="69"/>
    </row>
    <row r="335" spans="1:51">
      <c r="A335" s="2"/>
      <c r="AY335" s="69"/>
    </row>
    <row r="336" spans="1:51">
      <c r="A336" s="2"/>
      <c r="AY336" s="69"/>
    </row>
    <row r="337" spans="1:51">
      <c r="A337" s="2"/>
      <c r="AY337" s="69"/>
    </row>
    <row r="338" spans="1:51">
      <c r="A338" s="2"/>
      <c r="AY338" s="69"/>
    </row>
    <row r="339" spans="1:51">
      <c r="A339" s="2"/>
      <c r="AY339" s="69"/>
    </row>
    <row r="340" spans="1:51">
      <c r="A340" s="2"/>
      <c r="AY340" s="69"/>
    </row>
    <row r="341" spans="1:51">
      <c r="A341" s="2"/>
      <c r="AY341" s="69"/>
    </row>
    <row r="342" spans="1:51">
      <c r="A342" s="2"/>
      <c r="AY342" s="69"/>
    </row>
    <row r="343" spans="1:51">
      <c r="A343" s="2"/>
      <c r="AY343" s="69"/>
    </row>
    <row r="344" spans="1:51">
      <c r="A344" s="2"/>
      <c r="AY344" s="69"/>
    </row>
    <row r="345" spans="1:51">
      <c r="A345" s="2"/>
      <c r="AY345" s="69"/>
    </row>
    <row r="346" spans="1:51">
      <c r="A346" s="2"/>
      <c r="AY346" s="69"/>
    </row>
    <row r="347" spans="1:51">
      <c r="A347" s="2"/>
      <c r="AY347" s="69"/>
    </row>
    <row r="348" spans="1:51">
      <c r="A348" s="2"/>
      <c r="AY348" s="69"/>
    </row>
    <row r="349" spans="1:51">
      <c r="A349" s="2"/>
      <c r="AY349" s="69"/>
    </row>
    <row r="350" spans="1:51">
      <c r="A350" s="2"/>
      <c r="AY350" s="69"/>
    </row>
    <row r="351" spans="1:51">
      <c r="A351" s="2"/>
      <c r="AY351" s="69"/>
    </row>
    <row r="352" spans="1:51">
      <c r="A352" s="2"/>
      <c r="AY352" s="69"/>
    </row>
    <row r="353" spans="1:51">
      <c r="A353" s="2"/>
      <c r="AY353" s="69"/>
    </row>
    <row r="354" spans="1:51">
      <c r="A354" s="2"/>
      <c r="AY354" s="69"/>
    </row>
    <row r="355" spans="1:51">
      <c r="A355" s="2"/>
      <c r="AY355" s="69"/>
    </row>
    <row r="356" spans="1:51">
      <c r="A356" s="2"/>
      <c r="AY356" s="69"/>
    </row>
    <row r="357" spans="1:51">
      <c r="A357" s="2"/>
      <c r="AY357" s="69"/>
    </row>
    <row r="358" spans="1:51">
      <c r="A358" s="2"/>
      <c r="AY358" s="69"/>
    </row>
    <row r="359" spans="1:51">
      <c r="A359" s="2"/>
      <c r="AY359" s="69"/>
    </row>
    <row r="360" spans="1:51">
      <c r="A360" s="2"/>
      <c r="AY360" s="69"/>
    </row>
    <row r="361" spans="1:51">
      <c r="A361" s="2"/>
      <c r="AY361" s="69"/>
    </row>
    <row r="362" spans="1:51">
      <c r="A362" s="2"/>
      <c r="AY362" s="69"/>
    </row>
    <row r="363" spans="1:51">
      <c r="A363" s="2"/>
      <c r="AY363" s="69"/>
    </row>
    <row r="364" spans="1:51">
      <c r="A364" s="2"/>
      <c r="AY364" s="69"/>
    </row>
    <row r="365" spans="1:51">
      <c r="A365" s="2"/>
      <c r="AY365" s="69"/>
    </row>
    <row r="366" spans="1:51">
      <c r="A366" s="2"/>
      <c r="AY366" s="69"/>
    </row>
    <row r="367" spans="1:51">
      <c r="A367" s="2"/>
      <c r="AY367" s="69"/>
    </row>
    <row r="368" spans="1:51">
      <c r="A368" s="2"/>
      <c r="AY368" s="69"/>
    </row>
    <row r="369" spans="1:51">
      <c r="A369" s="2"/>
      <c r="AY369" s="69"/>
    </row>
    <row r="370" spans="1:51">
      <c r="A370" s="2"/>
      <c r="AY370" s="69"/>
    </row>
    <row r="371" spans="1:51">
      <c r="A371" s="2"/>
      <c r="AY371" s="69"/>
    </row>
    <row r="372" spans="1:51">
      <c r="A372" s="2"/>
      <c r="AY372" s="69"/>
    </row>
    <row r="373" spans="1:51">
      <c r="A373" s="2"/>
      <c r="AY373" s="69"/>
    </row>
    <row r="374" spans="1:51">
      <c r="A374" s="2"/>
      <c r="AY374" s="69"/>
    </row>
    <row r="375" spans="1:51">
      <c r="A375" s="2"/>
      <c r="AY375" s="69"/>
    </row>
    <row r="376" spans="1:51">
      <c r="A376" s="2"/>
      <c r="AY376" s="69"/>
    </row>
    <row r="377" spans="1:51">
      <c r="A377" s="2"/>
      <c r="AY377" s="69"/>
    </row>
    <row r="378" spans="1:51">
      <c r="A378" s="2"/>
      <c r="AY378" s="69"/>
    </row>
    <row r="379" spans="1:51">
      <c r="A379" s="2"/>
      <c r="AY379" s="69"/>
    </row>
    <row r="380" spans="1:51">
      <c r="A380" s="2"/>
      <c r="AY380" s="69"/>
    </row>
    <row r="381" spans="1:51">
      <c r="A381" s="2"/>
      <c r="AY381" s="69"/>
    </row>
    <row r="382" spans="1:51">
      <c r="A382" s="2"/>
      <c r="AY382" s="69"/>
    </row>
    <row r="383" spans="1:51">
      <c r="A383" s="2"/>
      <c r="AY383" s="69"/>
    </row>
    <row r="384" spans="1:51">
      <c r="A384" s="2"/>
      <c r="AY384" s="69"/>
    </row>
    <row r="385" spans="1:51">
      <c r="A385" s="2"/>
      <c r="AY385" s="69"/>
    </row>
    <row r="386" spans="1:51">
      <c r="A386" s="2"/>
      <c r="AY386" s="69"/>
    </row>
    <row r="387" spans="1:51">
      <c r="A387" s="2"/>
      <c r="AY387" s="69"/>
    </row>
    <row r="388" spans="1:51">
      <c r="A388" s="2"/>
      <c r="AY388" s="69"/>
    </row>
    <row r="389" spans="1:51">
      <c r="A389" s="2"/>
      <c r="AY389" s="69"/>
    </row>
    <row r="390" spans="1:51">
      <c r="A390" s="2"/>
      <c r="AY390" s="69"/>
    </row>
    <row r="391" spans="1:51">
      <c r="A391" s="2"/>
      <c r="AY391" s="69"/>
    </row>
    <row r="392" spans="1:51">
      <c r="A392" s="2"/>
      <c r="AY392" s="69"/>
    </row>
    <row r="393" spans="1:51">
      <c r="A393" s="2"/>
      <c r="AY393" s="69"/>
    </row>
    <row r="394" spans="1:51">
      <c r="A394" s="2"/>
      <c r="AY394" s="69"/>
    </row>
    <row r="395" spans="1:51">
      <c r="A395" s="2"/>
      <c r="AY395" s="69"/>
    </row>
    <row r="396" spans="1:51">
      <c r="A396" s="2"/>
      <c r="AY396" s="69"/>
    </row>
    <row r="397" spans="1:51">
      <c r="A397" s="2"/>
      <c r="AY397" s="69"/>
    </row>
    <row r="398" spans="1:51">
      <c r="A398" s="2"/>
      <c r="AY398" s="69"/>
    </row>
    <row r="399" spans="1:51">
      <c r="A399" s="2"/>
      <c r="AY399" s="69"/>
    </row>
    <row r="400" spans="1:51">
      <c r="A400" s="2"/>
      <c r="AY400" s="69"/>
    </row>
    <row r="401" spans="1:51">
      <c r="A401" s="2"/>
      <c r="AY401" s="69"/>
    </row>
    <row r="402" spans="1:51">
      <c r="A402" s="2"/>
      <c r="AY402" s="69"/>
    </row>
    <row r="403" spans="1:51">
      <c r="A403" s="2"/>
      <c r="AY403" s="69"/>
    </row>
    <row r="404" spans="1:51">
      <c r="A404" s="2"/>
      <c r="AY404" s="69"/>
    </row>
    <row r="405" spans="1:51">
      <c r="A405" s="2"/>
      <c r="AY405" s="69"/>
    </row>
    <row r="406" spans="1:51">
      <c r="A406" s="2"/>
      <c r="AY406" s="69"/>
    </row>
    <row r="407" spans="1:51">
      <c r="A407" s="2"/>
      <c r="AY407" s="69"/>
    </row>
    <row r="408" spans="1:51">
      <c r="A408" s="2"/>
      <c r="AY408" s="69"/>
    </row>
    <row r="409" spans="1:51">
      <c r="A409" s="2"/>
      <c r="AY409" s="69"/>
    </row>
    <row r="410" spans="1:51">
      <c r="A410" s="2"/>
      <c r="AY410" s="69"/>
    </row>
    <row r="411" spans="1:51">
      <c r="A411" s="2"/>
      <c r="AY411" s="69"/>
    </row>
    <row r="412" spans="1:51">
      <c r="A412" s="2"/>
      <c r="AY412" s="69"/>
    </row>
    <row r="413" spans="1:51">
      <c r="A413" s="2"/>
      <c r="AY413" s="69"/>
    </row>
    <row r="414" spans="1:51">
      <c r="A414" s="2"/>
      <c r="AY414" s="69"/>
    </row>
    <row r="415" spans="1:51">
      <c r="A415" s="2"/>
      <c r="AY415" s="69"/>
    </row>
    <row r="416" spans="1:51">
      <c r="A416" s="2"/>
      <c r="AY416" s="69"/>
    </row>
    <row r="417" spans="1:51">
      <c r="A417" s="2"/>
      <c r="AY417" s="69"/>
    </row>
    <row r="418" spans="1:51">
      <c r="A418" s="2"/>
      <c r="AY418" s="69"/>
    </row>
    <row r="419" spans="1:51">
      <c r="A419" s="2"/>
      <c r="AY419" s="69"/>
    </row>
    <row r="420" spans="1:51">
      <c r="A420" s="2"/>
      <c r="AY420" s="69"/>
    </row>
    <row r="421" spans="1:51">
      <c r="A421" s="2"/>
      <c r="AY421" s="69"/>
    </row>
    <row r="422" spans="1:51">
      <c r="A422" s="2"/>
      <c r="AY422" s="69"/>
    </row>
    <row r="423" spans="1:51">
      <c r="A423" s="2"/>
      <c r="AY423" s="69"/>
    </row>
    <row r="424" spans="1:51">
      <c r="A424" s="2"/>
      <c r="AY424" s="69"/>
    </row>
    <row r="425" spans="1:51">
      <c r="A425" s="2"/>
      <c r="AY425" s="69"/>
    </row>
    <row r="426" spans="1:51">
      <c r="A426" s="2"/>
      <c r="AY426" s="69"/>
    </row>
    <row r="427" spans="1:51">
      <c r="A427" s="2"/>
      <c r="AY427" s="69"/>
    </row>
    <row r="428" spans="1:51">
      <c r="A428" s="2"/>
      <c r="AY428" s="69"/>
    </row>
    <row r="429" spans="1:51">
      <c r="A429" s="2"/>
      <c r="AY429" s="69"/>
    </row>
    <row r="430" spans="1:51">
      <c r="A430" s="2"/>
      <c r="AY430" s="69"/>
    </row>
    <row r="431" spans="1:51">
      <c r="A431" s="2"/>
      <c r="AY431" s="69"/>
    </row>
    <row r="432" spans="1:51">
      <c r="A432" s="2"/>
      <c r="AY432" s="69"/>
    </row>
    <row r="433" spans="1:51">
      <c r="A433" s="2"/>
      <c r="AY433" s="69"/>
    </row>
    <row r="434" spans="1:51">
      <c r="A434" s="2"/>
      <c r="AY434" s="69"/>
    </row>
    <row r="435" spans="1:51">
      <c r="A435" s="2"/>
      <c r="AY435" s="69"/>
    </row>
    <row r="436" spans="1:51">
      <c r="A436" s="2"/>
      <c r="AY436" s="69"/>
    </row>
    <row r="437" spans="1:51">
      <c r="A437" s="2"/>
      <c r="AY437" s="69"/>
    </row>
    <row r="438" spans="1:51">
      <c r="A438" s="2"/>
      <c r="AY438" s="69"/>
    </row>
    <row r="439" spans="1:51">
      <c r="A439" s="2"/>
      <c r="AY439" s="69"/>
    </row>
    <row r="440" spans="1:51">
      <c r="A440" s="2"/>
      <c r="AY440" s="69"/>
    </row>
    <row r="441" spans="1:51">
      <c r="A441" s="2"/>
      <c r="AY441" s="69"/>
    </row>
    <row r="442" spans="1:51">
      <c r="A442" s="2"/>
      <c r="AY442" s="69"/>
    </row>
    <row r="443" spans="1:51">
      <c r="A443" s="2"/>
      <c r="AY443" s="69"/>
    </row>
    <row r="444" spans="1:51">
      <c r="A444" s="2"/>
      <c r="AY444" s="69"/>
    </row>
    <row r="445" spans="1:51">
      <c r="A445" s="2"/>
      <c r="AY445" s="69"/>
    </row>
    <row r="446" spans="1:51">
      <c r="A446" s="2"/>
      <c r="AY446" s="69"/>
    </row>
    <row r="447" spans="1:51">
      <c r="A447" s="2"/>
      <c r="AY447" s="69"/>
    </row>
    <row r="448" spans="1:51">
      <c r="A448" s="2"/>
      <c r="AY448" s="69"/>
    </row>
    <row r="449" spans="1:51">
      <c r="A449" s="2"/>
      <c r="AY449" s="69"/>
    </row>
    <row r="450" spans="1:51">
      <c r="A450" s="2"/>
      <c r="AY450" s="69"/>
    </row>
    <row r="451" spans="1:51">
      <c r="A451" s="2"/>
      <c r="AY451" s="69"/>
    </row>
    <row r="452" spans="1:51">
      <c r="A452" s="2"/>
      <c r="AY452" s="69"/>
    </row>
    <row r="453" spans="1:51">
      <c r="A453" s="2"/>
      <c r="AY453" s="69"/>
    </row>
    <row r="454" spans="1:51">
      <c r="A454" s="2"/>
      <c r="AY454" s="69"/>
    </row>
    <row r="455" spans="1:51">
      <c r="A455" s="2"/>
      <c r="AY455" s="69"/>
    </row>
    <row r="456" spans="1:51">
      <c r="A456" s="2"/>
      <c r="AY456" s="69"/>
    </row>
    <row r="457" spans="1:51">
      <c r="A457" s="2"/>
      <c r="AY457" s="69"/>
    </row>
    <row r="458" spans="1:51">
      <c r="A458" s="2"/>
      <c r="AY458" s="69"/>
    </row>
    <row r="459" spans="1:51">
      <c r="A459" s="2"/>
      <c r="AY459" s="69"/>
    </row>
    <row r="460" spans="1:51">
      <c r="A460" s="2"/>
      <c r="AY460" s="69"/>
    </row>
    <row r="461" spans="1:51">
      <c r="A461" s="2"/>
      <c r="AY461" s="69"/>
    </row>
    <row r="462" spans="1:51">
      <c r="A462" s="2"/>
      <c r="AY462" s="69"/>
    </row>
    <row r="463" spans="1:51">
      <c r="A463" s="2"/>
      <c r="AY463" s="69"/>
    </row>
    <row r="464" spans="1:51">
      <c r="A464" s="2"/>
      <c r="AY464" s="69"/>
    </row>
    <row r="465" spans="1:51">
      <c r="A465" s="2"/>
      <c r="AY465" s="69"/>
    </row>
    <row r="466" spans="1:51">
      <c r="A466" s="2"/>
      <c r="AY466" s="69"/>
    </row>
    <row r="467" spans="1:51">
      <c r="A467" s="2"/>
      <c r="AY467" s="69"/>
    </row>
    <row r="468" spans="1:51">
      <c r="A468" s="2"/>
      <c r="AY468" s="69"/>
    </row>
    <row r="469" spans="1:51">
      <c r="A469" s="2"/>
      <c r="AY469" s="69"/>
    </row>
    <row r="470" spans="1:51">
      <c r="A470" s="2"/>
      <c r="AY470" s="69"/>
    </row>
    <row r="471" spans="1:51">
      <c r="A471" s="2"/>
      <c r="AY471" s="69"/>
    </row>
    <row r="472" spans="1:51">
      <c r="A472" s="2"/>
      <c r="AY472" s="69"/>
    </row>
    <row r="473" spans="1:51">
      <c r="A473" s="2"/>
      <c r="AY473" s="69"/>
    </row>
    <row r="474" spans="1:51">
      <c r="A474" s="2"/>
      <c r="AY474" s="69"/>
    </row>
    <row r="475" spans="1:51">
      <c r="A475" s="2"/>
      <c r="AY475" s="69"/>
    </row>
    <row r="476" spans="1:51">
      <c r="A476" s="2"/>
      <c r="AY476" s="69"/>
    </row>
    <row r="477" spans="1:51">
      <c r="A477" s="2"/>
      <c r="AY477" s="69"/>
    </row>
    <row r="478" spans="1:51">
      <c r="A478" s="2"/>
      <c r="AY478" s="69"/>
    </row>
    <row r="479" spans="1:51">
      <c r="A479" s="2"/>
      <c r="AY479" s="69"/>
    </row>
    <row r="480" spans="1:51">
      <c r="A480" s="2"/>
      <c r="AY480" s="69"/>
    </row>
    <row r="481" spans="1:51">
      <c r="A481" s="2"/>
      <c r="AY481" s="69"/>
    </row>
    <row r="482" spans="1:51">
      <c r="A482" s="2"/>
      <c r="AY482" s="69"/>
    </row>
    <row r="483" spans="1:51">
      <c r="A483" s="2"/>
      <c r="AY483" s="69"/>
    </row>
    <row r="484" spans="1:51">
      <c r="A484" s="2"/>
      <c r="AY484" s="69"/>
    </row>
    <row r="485" spans="1:51">
      <c r="A485" s="2"/>
      <c r="AY485" s="69"/>
    </row>
    <row r="486" spans="1:51">
      <c r="A486" s="2"/>
      <c r="AY486" s="69"/>
    </row>
    <row r="487" spans="1:51">
      <c r="A487" s="2"/>
      <c r="AY487" s="69"/>
    </row>
    <row r="488" spans="1:51">
      <c r="A488" s="2"/>
      <c r="AY488" s="69"/>
    </row>
    <row r="489" spans="1:51">
      <c r="A489" s="2"/>
      <c r="AY489" s="69"/>
    </row>
    <row r="490" spans="1:51">
      <c r="A490" s="2"/>
      <c r="AY490" s="69"/>
    </row>
    <row r="491" spans="1:51">
      <c r="A491" s="2"/>
      <c r="AY491" s="69"/>
    </row>
    <row r="492" spans="1:51">
      <c r="A492" s="2"/>
      <c r="AY492" s="69"/>
    </row>
    <row r="493" spans="1:51">
      <c r="A493" s="2"/>
      <c r="AY493" s="69"/>
    </row>
    <row r="494" spans="1:51">
      <c r="A494" s="2"/>
      <c r="AY494" s="69"/>
    </row>
    <row r="495" spans="1:51">
      <c r="A495" s="2"/>
      <c r="AY495" s="69"/>
    </row>
    <row r="496" spans="1:51">
      <c r="A496" s="2"/>
      <c r="AY496" s="69"/>
    </row>
    <row r="497" spans="1:51">
      <c r="A497" s="2"/>
      <c r="AY497" s="69"/>
    </row>
    <row r="498" spans="1:51">
      <c r="A498" s="2"/>
      <c r="AY498" s="69"/>
    </row>
    <row r="499" spans="1:51">
      <c r="A499" s="2"/>
      <c r="AY499" s="69"/>
    </row>
    <row r="500" spans="1:51">
      <c r="A500" s="2"/>
      <c r="AY500" s="69"/>
    </row>
    <row r="501" spans="1:51">
      <c r="A501" s="2"/>
      <c r="AY501" s="69"/>
    </row>
    <row r="502" spans="1:51">
      <c r="A502" s="2"/>
      <c r="AY502" s="69"/>
    </row>
    <row r="503" spans="1:51">
      <c r="A503" s="2"/>
      <c r="AY503" s="69"/>
    </row>
    <row r="504" spans="1:51">
      <c r="A504" s="2"/>
      <c r="AY504" s="69"/>
    </row>
    <row r="505" spans="1:51">
      <c r="A505" s="2"/>
      <c r="AY505" s="69"/>
    </row>
    <row r="506" spans="1:51">
      <c r="A506" s="2"/>
      <c r="AY506" s="69"/>
    </row>
    <row r="507" spans="1:51">
      <c r="A507" s="2"/>
      <c r="AY507" s="69"/>
    </row>
    <row r="508" spans="1:51">
      <c r="A508" s="2"/>
      <c r="AY508" s="69"/>
    </row>
    <row r="509" spans="1:51">
      <c r="A509" s="2"/>
      <c r="AY509" s="69"/>
    </row>
    <row r="510" spans="1:51">
      <c r="A510" s="2"/>
      <c r="AY510" s="69"/>
    </row>
    <row r="511" spans="1:51">
      <c r="A511" s="2"/>
      <c r="AY511" s="69"/>
    </row>
    <row r="512" spans="1:51">
      <c r="A512" s="2"/>
      <c r="AY512" s="69"/>
    </row>
    <row r="513" spans="1:51">
      <c r="A513" s="2"/>
      <c r="AY513" s="69"/>
    </row>
    <row r="514" spans="1:51">
      <c r="A514" s="2"/>
      <c r="AY514" s="69"/>
    </row>
    <row r="515" spans="1:51">
      <c r="A515" s="2"/>
      <c r="AY515" s="69"/>
    </row>
    <row r="516" spans="1:51">
      <c r="A516" s="2"/>
      <c r="AY516" s="69"/>
    </row>
    <row r="517" spans="1:51">
      <c r="A517" s="2"/>
      <c r="AY517" s="69"/>
    </row>
    <row r="518" spans="1:51">
      <c r="A518" s="2"/>
      <c r="AY518" s="69"/>
    </row>
    <row r="519" spans="1:51">
      <c r="A519" s="2"/>
      <c r="AY519" s="69"/>
    </row>
    <row r="520" spans="1:51">
      <c r="A520" s="2"/>
      <c r="AY520" s="69"/>
    </row>
    <row r="521" spans="1:51">
      <c r="A521" s="2"/>
      <c r="AY521" s="69"/>
    </row>
    <row r="522" spans="1:51">
      <c r="A522" s="2"/>
      <c r="AY522" s="69"/>
    </row>
    <row r="523" spans="1:51">
      <c r="A523" s="2"/>
      <c r="AY523" s="69"/>
    </row>
    <row r="524" spans="1:51">
      <c r="A524" s="2"/>
      <c r="AY524" s="69"/>
    </row>
    <row r="525" spans="1:51">
      <c r="A525" s="2"/>
      <c r="AY525" s="69"/>
    </row>
    <row r="526" spans="1:51">
      <c r="A526" s="2"/>
      <c r="AY526" s="69"/>
    </row>
    <row r="527" spans="1:51">
      <c r="A527" s="2"/>
      <c r="AY527" s="69"/>
    </row>
    <row r="528" spans="1:51">
      <c r="A528" s="2"/>
      <c r="AY528" s="69"/>
    </row>
    <row r="529" spans="1:51">
      <c r="A529" s="2"/>
      <c r="AY529" s="69"/>
    </row>
    <row r="530" spans="1:51">
      <c r="A530" s="2"/>
      <c r="AY530" s="69"/>
    </row>
    <row r="531" spans="1:51">
      <c r="A531" s="2"/>
      <c r="AY531" s="69"/>
    </row>
    <row r="532" spans="1:51">
      <c r="A532" s="2"/>
      <c r="AY532" s="69"/>
    </row>
    <row r="533" spans="1:51">
      <c r="A533" s="2"/>
      <c r="AY533" s="69"/>
    </row>
    <row r="534" spans="1:51">
      <c r="A534" s="2"/>
      <c r="AY534" s="69"/>
    </row>
    <row r="535" spans="1:51">
      <c r="A535" s="2"/>
      <c r="AY535" s="69"/>
    </row>
    <row r="536" spans="1:51">
      <c r="A536" s="2"/>
      <c r="AY536" s="69"/>
    </row>
    <row r="537" spans="1:51">
      <c r="A537" s="2"/>
      <c r="AY537" s="69"/>
    </row>
    <row r="538" spans="1:51">
      <c r="A538" s="2"/>
      <c r="AY538" s="69"/>
    </row>
    <row r="539" spans="1:51">
      <c r="A539" s="2"/>
      <c r="AY539" s="69"/>
    </row>
    <row r="540" spans="1:51">
      <c r="A540" s="2"/>
      <c r="AY540" s="69"/>
    </row>
    <row r="541" spans="1:51">
      <c r="A541" s="2"/>
      <c r="AY541" s="69"/>
    </row>
    <row r="542" spans="1:51">
      <c r="A542" s="2"/>
      <c r="AY542" s="69"/>
    </row>
    <row r="543" spans="1:51">
      <c r="A543" s="2"/>
      <c r="AY543" s="69"/>
    </row>
    <row r="544" spans="1:51">
      <c r="A544" s="2"/>
      <c r="AY544" s="69"/>
    </row>
    <row r="545" spans="1:51">
      <c r="A545" s="2"/>
      <c r="AY545" s="69"/>
    </row>
    <row r="546" spans="1:51">
      <c r="A546" s="2"/>
      <c r="AY546" s="69"/>
    </row>
    <row r="547" spans="1:51">
      <c r="A547" s="2"/>
      <c r="AY547" s="69"/>
    </row>
    <row r="548" spans="1:51">
      <c r="A548" s="2"/>
      <c r="AY548" s="69"/>
    </row>
    <row r="549" spans="1:51">
      <c r="A549" s="2"/>
      <c r="AY549" s="69"/>
    </row>
    <row r="550" spans="1:51">
      <c r="A550" s="2"/>
      <c r="AY550" s="69"/>
    </row>
    <row r="551" spans="1:51">
      <c r="A551" s="2"/>
      <c r="AY551" s="69"/>
    </row>
    <row r="552" spans="1:51">
      <c r="A552" s="2"/>
      <c r="AY552" s="69"/>
    </row>
    <row r="553" spans="1:51">
      <c r="A553" s="2"/>
      <c r="AY553" s="69"/>
    </row>
    <row r="554" spans="1:51">
      <c r="A554" s="2"/>
      <c r="AY554" s="69"/>
    </row>
    <row r="555" spans="1:51">
      <c r="A555" s="2"/>
      <c r="AY555" s="69"/>
    </row>
    <row r="556" spans="1:51">
      <c r="A556" s="2"/>
      <c r="AY556" s="69"/>
    </row>
    <row r="557" spans="1:51">
      <c r="A557" s="2"/>
      <c r="AY557" s="69"/>
    </row>
    <row r="558" spans="1:51">
      <c r="A558" s="2"/>
      <c r="AY558" s="69"/>
    </row>
    <row r="559" spans="1:51">
      <c r="A559" s="2"/>
      <c r="AY559" s="69"/>
    </row>
    <row r="560" spans="1:51">
      <c r="A560" s="2"/>
      <c r="AY560" s="69"/>
    </row>
    <row r="561" spans="1:51">
      <c r="A561" s="2"/>
      <c r="AY561" s="69"/>
    </row>
    <row r="562" spans="1:51">
      <c r="A562" s="2"/>
      <c r="AY562" s="69"/>
    </row>
    <row r="563" spans="1:51">
      <c r="A563" s="2"/>
      <c r="AY563" s="69"/>
    </row>
    <row r="564" spans="1:51">
      <c r="A564" s="2"/>
      <c r="AY564" s="69"/>
    </row>
    <row r="565" spans="1:51">
      <c r="A565" s="2"/>
      <c r="AY565" s="69"/>
    </row>
    <row r="566" spans="1:51">
      <c r="A566" s="2"/>
      <c r="AY566" s="69"/>
    </row>
    <row r="567" spans="1:51">
      <c r="A567" s="2"/>
      <c r="AY567" s="69"/>
    </row>
    <row r="568" spans="1:51">
      <c r="A568" s="2"/>
      <c r="AY568" s="69"/>
    </row>
    <row r="569" spans="1:51">
      <c r="A569" s="2"/>
      <c r="AY569" s="69"/>
    </row>
    <row r="570" spans="1:51">
      <c r="A570" s="2"/>
      <c r="AY570" s="69"/>
    </row>
    <row r="571" spans="1:51">
      <c r="A571" s="2"/>
      <c r="AY571" s="69"/>
    </row>
    <row r="572" spans="1:51">
      <c r="A572" s="2"/>
      <c r="AY572" s="69"/>
    </row>
    <row r="573" spans="1:51">
      <c r="A573" s="2"/>
      <c r="AY573" s="69"/>
    </row>
    <row r="574" spans="1:51">
      <c r="A574" s="2"/>
      <c r="AY574" s="69"/>
    </row>
    <row r="575" spans="1:51">
      <c r="A575" s="2"/>
      <c r="AY575" s="69"/>
    </row>
    <row r="576" spans="1:51">
      <c r="A576" s="2"/>
      <c r="AY576" s="69"/>
    </row>
    <row r="577" spans="1:51">
      <c r="A577" s="2"/>
      <c r="AY577" s="69"/>
    </row>
    <row r="578" spans="1:51">
      <c r="A578" s="2"/>
      <c r="AY578" s="69"/>
    </row>
    <row r="579" spans="1:51">
      <c r="A579" s="2"/>
      <c r="AY579" s="69"/>
    </row>
    <row r="580" spans="1:51">
      <c r="A580" s="2"/>
      <c r="AY580" s="69"/>
    </row>
    <row r="581" spans="1:51">
      <c r="A581" s="2"/>
      <c r="AY581" s="69"/>
    </row>
    <row r="582" spans="1:51">
      <c r="A582" s="2"/>
      <c r="AY582" s="69"/>
    </row>
    <row r="583" spans="1:51">
      <c r="A583" s="2"/>
      <c r="AY583" s="69"/>
    </row>
    <row r="584" spans="1:51">
      <c r="A584" s="2"/>
      <c r="AY584" s="69"/>
    </row>
    <row r="585" spans="1:51">
      <c r="A585" s="2"/>
      <c r="AY585" s="69"/>
    </row>
    <row r="586" spans="1:51">
      <c r="A586" s="2"/>
      <c r="AY586" s="69"/>
    </row>
    <row r="587" spans="1:51">
      <c r="A587" s="2"/>
      <c r="AY587" s="69"/>
    </row>
    <row r="588" spans="1:51">
      <c r="A588" s="2"/>
      <c r="AY588" s="69"/>
    </row>
    <row r="589" spans="1:51">
      <c r="A589" s="2"/>
      <c r="AY589" s="69"/>
    </row>
    <row r="590" spans="1:51">
      <c r="A590" s="2"/>
      <c r="AY590" s="69"/>
    </row>
    <row r="591" spans="1:51">
      <c r="A591" s="2"/>
      <c r="AY591" s="69"/>
    </row>
    <row r="592" spans="1:51">
      <c r="A592" s="2"/>
      <c r="AY592" s="69"/>
    </row>
    <row r="593" spans="1:51">
      <c r="A593" s="2"/>
      <c r="AY593" s="69"/>
    </row>
    <row r="594" spans="1:51">
      <c r="A594" s="2"/>
      <c r="AY594" s="69"/>
    </row>
    <row r="595" spans="1:51">
      <c r="A595" s="2"/>
      <c r="AY595" s="69"/>
    </row>
    <row r="596" spans="1:51">
      <c r="A596" s="2"/>
      <c r="AY596" s="69"/>
    </row>
    <row r="597" spans="1:51">
      <c r="A597" s="2"/>
      <c r="AY597" s="69"/>
    </row>
    <row r="598" spans="1:51">
      <c r="A598" s="2"/>
      <c r="AY598" s="69"/>
    </row>
    <row r="599" spans="1:51">
      <c r="A599" s="2"/>
      <c r="AY599" s="69"/>
    </row>
    <row r="600" spans="1:51">
      <c r="A600" s="2"/>
      <c r="AY600" s="69"/>
    </row>
    <row r="601" spans="1:51">
      <c r="A601" s="2"/>
      <c r="AY601" s="69"/>
    </row>
    <row r="602" spans="1:51">
      <c r="A602" s="2"/>
      <c r="AY602" s="69"/>
    </row>
    <row r="603" spans="1:51">
      <c r="A603" s="2"/>
      <c r="AY603" s="69"/>
    </row>
    <row r="604" spans="1:51">
      <c r="A604" s="2"/>
      <c r="AY604" s="69"/>
    </row>
    <row r="605" spans="1:51">
      <c r="A605" s="2"/>
      <c r="AY605" s="69"/>
    </row>
    <row r="606" spans="1:51">
      <c r="A606" s="2"/>
      <c r="AY606" s="69"/>
    </row>
    <row r="607" spans="1:51">
      <c r="A607" s="2"/>
      <c r="AY607" s="69"/>
    </row>
    <row r="608" spans="1:51">
      <c r="A608" s="2"/>
      <c r="AY608" s="69"/>
    </row>
    <row r="609" spans="1:51">
      <c r="A609" s="2"/>
      <c r="AY609" s="69"/>
    </row>
    <row r="610" spans="1:51">
      <c r="A610" s="2"/>
      <c r="AY610" s="69"/>
    </row>
    <row r="611" spans="1:51">
      <c r="A611" s="2"/>
      <c r="AY611" s="69"/>
    </row>
    <row r="612" spans="1:51">
      <c r="A612" s="2"/>
      <c r="AY612" s="69"/>
    </row>
    <row r="613" spans="1:51">
      <c r="A613" s="2"/>
      <c r="AY613" s="69"/>
    </row>
    <row r="614" spans="1:51">
      <c r="A614" s="2"/>
      <c r="AY614" s="69"/>
    </row>
    <row r="615" spans="1:51">
      <c r="A615" s="2"/>
      <c r="AY615" s="69"/>
    </row>
    <row r="616" spans="1:51">
      <c r="A616" s="2"/>
      <c r="AY616" s="69"/>
    </row>
    <row r="617" spans="1:51">
      <c r="A617" s="2"/>
      <c r="AY617" s="69"/>
    </row>
    <row r="618" spans="1:51">
      <c r="A618" s="2"/>
      <c r="AY618" s="69"/>
    </row>
    <row r="619" spans="1:51">
      <c r="A619" s="2"/>
      <c r="AY619" s="69"/>
    </row>
    <row r="620" spans="1:51">
      <c r="A620" s="2"/>
      <c r="AY620" s="69"/>
    </row>
    <row r="621" spans="1:51">
      <c r="A621" s="2"/>
      <c r="AY621" s="69"/>
    </row>
    <row r="622" spans="1:51">
      <c r="A622" s="2"/>
      <c r="AY622" s="69"/>
    </row>
    <row r="623" spans="1:51">
      <c r="A623" s="2"/>
      <c r="AY623" s="69"/>
    </row>
    <row r="624" spans="1:51">
      <c r="A624" s="2"/>
      <c r="AY624" s="69"/>
    </row>
    <row r="625" spans="1:51">
      <c r="A625" s="2"/>
      <c r="AY625" s="69"/>
    </row>
    <row r="626" spans="1:51">
      <c r="A626" s="2"/>
      <c r="AY626" s="69"/>
    </row>
    <row r="627" spans="1:51">
      <c r="A627" s="2"/>
      <c r="AY627" s="69"/>
    </row>
    <row r="628" spans="1:51">
      <c r="A628" s="2"/>
      <c r="AY628" s="69"/>
    </row>
    <row r="629" spans="1:51">
      <c r="A629" s="2"/>
      <c r="AY629" s="69"/>
    </row>
    <row r="630" spans="1:51">
      <c r="A630" s="2"/>
      <c r="AY630" s="69"/>
    </row>
    <row r="631" spans="1:51">
      <c r="A631" s="2"/>
      <c r="AY631" s="69"/>
    </row>
    <row r="632" spans="1:51">
      <c r="A632" s="2"/>
      <c r="AY632" s="69"/>
    </row>
    <row r="633" spans="1:51">
      <c r="A633" s="2"/>
      <c r="AY633" s="69"/>
    </row>
    <row r="634" spans="1:51">
      <c r="A634" s="2"/>
      <c r="AY634" s="69"/>
    </row>
    <row r="635" spans="1:51">
      <c r="A635" s="2"/>
      <c r="AY635" s="69"/>
    </row>
    <row r="636" spans="1:51">
      <c r="A636" s="2"/>
      <c r="AY636" s="69"/>
    </row>
    <row r="637" spans="1:51">
      <c r="A637" s="2"/>
      <c r="AY637" s="69"/>
    </row>
    <row r="638" spans="1:51">
      <c r="A638" s="2"/>
      <c r="AY638" s="69"/>
    </row>
    <row r="639" spans="1:51">
      <c r="A639" s="2"/>
      <c r="AY639" s="69"/>
    </row>
    <row r="640" spans="1:51">
      <c r="A640" s="2"/>
      <c r="AY640" s="69"/>
    </row>
    <row r="641" spans="1:51">
      <c r="A641" s="2"/>
      <c r="AY641" s="69"/>
    </row>
    <row r="642" spans="1:51">
      <c r="A642" s="2"/>
      <c r="AY642" s="69"/>
    </row>
    <row r="643" spans="1:51">
      <c r="A643" s="2"/>
      <c r="AY643" s="69"/>
    </row>
    <row r="644" spans="1:51">
      <c r="A644" s="2"/>
      <c r="AY644" s="69"/>
    </row>
    <row r="645" spans="1:51">
      <c r="A645" s="2"/>
      <c r="AY645" s="69"/>
    </row>
    <row r="646" spans="1:51">
      <c r="A646" s="2"/>
      <c r="AY646" s="69"/>
    </row>
    <row r="647" spans="1:51">
      <c r="A647" s="2"/>
      <c r="AY647" s="69"/>
    </row>
    <row r="648" spans="1:51">
      <c r="A648" s="2"/>
      <c r="AY648" s="69"/>
    </row>
    <row r="649" spans="1:51">
      <c r="A649" s="2"/>
      <c r="AY649" s="69"/>
    </row>
    <row r="650" spans="1:51">
      <c r="A650" s="2"/>
      <c r="AY650" s="69"/>
    </row>
    <row r="651" spans="1:51">
      <c r="A651" s="2"/>
      <c r="AY651" s="69"/>
    </row>
    <row r="652" spans="1:51">
      <c r="A652" s="2"/>
      <c r="AY652" s="69"/>
    </row>
    <row r="653" spans="1:51">
      <c r="A653" s="2"/>
      <c r="AY653" s="69"/>
    </row>
    <row r="654" spans="1:51">
      <c r="A654" s="2"/>
      <c r="AY654" s="69"/>
    </row>
    <row r="655" spans="1:51">
      <c r="A655" s="2"/>
      <c r="AY655" s="69"/>
    </row>
    <row r="656" spans="1:51">
      <c r="A656" s="2"/>
      <c r="AY656" s="69"/>
    </row>
    <row r="657" spans="1:51">
      <c r="A657" s="2"/>
      <c r="AY657" s="69"/>
    </row>
    <row r="658" spans="1:51">
      <c r="A658" s="2"/>
      <c r="AY658" s="69"/>
    </row>
    <row r="659" spans="1:51">
      <c r="A659" s="2"/>
      <c r="AY659" s="69"/>
    </row>
    <row r="660" spans="1:51">
      <c r="A660" s="2"/>
      <c r="AY660" s="69"/>
    </row>
    <row r="661" spans="1:51">
      <c r="A661" s="2"/>
      <c r="AY661" s="69"/>
    </row>
    <row r="662" spans="1:51">
      <c r="A662" s="2"/>
      <c r="AY662" s="69"/>
    </row>
    <row r="663" spans="1:51">
      <c r="A663" s="2"/>
      <c r="AY663" s="69"/>
    </row>
    <row r="664" spans="1:51">
      <c r="A664" s="2"/>
      <c r="AY664" s="69"/>
    </row>
    <row r="665" spans="1:51">
      <c r="A665" s="2"/>
      <c r="AY665" s="69"/>
    </row>
    <row r="666" spans="1:51">
      <c r="A666" s="2"/>
      <c r="AY666" s="69"/>
    </row>
    <row r="667" spans="1:51">
      <c r="A667" s="2"/>
      <c r="AY667" s="69"/>
    </row>
    <row r="668" spans="1:51">
      <c r="A668" s="2"/>
      <c r="AY668" s="69"/>
    </row>
    <row r="669" spans="1:51">
      <c r="A669" s="2"/>
      <c r="AY669" s="69"/>
    </row>
    <row r="670" spans="1:51">
      <c r="A670" s="2"/>
      <c r="AY670" s="69"/>
    </row>
    <row r="671" spans="1:51">
      <c r="A671" s="2"/>
      <c r="AY671" s="69"/>
    </row>
    <row r="672" spans="1:51">
      <c r="A672" s="2"/>
      <c r="AY672" s="69"/>
    </row>
    <row r="673" spans="1:51">
      <c r="A673" s="2"/>
      <c r="AY673" s="69"/>
    </row>
    <row r="674" spans="1:51">
      <c r="A674" s="2"/>
      <c r="AY674" s="69"/>
    </row>
    <row r="675" spans="1:51">
      <c r="A675" s="2"/>
      <c r="AY675" s="69"/>
    </row>
    <row r="676" spans="1:51">
      <c r="A676" s="2"/>
      <c r="AY676" s="69"/>
    </row>
    <row r="677" spans="1:51">
      <c r="A677" s="2"/>
      <c r="AY677" s="69"/>
    </row>
    <row r="678" spans="1:51">
      <c r="A678" s="2"/>
      <c r="AY678" s="69"/>
    </row>
    <row r="679" spans="1:51">
      <c r="A679" s="2"/>
      <c r="AY679" s="69"/>
    </row>
    <row r="680" spans="1:51">
      <c r="A680" s="2"/>
      <c r="AY680" s="69"/>
    </row>
    <row r="681" spans="1:51">
      <c r="A681" s="2"/>
      <c r="AY681" s="69"/>
    </row>
    <row r="682" spans="1:51">
      <c r="A682" s="2"/>
      <c r="AY682" s="69"/>
    </row>
    <row r="683" spans="1:51">
      <c r="A683" s="2"/>
      <c r="AY683" s="69"/>
    </row>
    <row r="684" spans="1:51">
      <c r="A684" s="2"/>
      <c r="AY684" s="69"/>
    </row>
    <row r="685" spans="1:51">
      <c r="A685" s="2"/>
      <c r="AY685" s="69"/>
    </row>
    <row r="686" spans="1:51">
      <c r="A686" s="2"/>
      <c r="AY686" s="69"/>
    </row>
    <row r="687" spans="1:51">
      <c r="A687" s="2"/>
      <c r="AY687" s="69"/>
    </row>
    <row r="688" spans="1:51">
      <c r="A688" s="2"/>
      <c r="AY688" s="69"/>
    </row>
    <row r="689" spans="1:51">
      <c r="A689" s="2"/>
      <c r="AY689" s="69"/>
    </row>
    <row r="690" spans="1:51">
      <c r="A690" s="2"/>
      <c r="AY690" s="69"/>
    </row>
    <row r="691" spans="1:51">
      <c r="A691" s="2"/>
      <c r="AY691" s="69"/>
    </row>
    <row r="692" spans="1:51">
      <c r="A692" s="2"/>
      <c r="AY692" s="69"/>
    </row>
    <row r="693" spans="1:51">
      <c r="A693" s="2"/>
      <c r="AY693" s="69"/>
    </row>
    <row r="694" spans="1:51">
      <c r="A694" s="2"/>
      <c r="AY694" s="69"/>
    </row>
    <row r="695" spans="1:51">
      <c r="A695" s="2"/>
      <c r="AY695" s="69"/>
    </row>
    <row r="696" spans="1:51">
      <c r="A696" s="2"/>
      <c r="AY696" s="69"/>
    </row>
    <row r="697" spans="1:51">
      <c r="A697" s="2"/>
      <c r="AY697" s="69"/>
    </row>
    <row r="698" spans="1:51">
      <c r="A698" s="2"/>
      <c r="AY698" s="69"/>
    </row>
    <row r="699" spans="1:51">
      <c r="A699" s="2"/>
      <c r="AY699" s="69"/>
    </row>
    <row r="700" spans="1:51">
      <c r="A700" s="2"/>
      <c r="AY700" s="69"/>
    </row>
    <row r="701" spans="1:51">
      <c r="A701" s="2"/>
      <c r="AY701" s="69"/>
    </row>
    <row r="702" spans="1:51">
      <c r="A702" s="2"/>
      <c r="AY702" s="69"/>
    </row>
    <row r="703" spans="1:51">
      <c r="A703" s="2"/>
      <c r="AY703" s="69"/>
    </row>
    <row r="704" spans="1:51">
      <c r="A704" s="2"/>
      <c r="AY704" s="69"/>
    </row>
    <row r="705" spans="1:51">
      <c r="A705" s="2"/>
      <c r="AY705" s="69"/>
    </row>
    <row r="706" spans="1:51">
      <c r="A706" s="2"/>
      <c r="AY706" s="69"/>
    </row>
    <row r="707" spans="1:51">
      <c r="A707" s="2"/>
      <c r="AY707" s="69"/>
    </row>
    <row r="708" spans="1:51">
      <c r="A708" s="2"/>
      <c r="AY708" s="69"/>
    </row>
    <row r="709" spans="1:51">
      <c r="A709" s="2"/>
      <c r="AY709" s="69"/>
    </row>
    <row r="710" spans="1:51">
      <c r="A710" s="2"/>
      <c r="AY710" s="69"/>
    </row>
    <row r="711" spans="1:51">
      <c r="A711" s="2"/>
      <c r="AY711" s="69"/>
    </row>
    <row r="712" spans="1:51">
      <c r="A712" s="2"/>
      <c r="AY712" s="69"/>
    </row>
    <row r="713" spans="1:51">
      <c r="A713" s="2"/>
      <c r="AY713" s="69"/>
    </row>
    <row r="714" spans="1:51">
      <c r="A714" s="2"/>
      <c r="AY714" s="69"/>
    </row>
    <row r="715" spans="1:51">
      <c r="A715" s="2"/>
      <c r="AY715" s="69"/>
    </row>
    <row r="716" spans="1:51">
      <c r="A716" s="2"/>
      <c r="AY716" s="69"/>
    </row>
    <row r="717" spans="1:51">
      <c r="A717" s="2"/>
      <c r="AY717" s="69"/>
    </row>
    <row r="718" spans="1:51">
      <c r="A718" s="2"/>
      <c r="AY718" s="69"/>
    </row>
    <row r="719" spans="1:51">
      <c r="A719" s="2"/>
      <c r="AY719" s="69"/>
    </row>
    <row r="720" spans="1:51">
      <c r="A720" s="2"/>
      <c r="AY720" s="69"/>
    </row>
    <row r="721" spans="1:51">
      <c r="A721" s="2"/>
      <c r="AY721" s="69"/>
    </row>
    <row r="722" spans="1:51">
      <c r="A722" s="2"/>
      <c r="AY722" s="69"/>
    </row>
    <row r="723" spans="1:51">
      <c r="A723" s="2"/>
      <c r="AY723" s="69"/>
    </row>
    <row r="724" spans="1:51">
      <c r="A724" s="2"/>
      <c r="AY724" s="69"/>
    </row>
    <row r="725" spans="1:51">
      <c r="A725" s="2"/>
      <c r="AY725" s="69"/>
    </row>
    <row r="726" spans="1:51">
      <c r="A726" s="2"/>
      <c r="AY726" s="69"/>
    </row>
    <row r="727" spans="1:51">
      <c r="A727" s="2"/>
      <c r="AY727" s="69"/>
    </row>
    <row r="728" spans="1:51">
      <c r="A728" s="2"/>
      <c r="AY728" s="69"/>
    </row>
    <row r="729" spans="1:51">
      <c r="A729" s="2"/>
      <c r="AY729" s="69"/>
    </row>
    <row r="730" spans="1:51">
      <c r="A730" s="2"/>
      <c r="AY730" s="69"/>
    </row>
    <row r="731" spans="1:51">
      <c r="A731" s="2"/>
      <c r="AY731" s="69"/>
    </row>
    <row r="732" spans="1:51">
      <c r="A732" s="2"/>
      <c r="AY732" s="69"/>
    </row>
    <row r="733" spans="1:51">
      <c r="A733" s="2"/>
      <c r="AY733" s="69"/>
    </row>
    <row r="734" spans="1:51">
      <c r="A734" s="2"/>
      <c r="AY734" s="69"/>
    </row>
    <row r="735" spans="1:51">
      <c r="A735" s="2"/>
      <c r="AY735" s="69"/>
    </row>
    <row r="736" spans="1:51">
      <c r="A736" s="2"/>
      <c r="AY736" s="69"/>
    </row>
    <row r="737" spans="1:51">
      <c r="A737" s="2"/>
      <c r="AY737" s="69"/>
    </row>
    <row r="738" spans="1:51">
      <c r="A738" s="2"/>
      <c r="AY738" s="69"/>
    </row>
    <row r="739" spans="1:51">
      <c r="A739" s="2"/>
      <c r="AY739" s="69"/>
    </row>
    <row r="740" spans="1:51">
      <c r="A740" s="2"/>
      <c r="AY740" s="69"/>
    </row>
    <row r="741" spans="1:51">
      <c r="A741" s="2"/>
      <c r="AY741" s="69"/>
    </row>
    <row r="742" spans="1:51">
      <c r="A742" s="2"/>
      <c r="AY742" s="69"/>
    </row>
    <row r="743" spans="1:51">
      <c r="A743" s="2"/>
      <c r="AY743" s="69"/>
    </row>
    <row r="744" spans="1:51">
      <c r="A744" s="2"/>
      <c r="AY744" s="69"/>
    </row>
    <row r="745" spans="1:51">
      <c r="A745" s="2"/>
      <c r="AY745" s="69"/>
    </row>
    <row r="746" spans="1:51">
      <c r="A746" s="2"/>
      <c r="AY746" s="69"/>
    </row>
    <row r="747" spans="1:51">
      <c r="A747" s="2"/>
      <c r="AY747" s="69"/>
    </row>
    <row r="748" spans="1:51">
      <c r="A748" s="2"/>
      <c r="AY748" s="69"/>
    </row>
    <row r="749" spans="1:51">
      <c r="A749" s="2"/>
      <c r="AY749" s="69"/>
    </row>
    <row r="750" spans="1:51">
      <c r="A750" s="2"/>
      <c r="AY750" s="69"/>
    </row>
    <row r="751" spans="1:51">
      <c r="A751" s="2"/>
      <c r="AY751" s="69"/>
    </row>
    <row r="752" spans="1:51">
      <c r="A752" s="2"/>
      <c r="AY752" s="69"/>
    </row>
    <row r="753" spans="1:51">
      <c r="A753" s="2"/>
      <c r="AY753" s="69"/>
    </row>
    <row r="754" spans="1:51">
      <c r="A754" s="2"/>
      <c r="AY754" s="69"/>
    </row>
    <row r="755" spans="1:51">
      <c r="A755" s="2"/>
      <c r="AY755" s="69"/>
    </row>
    <row r="756" spans="1:51">
      <c r="A756" s="2"/>
      <c r="AY756" s="69"/>
    </row>
    <row r="757" spans="1:51">
      <c r="A757" s="2"/>
      <c r="AY757" s="69"/>
    </row>
    <row r="758" spans="1:51">
      <c r="A758" s="2"/>
      <c r="AY758" s="69"/>
    </row>
    <row r="759" spans="1:51">
      <c r="A759" s="2"/>
      <c r="AY759" s="69"/>
    </row>
    <row r="760" spans="1:51">
      <c r="A760" s="2"/>
      <c r="AY760" s="69"/>
    </row>
    <row r="761" spans="1:51">
      <c r="A761" s="2"/>
      <c r="AY761" s="69"/>
    </row>
    <row r="762" spans="1:51">
      <c r="A762" s="2"/>
      <c r="AY762" s="69"/>
    </row>
    <row r="763" spans="1:51">
      <c r="A763" s="2"/>
      <c r="AY763" s="69"/>
    </row>
    <row r="764" spans="1:51">
      <c r="A764" s="2"/>
      <c r="AY764" s="69"/>
    </row>
    <row r="765" spans="1:51">
      <c r="A765" s="2"/>
      <c r="AY765" s="69"/>
    </row>
    <row r="766" spans="1:51">
      <c r="A766" s="2"/>
      <c r="AY766" s="69"/>
    </row>
    <row r="767" spans="1:51">
      <c r="A767" s="2"/>
      <c r="AY767" s="69"/>
    </row>
    <row r="768" spans="1:51">
      <c r="A768" s="2"/>
      <c r="AY768" s="69"/>
    </row>
    <row r="769" spans="1:51">
      <c r="A769" s="2"/>
      <c r="AY769" s="69"/>
    </row>
    <row r="770" spans="1:51">
      <c r="A770" s="2"/>
      <c r="AY770" s="69"/>
    </row>
    <row r="771" spans="1:51">
      <c r="A771" s="2"/>
      <c r="AY771" s="69"/>
    </row>
    <row r="772" spans="1:51">
      <c r="A772" s="2"/>
      <c r="AY772" s="69"/>
    </row>
    <row r="773" spans="1:51">
      <c r="A773" s="2"/>
      <c r="AY773" s="69"/>
    </row>
    <row r="774" spans="1:51">
      <c r="A774" s="2"/>
      <c r="AY774" s="69"/>
    </row>
    <row r="775" spans="1:51">
      <c r="A775" s="2"/>
      <c r="AY775" s="69"/>
    </row>
    <row r="776" spans="1:51">
      <c r="A776" s="2"/>
      <c r="AY776" s="69"/>
    </row>
    <row r="777" spans="1:51">
      <c r="A777" s="2"/>
      <c r="AY777" s="69"/>
    </row>
    <row r="778" spans="1:51">
      <c r="A778" s="2"/>
      <c r="AY778" s="69"/>
    </row>
    <row r="779" spans="1:51">
      <c r="A779" s="2"/>
      <c r="AY779" s="69"/>
    </row>
    <row r="780" spans="1:51">
      <c r="A780" s="2"/>
      <c r="AY780" s="69"/>
    </row>
    <row r="781" spans="1:51">
      <c r="A781" s="2"/>
      <c r="AY781" s="69"/>
    </row>
    <row r="782" spans="1:51">
      <c r="A782" s="2"/>
      <c r="AY782" s="69"/>
    </row>
    <row r="783" spans="1:51">
      <c r="A783" s="2"/>
      <c r="AY783" s="69"/>
    </row>
    <row r="784" spans="1:51">
      <c r="A784" s="2"/>
      <c r="AY784" s="69"/>
    </row>
    <row r="785" spans="1:51">
      <c r="A785" s="2"/>
      <c r="AY785" s="69"/>
    </row>
    <row r="786" spans="1:51">
      <c r="A786" s="2"/>
      <c r="AY786" s="69"/>
    </row>
    <row r="787" spans="1:51">
      <c r="A787" s="2"/>
      <c r="AY787" s="69"/>
    </row>
    <row r="788" spans="1:51">
      <c r="A788" s="2"/>
      <c r="AY788" s="69"/>
    </row>
    <row r="789" spans="1:51">
      <c r="A789" s="2"/>
      <c r="AY789" s="69"/>
    </row>
    <row r="790" spans="1:51">
      <c r="A790" s="2"/>
      <c r="AY790" s="69"/>
    </row>
    <row r="791" spans="1:51">
      <c r="A791" s="2"/>
      <c r="AY791" s="69"/>
    </row>
    <row r="792" spans="1:51">
      <c r="A792" s="2"/>
      <c r="AY792" s="69"/>
    </row>
    <row r="793" spans="1:51">
      <c r="A793" s="2"/>
      <c r="AY793" s="69"/>
    </row>
    <row r="794" spans="1:51">
      <c r="A794" s="2"/>
      <c r="AY794" s="69"/>
    </row>
    <row r="795" spans="1:51">
      <c r="A795" s="2"/>
      <c r="AY795" s="69"/>
    </row>
    <row r="796" spans="1:51">
      <c r="A796" s="2"/>
      <c r="AY796" s="69"/>
    </row>
    <row r="797" spans="1:51">
      <c r="A797" s="2"/>
      <c r="AY797" s="69"/>
    </row>
    <row r="798" spans="1:51">
      <c r="A798" s="2"/>
      <c r="AY798" s="69"/>
    </row>
    <row r="799" spans="1:51">
      <c r="A799" s="2"/>
      <c r="AY799" s="69"/>
    </row>
    <row r="800" spans="1:51">
      <c r="A800" s="2"/>
      <c r="AY800" s="69"/>
    </row>
    <row r="801" spans="1:51">
      <c r="A801" s="2"/>
      <c r="AY801" s="69"/>
    </row>
    <row r="802" spans="1:51">
      <c r="A802" s="2"/>
      <c r="AY802" s="69"/>
    </row>
    <row r="803" spans="1:51">
      <c r="A803" s="2"/>
      <c r="AY803" s="69"/>
    </row>
    <row r="804" spans="1:51">
      <c r="A804" s="2"/>
      <c r="AY804" s="69"/>
    </row>
    <row r="805" spans="1:51">
      <c r="A805" s="2"/>
      <c r="AY805" s="69"/>
    </row>
    <row r="806" spans="1:51">
      <c r="A806" s="2"/>
      <c r="AY806" s="69"/>
    </row>
    <row r="807" spans="1:51">
      <c r="A807" s="2"/>
      <c r="AY807" s="69"/>
    </row>
    <row r="808" spans="1:51">
      <c r="A808" s="2"/>
      <c r="AY808" s="69"/>
    </row>
    <row r="809" spans="1:51">
      <c r="A809" s="2"/>
      <c r="AY809" s="69"/>
    </row>
    <row r="810" spans="1:51">
      <c r="A810" s="2"/>
      <c r="AY810" s="69"/>
    </row>
    <row r="811" spans="1:51">
      <c r="A811" s="2"/>
      <c r="AY811" s="69"/>
    </row>
    <row r="812" spans="1:51">
      <c r="A812" s="2"/>
      <c r="AY812" s="69"/>
    </row>
    <row r="813" spans="1:51">
      <c r="A813" s="2"/>
      <c r="AY813" s="69"/>
    </row>
    <row r="814" spans="1:51">
      <c r="A814" s="2"/>
      <c r="AY814" s="69"/>
    </row>
    <row r="815" spans="1:51">
      <c r="A815" s="2"/>
      <c r="AY815" s="69"/>
    </row>
    <row r="816" spans="1:51">
      <c r="A816" s="2"/>
      <c r="AY816" s="69"/>
    </row>
    <row r="817" spans="1:51">
      <c r="A817" s="2"/>
      <c r="AY817" s="69"/>
    </row>
    <row r="818" spans="1:51">
      <c r="A818" s="2"/>
      <c r="AY818" s="69"/>
    </row>
    <row r="819" spans="1:51">
      <c r="A819" s="2"/>
      <c r="AY819" s="69"/>
    </row>
    <row r="820" spans="1:51">
      <c r="A820" s="2"/>
      <c r="AY820" s="69"/>
    </row>
    <row r="821" spans="1:51">
      <c r="A821" s="2"/>
      <c r="AY821" s="69"/>
    </row>
    <row r="822" spans="1:51">
      <c r="A822" s="2"/>
      <c r="AY822" s="69"/>
    </row>
    <row r="823" spans="1:51">
      <c r="A823" s="2"/>
      <c r="AY823" s="69"/>
    </row>
    <row r="824" spans="1:51">
      <c r="A824" s="2"/>
      <c r="AY824" s="69"/>
    </row>
    <row r="825" spans="1:51">
      <c r="A825" s="2"/>
      <c r="AY825" s="69"/>
    </row>
    <row r="826" spans="1:51">
      <c r="A826" s="2"/>
      <c r="AY826" s="69"/>
    </row>
    <row r="827" spans="1:51">
      <c r="A827" s="2"/>
      <c r="AY827" s="69"/>
    </row>
    <row r="828" spans="1:51">
      <c r="A828" s="2"/>
      <c r="AY828" s="69"/>
    </row>
    <row r="829" spans="1:51">
      <c r="A829" s="2"/>
      <c r="AY829" s="69"/>
    </row>
    <row r="830" spans="1:51">
      <c r="A830" s="2"/>
      <c r="AY830" s="69"/>
    </row>
    <row r="831" spans="1:51">
      <c r="A831" s="2"/>
      <c r="AY831" s="69"/>
    </row>
    <row r="832" spans="1:51">
      <c r="A832" s="2"/>
      <c r="AY832" s="69"/>
    </row>
    <row r="833" spans="1:51">
      <c r="A833" s="2"/>
      <c r="AY833" s="69"/>
    </row>
    <row r="834" spans="1:51">
      <c r="A834" s="2"/>
      <c r="AY834" s="69"/>
    </row>
    <row r="835" spans="1:51">
      <c r="A835" s="2"/>
      <c r="AY835" s="69"/>
    </row>
    <row r="836" spans="1:51">
      <c r="A836" s="2"/>
      <c r="AY836" s="69"/>
    </row>
    <row r="837" spans="1:51">
      <c r="A837" s="2"/>
      <c r="AY837" s="69"/>
    </row>
    <row r="838" spans="1:51">
      <c r="A838" s="2"/>
      <c r="AY838" s="69"/>
    </row>
    <row r="839" spans="1:51">
      <c r="A839" s="2"/>
      <c r="AY839" s="69"/>
    </row>
    <row r="840" spans="1:51">
      <c r="A840" s="2"/>
      <c r="AY840" s="69"/>
    </row>
    <row r="841" spans="1:51">
      <c r="A841" s="2"/>
      <c r="AY841" s="69"/>
    </row>
    <row r="842" spans="1:51">
      <c r="A842" s="2"/>
      <c r="AY842" s="69"/>
    </row>
    <row r="843" spans="1:51">
      <c r="A843" s="2"/>
      <c r="AY843" s="69"/>
    </row>
    <row r="844" spans="1:51">
      <c r="A844" s="2"/>
      <c r="AY844" s="69"/>
    </row>
    <row r="845" spans="1:51">
      <c r="A845" s="2"/>
      <c r="AY845" s="69"/>
    </row>
    <row r="846" spans="1:51">
      <c r="A846" s="2"/>
      <c r="AY846" s="69"/>
    </row>
    <row r="847" spans="1:51">
      <c r="A847" s="2"/>
      <c r="AY847" s="69"/>
    </row>
    <row r="848" spans="1:51">
      <c r="A848" s="2"/>
      <c r="AY848" s="69"/>
    </row>
    <row r="849" spans="1:51">
      <c r="A849" s="2"/>
      <c r="AY849" s="69"/>
    </row>
    <row r="850" spans="1:51">
      <c r="A850" s="2"/>
      <c r="AY850" s="69"/>
    </row>
    <row r="851" spans="1:51">
      <c r="A851" s="2"/>
      <c r="AY851" s="69"/>
    </row>
    <row r="852" spans="1:51">
      <c r="A852" s="2"/>
      <c r="AY852" s="69"/>
    </row>
    <row r="853" spans="1:51">
      <c r="A853" s="2"/>
      <c r="AY853" s="69"/>
    </row>
    <row r="854" spans="1:51">
      <c r="A854" s="2"/>
      <c r="AY854" s="69"/>
    </row>
    <row r="855" spans="1:51">
      <c r="A855" s="2"/>
      <c r="AY855" s="69"/>
    </row>
    <row r="856" spans="1:51">
      <c r="A856" s="2"/>
      <c r="AY856" s="69"/>
    </row>
    <row r="857" spans="1:51">
      <c r="A857" s="2"/>
      <c r="AY857" s="69"/>
    </row>
    <row r="858" spans="1:51">
      <c r="A858" s="2"/>
      <c r="AY858" s="69"/>
    </row>
    <row r="859" spans="1:51">
      <c r="A859" s="2"/>
      <c r="AY859" s="69"/>
    </row>
    <row r="860" spans="1:51">
      <c r="A860" s="2"/>
      <c r="AY860" s="69"/>
    </row>
    <row r="861" spans="1:51">
      <c r="A861" s="2"/>
      <c r="AY861" s="69"/>
    </row>
    <row r="862" spans="1:51">
      <c r="A862" s="2"/>
      <c r="AY862" s="69"/>
    </row>
    <row r="863" spans="1:51">
      <c r="A863" s="2"/>
      <c r="AY863" s="69"/>
    </row>
    <row r="864" spans="1:51">
      <c r="A864" s="2"/>
      <c r="AY864" s="69"/>
    </row>
    <row r="865" spans="1:51">
      <c r="A865" s="2"/>
      <c r="AY865" s="69"/>
    </row>
    <row r="866" spans="1:51">
      <c r="A866" s="2"/>
      <c r="AY866" s="69"/>
    </row>
    <row r="867" spans="1:51">
      <c r="A867" s="2"/>
      <c r="AY867" s="69"/>
    </row>
    <row r="868" spans="1:51">
      <c r="A868" s="2"/>
      <c r="AY868" s="69"/>
    </row>
    <row r="869" spans="1:51">
      <c r="A869" s="2"/>
      <c r="AY869" s="69"/>
    </row>
    <row r="870" spans="1:51">
      <c r="A870" s="2"/>
      <c r="AY870" s="69"/>
    </row>
    <row r="871" spans="1:51">
      <c r="A871" s="2"/>
      <c r="AY871" s="69"/>
    </row>
    <row r="872" spans="1:51">
      <c r="A872" s="2"/>
      <c r="AY872" s="69"/>
    </row>
    <row r="873" spans="1:51">
      <c r="A873" s="2"/>
      <c r="AY873" s="69"/>
    </row>
    <row r="874" spans="1:51">
      <c r="A874" s="2"/>
      <c r="AY874" s="69"/>
    </row>
    <row r="875" spans="1:51">
      <c r="A875" s="2"/>
      <c r="AY875" s="69"/>
    </row>
    <row r="876" spans="1:51">
      <c r="A876" s="2"/>
      <c r="AY876" s="69"/>
    </row>
    <row r="877" spans="1:51">
      <c r="A877" s="2"/>
      <c r="AY877" s="69"/>
    </row>
    <row r="878" spans="1:51">
      <c r="A878" s="2"/>
      <c r="AY878" s="69"/>
    </row>
    <row r="879" spans="1:51">
      <c r="A879" s="2"/>
      <c r="AY879" s="69"/>
    </row>
    <row r="880" spans="1:51">
      <c r="A880" s="2"/>
      <c r="AY880" s="69"/>
    </row>
    <row r="881" spans="1:51">
      <c r="A881" s="2"/>
      <c r="AY881" s="69"/>
    </row>
    <row r="882" spans="1:51">
      <c r="A882" s="2"/>
      <c r="AY882" s="69"/>
    </row>
    <row r="883" spans="1:51">
      <c r="A883" s="2"/>
      <c r="AY883" s="69"/>
    </row>
    <row r="884" spans="1:51">
      <c r="A884" s="2"/>
      <c r="AY884" s="69"/>
    </row>
    <row r="885" spans="1:51">
      <c r="A885" s="2"/>
      <c r="AY885" s="69"/>
    </row>
    <row r="886" spans="1:51">
      <c r="A886" s="2"/>
      <c r="AY886" s="69"/>
    </row>
    <row r="887" spans="1:51">
      <c r="A887" s="2"/>
      <c r="AY887" s="69"/>
    </row>
    <row r="888" spans="1:51">
      <c r="A888" s="2"/>
      <c r="AY888" s="69"/>
    </row>
    <row r="889" spans="1:51">
      <c r="A889" s="2"/>
      <c r="AY889" s="69"/>
    </row>
    <row r="890" spans="1:51">
      <c r="A890" s="2"/>
      <c r="AY890" s="69"/>
    </row>
    <row r="891" spans="1:51">
      <c r="A891" s="2"/>
      <c r="AY891" s="69"/>
    </row>
    <row r="892" spans="1:51">
      <c r="A892" s="2"/>
      <c r="AY892" s="69"/>
    </row>
    <row r="893" spans="1:51">
      <c r="A893" s="2"/>
      <c r="AY893" s="69"/>
    </row>
    <row r="894" spans="1:51">
      <c r="A894" s="2"/>
      <c r="AY894" s="69"/>
    </row>
    <row r="895" spans="1:51">
      <c r="A895" s="2"/>
      <c r="AY895" s="69"/>
    </row>
    <row r="896" spans="1:51">
      <c r="A896" s="2"/>
      <c r="AY896" s="69"/>
    </row>
    <row r="897" spans="1:51">
      <c r="A897" s="2"/>
      <c r="AY897" s="69"/>
    </row>
    <row r="898" spans="1:51">
      <c r="A898" s="2"/>
      <c r="AY898" s="69"/>
    </row>
    <row r="899" spans="1:51">
      <c r="A899" s="2"/>
      <c r="AY899" s="69"/>
    </row>
    <row r="900" spans="1:51">
      <c r="A900" s="2"/>
      <c r="AY900" s="69"/>
    </row>
    <row r="901" spans="1:51">
      <c r="A901" s="2"/>
      <c r="AY901" s="69"/>
    </row>
    <row r="902" spans="1:51">
      <c r="A902" s="2"/>
      <c r="AY902" s="69"/>
    </row>
    <row r="903" spans="1:51">
      <c r="A903" s="2"/>
      <c r="AY903" s="69"/>
    </row>
    <row r="904" spans="1:51">
      <c r="A904" s="2"/>
      <c r="AY904" s="69"/>
    </row>
    <row r="905" spans="1:51">
      <c r="A905" s="2"/>
      <c r="AY905" s="69"/>
    </row>
    <row r="906" spans="1:51">
      <c r="A906" s="2"/>
      <c r="AY906" s="69"/>
    </row>
    <row r="907" spans="1:51">
      <c r="A907" s="2"/>
      <c r="AY907" s="69"/>
    </row>
    <row r="908" spans="1:51">
      <c r="A908" s="2"/>
      <c r="AY908" s="69"/>
    </row>
    <row r="909" spans="1:51">
      <c r="A909" s="2"/>
      <c r="AY909" s="69"/>
    </row>
    <row r="910" spans="1:51">
      <c r="A910" s="2"/>
      <c r="AY910" s="69"/>
    </row>
    <row r="911" spans="1:51">
      <c r="A911" s="2"/>
      <c r="AY911" s="69"/>
    </row>
    <row r="912" spans="1:51">
      <c r="A912" s="2"/>
      <c r="AY912" s="69"/>
    </row>
    <row r="913" spans="1:51">
      <c r="A913" s="2"/>
      <c r="AY913" s="69"/>
    </row>
    <row r="914" spans="1:51">
      <c r="A914" s="2"/>
      <c r="AY914" s="69"/>
    </row>
    <row r="915" spans="1:51">
      <c r="A915" s="2"/>
      <c r="AY915" s="69"/>
    </row>
    <row r="916" spans="1:51">
      <c r="A916" s="2"/>
      <c r="AY916" s="69"/>
    </row>
    <row r="917" spans="1:51">
      <c r="A917" s="2"/>
      <c r="AY917" s="69"/>
    </row>
    <row r="918" spans="1:51">
      <c r="A918" s="2"/>
      <c r="AY918" s="69"/>
    </row>
    <row r="919" spans="1:51">
      <c r="A919" s="2"/>
      <c r="AY919" s="69"/>
    </row>
    <row r="920" spans="1:51">
      <c r="A920" s="2"/>
      <c r="AY920" s="69"/>
    </row>
    <row r="921" spans="1:51">
      <c r="A921" s="2"/>
      <c r="AY921" s="69"/>
    </row>
    <row r="922" spans="1:51">
      <c r="A922" s="2"/>
      <c r="AY922" s="69"/>
    </row>
    <row r="923" spans="1:51">
      <c r="A923" s="2"/>
      <c r="AY923" s="69"/>
    </row>
    <row r="924" spans="1:51">
      <c r="A924" s="2"/>
      <c r="AY924" s="69"/>
    </row>
    <row r="925" spans="1:51">
      <c r="A925" s="2"/>
      <c r="AY925" s="69"/>
    </row>
    <row r="926" spans="1:51">
      <c r="A926" s="2"/>
      <c r="AY926" s="69"/>
    </row>
    <row r="927" spans="1:51">
      <c r="A927" s="2"/>
      <c r="AY927" s="69"/>
    </row>
    <row r="928" spans="1:51">
      <c r="A928" s="2"/>
      <c r="AY928" s="69"/>
    </row>
    <row r="929" spans="1:51">
      <c r="A929" s="2"/>
      <c r="AY929" s="69"/>
    </row>
    <row r="930" spans="1:51">
      <c r="A930" s="2"/>
      <c r="AY930" s="69"/>
    </row>
    <row r="931" spans="1:51">
      <c r="A931" s="2"/>
      <c r="AY931" s="69"/>
    </row>
    <row r="932" spans="1:51">
      <c r="A932" s="2"/>
      <c r="AY932" s="69"/>
    </row>
    <row r="933" spans="1:51">
      <c r="A933" s="2"/>
      <c r="AY933" s="69"/>
    </row>
    <row r="934" spans="1:51">
      <c r="A934" s="2"/>
      <c r="AY934" s="69"/>
    </row>
    <row r="935" spans="1:51">
      <c r="A935" s="2"/>
      <c r="AY935" s="69"/>
    </row>
    <row r="936" spans="1:51">
      <c r="A936" s="2"/>
      <c r="AY936" s="69"/>
    </row>
    <row r="937" spans="1:51">
      <c r="A937" s="2"/>
      <c r="AY937" s="69"/>
    </row>
    <row r="938" spans="1:51">
      <c r="A938" s="2"/>
      <c r="AY938" s="69"/>
    </row>
    <row r="939" spans="1:51">
      <c r="A939" s="2"/>
      <c r="AY939" s="69"/>
    </row>
    <row r="940" spans="1:51">
      <c r="A940" s="2"/>
      <c r="AY940" s="69"/>
    </row>
    <row r="941" spans="1:51">
      <c r="A941" s="2"/>
      <c r="AY941" s="69"/>
    </row>
    <row r="942" spans="1:51">
      <c r="A942" s="2"/>
      <c r="AY942" s="69"/>
    </row>
    <row r="943" spans="1:51">
      <c r="A943" s="2"/>
      <c r="AY943" s="69"/>
    </row>
    <row r="944" spans="1:51">
      <c r="A944" s="2"/>
      <c r="AY944" s="69"/>
    </row>
    <row r="945" spans="1:51">
      <c r="A945" s="2"/>
      <c r="AY945" s="69"/>
    </row>
    <row r="946" spans="1:51">
      <c r="A946" s="2"/>
      <c r="AY946" s="69"/>
    </row>
    <row r="947" spans="1:51">
      <c r="A947" s="2"/>
      <c r="AY947" s="69"/>
    </row>
    <row r="948" spans="1:51">
      <c r="A948" s="2"/>
      <c r="AY948" s="69"/>
    </row>
    <row r="949" spans="1:51">
      <c r="A949" s="2"/>
      <c r="AY949" s="69"/>
    </row>
    <row r="950" spans="1:51">
      <c r="A950" s="2"/>
      <c r="AY950" s="69"/>
    </row>
    <row r="951" spans="1:51">
      <c r="A951" s="2"/>
      <c r="AY951" s="69"/>
    </row>
    <row r="952" spans="1:51">
      <c r="A952" s="2"/>
      <c r="AY952" s="69"/>
    </row>
    <row r="953" spans="1:51">
      <c r="A953" s="2"/>
      <c r="AY953" s="69"/>
    </row>
    <row r="954" spans="1:51">
      <c r="A954" s="2"/>
      <c r="AY954" s="69"/>
    </row>
    <row r="955" spans="1:51">
      <c r="A955" s="2"/>
      <c r="AY955" s="69"/>
    </row>
    <row r="956" spans="1:51">
      <c r="A956" s="2"/>
      <c r="AY956" s="69"/>
    </row>
    <row r="957" spans="1:51">
      <c r="A957" s="2"/>
      <c r="AY957" s="69"/>
    </row>
    <row r="958" spans="1:51">
      <c r="A958" s="2"/>
      <c r="AY958" s="69"/>
    </row>
    <row r="959" spans="1:51">
      <c r="A959" s="2"/>
      <c r="AY959" s="69"/>
    </row>
    <row r="960" spans="1:51">
      <c r="A960" s="2"/>
      <c r="AY960" s="69"/>
    </row>
    <row r="961" spans="1:51">
      <c r="A961" s="2"/>
      <c r="AY961" s="69"/>
    </row>
    <row r="962" spans="1:51">
      <c r="A962" s="2"/>
      <c r="AY962" s="69"/>
    </row>
    <row r="963" spans="1:51">
      <c r="A963" s="2"/>
      <c r="AY963" s="69"/>
    </row>
    <row r="964" spans="1:51">
      <c r="A964" s="2"/>
      <c r="AY964" s="69"/>
    </row>
    <row r="965" spans="1:51">
      <c r="A965" s="2"/>
      <c r="AY965" s="69"/>
    </row>
    <row r="966" spans="1:51">
      <c r="A966" s="2"/>
      <c r="AY966" s="69"/>
    </row>
    <row r="967" spans="1:51">
      <c r="A967" s="2"/>
      <c r="AY967" s="69"/>
    </row>
    <row r="968" spans="1:51">
      <c r="A968" s="2"/>
      <c r="AY968" s="69"/>
    </row>
    <row r="969" spans="1:51">
      <c r="A969" s="2"/>
      <c r="AY969" s="69"/>
    </row>
    <row r="970" spans="1:51">
      <c r="A970" s="2"/>
      <c r="AY970" s="69"/>
    </row>
    <row r="971" spans="1:51">
      <c r="A971" s="2"/>
      <c r="AY971" s="69"/>
    </row>
    <row r="972" spans="1:51">
      <c r="A972" s="2"/>
      <c r="AY972" s="69"/>
    </row>
    <row r="973" spans="1:51">
      <c r="A973" s="2"/>
      <c r="AY973" s="69"/>
    </row>
    <row r="974" spans="1:51">
      <c r="A974" s="2"/>
      <c r="AY974" s="69"/>
    </row>
    <row r="975" spans="1:51">
      <c r="A975" s="2"/>
      <c r="AY975" s="69"/>
    </row>
    <row r="976" spans="1:51">
      <c r="A976" s="2"/>
      <c r="AY976" s="69"/>
    </row>
    <row r="977" spans="1:51">
      <c r="A977" s="2"/>
      <c r="AY977" s="69"/>
    </row>
    <row r="978" spans="1:51">
      <c r="A978" s="2"/>
      <c r="AY978" s="69"/>
    </row>
    <row r="979" spans="1:51">
      <c r="A979" s="2"/>
      <c r="AY979" s="69"/>
    </row>
    <row r="980" spans="1:51">
      <c r="A980" s="2"/>
      <c r="AY980" s="69"/>
    </row>
    <row r="981" spans="1:51">
      <c r="A981" s="2"/>
      <c r="AY981" s="69"/>
    </row>
    <row r="982" spans="1:51">
      <c r="A982" s="2"/>
      <c r="AY982" s="69"/>
    </row>
    <row r="983" spans="1:51">
      <c r="A983" s="2"/>
      <c r="AY983" s="69"/>
    </row>
    <row r="984" spans="1:51">
      <c r="A984" s="2"/>
      <c r="AY984" s="69"/>
    </row>
    <row r="985" spans="1:51">
      <c r="A985" s="2"/>
      <c r="AY985" s="69"/>
    </row>
    <row r="986" spans="1:51">
      <c r="A986" s="2"/>
      <c r="AY986" s="69"/>
    </row>
    <row r="987" spans="1:51">
      <c r="A987" s="2"/>
      <c r="AY987" s="69"/>
    </row>
    <row r="988" spans="1:51">
      <c r="A988" s="2"/>
      <c r="AY988" s="69"/>
    </row>
    <row r="989" spans="1:51">
      <c r="A989" s="2"/>
      <c r="AY989" s="69"/>
    </row>
    <row r="990" spans="1:51">
      <c r="A990" s="2"/>
      <c r="AY990" s="69"/>
    </row>
    <row r="991" spans="1:51">
      <c r="A991" s="2"/>
      <c r="AY991" s="69"/>
    </row>
    <row r="992" spans="1:51">
      <c r="A992" s="2"/>
      <c r="AY992" s="69"/>
    </row>
    <row r="993" spans="1:51">
      <c r="A993" s="2"/>
      <c r="AY993" s="69"/>
    </row>
    <row r="994" spans="1:51">
      <c r="A994" s="2"/>
      <c r="AY994" s="69"/>
    </row>
    <row r="995" spans="1:51">
      <c r="A995" s="2"/>
      <c r="AY995" s="69"/>
    </row>
    <row r="996" spans="1:51">
      <c r="A996" s="2"/>
      <c r="AY996" s="69"/>
    </row>
    <row r="997" spans="1:51">
      <c r="A997" s="2"/>
      <c r="AY997" s="69"/>
    </row>
    <row r="998" spans="1:51">
      <c r="A998" s="2"/>
      <c r="AY998" s="69"/>
    </row>
    <row r="999" spans="1:51">
      <c r="A999" s="2"/>
      <c r="AY999" s="69"/>
    </row>
    <row r="1000" spans="1:51">
      <c r="A1000" s="2"/>
      <c r="AY1000" s="69"/>
    </row>
    <row r="1001" spans="1:51">
      <c r="A1001" s="2"/>
      <c r="AY1001" s="69"/>
    </row>
    <row r="1002" spans="1:51">
      <c r="A1002" s="2"/>
      <c r="AY1002" s="69"/>
    </row>
    <row r="1003" spans="1:51">
      <c r="A1003" s="2"/>
      <c r="AY1003" s="69"/>
    </row>
    <row r="1004" spans="1:51">
      <c r="A1004" s="2"/>
      <c r="AY1004" s="69"/>
    </row>
    <row r="1005" spans="1:51">
      <c r="A1005" s="2"/>
      <c r="AY1005" s="69"/>
    </row>
    <row r="1006" spans="1:51">
      <c r="A1006" s="2"/>
      <c r="AY1006" s="69"/>
    </row>
    <row r="1007" spans="1:51">
      <c r="A1007" s="2"/>
      <c r="AY1007" s="69"/>
    </row>
    <row r="1008" spans="1:51">
      <c r="A1008" s="2"/>
      <c r="AY1008" s="69"/>
    </row>
    <row r="1009" spans="1:51">
      <c r="A1009" s="2"/>
      <c r="AY1009" s="69"/>
    </row>
    <row r="1010" spans="1:51">
      <c r="A1010" s="2"/>
      <c r="AY1010" s="69"/>
    </row>
    <row r="1011" spans="1:51">
      <c r="A1011" s="2"/>
      <c r="AY1011" s="69"/>
    </row>
    <row r="1012" spans="1:51">
      <c r="A1012" s="2"/>
      <c r="AY1012" s="69"/>
    </row>
    <row r="1013" spans="1:51">
      <c r="A1013" s="2"/>
      <c r="AY1013" s="69"/>
    </row>
    <row r="1014" spans="1:51">
      <c r="A1014" s="2"/>
      <c r="AY1014" s="69"/>
    </row>
    <row r="1015" spans="1:51">
      <c r="A1015" s="2"/>
      <c r="AY1015" s="69"/>
    </row>
    <row r="1016" spans="1:51">
      <c r="A1016" s="2"/>
      <c r="AY1016" s="69"/>
    </row>
    <row r="1017" spans="1:51">
      <c r="A1017" s="2"/>
      <c r="AY1017" s="69"/>
    </row>
    <row r="1018" spans="1:51">
      <c r="A1018" s="2"/>
      <c r="AY1018" s="69"/>
    </row>
    <row r="1019" spans="1:51">
      <c r="A1019" s="2"/>
      <c r="AY1019" s="69"/>
    </row>
    <row r="1020" spans="1:51">
      <c r="A1020" s="2"/>
      <c r="AY1020" s="69"/>
    </row>
    <row r="1021" spans="1:51">
      <c r="A1021" s="2"/>
      <c r="AY1021" s="69"/>
    </row>
    <row r="1022" spans="1:51">
      <c r="A1022" s="2"/>
      <c r="AY1022" s="69"/>
    </row>
    <row r="1023" spans="1:51">
      <c r="A1023" s="2"/>
      <c r="AY1023" s="69"/>
    </row>
    <row r="1024" spans="1:51">
      <c r="A1024" s="2"/>
      <c r="AY1024" s="69"/>
    </row>
    <row r="1025" spans="1:51">
      <c r="A1025" s="2"/>
      <c r="AY1025" s="69"/>
    </row>
    <row r="1026" spans="1:51">
      <c r="A1026" s="2"/>
      <c r="AY1026" s="69"/>
    </row>
    <row r="1027" spans="1:51">
      <c r="A1027" s="2"/>
      <c r="AY1027" s="69"/>
    </row>
    <row r="1028" spans="1:51">
      <c r="A1028" s="2"/>
      <c r="AY1028" s="69"/>
    </row>
    <row r="1029" spans="1:51">
      <c r="A1029" s="2"/>
      <c r="AY1029" s="69"/>
    </row>
    <row r="1030" spans="1:51">
      <c r="A1030" s="2"/>
      <c r="AY1030" s="69"/>
    </row>
    <row r="1031" spans="1:51">
      <c r="A1031" s="2"/>
      <c r="AY1031" s="69"/>
    </row>
    <row r="1032" spans="1:51">
      <c r="A1032" s="2"/>
      <c r="AY1032" s="69"/>
    </row>
    <row r="1033" spans="1:51">
      <c r="A1033" s="2"/>
      <c r="AY1033" s="69"/>
    </row>
    <row r="1034" spans="1:51">
      <c r="A1034" s="2"/>
      <c r="AY1034" s="69"/>
    </row>
    <row r="1035" spans="1:51">
      <c r="A1035" s="2"/>
      <c r="AY1035" s="69"/>
    </row>
    <row r="1036" spans="1:51">
      <c r="A1036" s="2"/>
      <c r="AY1036" s="69"/>
    </row>
    <row r="1037" spans="1:51">
      <c r="A1037" s="2"/>
      <c r="AY1037" s="69"/>
    </row>
    <row r="1038" spans="1:51">
      <c r="A1038" s="2"/>
      <c r="AY1038" s="69"/>
    </row>
    <row r="1039" spans="1:51">
      <c r="A1039" s="2"/>
      <c r="AY1039" s="69"/>
    </row>
    <row r="1040" spans="1:51">
      <c r="A1040" s="2"/>
      <c r="AY1040" s="69"/>
    </row>
    <row r="1041" spans="1:51">
      <c r="A1041" s="2"/>
      <c r="AY1041" s="69"/>
    </row>
    <row r="1042" spans="1:51">
      <c r="A1042" s="2"/>
      <c r="AY1042" s="69"/>
    </row>
    <row r="1043" spans="1:51">
      <c r="A1043" s="2"/>
      <c r="AY1043" s="69"/>
    </row>
  </sheetData>
  <sortState xmlns:xlrd2="http://schemas.microsoft.com/office/spreadsheetml/2017/richdata2" columnSort="1" ref="C1:AX93">
    <sortCondition ref="C4:AX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5E9E-68EC-4656-A476-99A78EE735DE}">
  <sheetPr>
    <outlinePr summaryBelow="0" summaryRight="0"/>
  </sheetPr>
  <dimension ref="A1:AS1044"/>
  <sheetViews>
    <sheetView zoomScale="91" workbookViewId="0">
      <pane xSplit="2" ySplit="2" topLeftCell="C89" activePane="bottomRight" state="frozen"/>
      <selection pane="topRight" activeCell="C1" sqref="C1"/>
      <selection pane="bottomLeft" activeCell="A3" sqref="A3"/>
      <selection pane="bottomRight" activeCell="E101" sqref="E101"/>
    </sheetView>
  </sheetViews>
  <sheetFormatPr defaultColWidth="12.6640625" defaultRowHeight="15.75" customHeight="1"/>
  <cols>
    <col min="1" max="1" width="19.88671875" customWidth="1"/>
    <col min="2" max="2" width="56.44140625" customWidth="1"/>
  </cols>
  <sheetData>
    <row r="1" spans="1:45">
      <c r="A1" s="1" t="s">
        <v>0</v>
      </c>
      <c r="B1" s="79" t="s">
        <v>5</v>
      </c>
      <c r="C1" s="78">
        <v>21</v>
      </c>
      <c r="D1" s="78">
        <v>39</v>
      </c>
      <c r="E1" s="78">
        <v>11</v>
      </c>
      <c r="F1" s="78">
        <v>12</v>
      </c>
      <c r="G1" s="78">
        <v>13</v>
      </c>
      <c r="H1" s="78">
        <v>2</v>
      </c>
      <c r="I1" s="78">
        <v>9</v>
      </c>
      <c r="J1" s="78">
        <v>14</v>
      </c>
      <c r="K1" s="78">
        <v>23</v>
      </c>
      <c r="L1" s="78">
        <v>1</v>
      </c>
      <c r="M1" s="78">
        <v>19</v>
      </c>
      <c r="N1" s="78">
        <v>22</v>
      </c>
      <c r="O1" s="78">
        <v>33</v>
      </c>
      <c r="P1" s="78">
        <v>31</v>
      </c>
      <c r="Q1" s="78">
        <v>4</v>
      </c>
      <c r="R1" s="78">
        <v>15</v>
      </c>
      <c r="S1" s="78">
        <v>24</v>
      </c>
      <c r="T1" s="78">
        <v>18</v>
      </c>
      <c r="U1" s="78">
        <v>32</v>
      </c>
      <c r="V1" s="78">
        <v>5</v>
      </c>
      <c r="W1" s="78">
        <v>10</v>
      </c>
      <c r="X1" s="78">
        <v>16</v>
      </c>
      <c r="Y1" s="78">
        <v>28</v>
      </c>
      <c r="Z1" s="78">
        <v>3</v>
      </c>
      <c r="AA1" s="78">
        <v>6</v>
      </c>
      <c r="AB1" s="78">
        <v>7</v>
      </c>
      <c r="AC1" s="78">
        <v>8</v>
      </c>
      <c r="AD1" s="78">
        <v>26</v>
      </c>
      <c r="AE1" s="78">
        <v>36</v>
      </c>
      <c r="AF1" s="110">
        <v>40</v>
      </c>
      <c r="AG1" s="78">
        <v>17</v>
      </c>
      <c r="AH1" s="78">
        <v>20</v>
      </c>
      <c r="AI1" s="78">
        <v>25</v>
      </c>
      <c r="AJ1" s="78">
        <v>27</v>
      </c>
      <c r="AK1" s="78">
        <v>29</v>
      </c>
      <c r="AL1" s="78">
        <v>30</v>
      </c>
      <c r="AM1" s="78">
        <v>34</v>
      </c>
      <c r="AN1" s="78">
        <v>35</v>
      </c>
      <c r="AO1" s="78">
        <v>37</v>
      </c>
      <c r="AP1" s="80">
        <v>38</v>
      </c>
      <c r="AQ1" s="78" t="s">
        <v>2</v>
      </c>
      <c r="AR1" s="78" t="s">
        <v>3</v>
      </c>
      <c r="AS1" s="78"/>
    </row>
    <row r="2" spans="1:45">
      <c r="A2" s="5" t="s">
        <v>4</v>
      </c>
      <c r="B2" s="5" t="s">
        <v>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111"/>
      <c r="AG2" s="5"/>
      <c r="AH2" s="5"/>
      <c r="AI2" s="5"/>
      <c r="AJ2" s="5"/>
      <c r="AK2" s="5"/>
      <c r="AL2" s="5"/>
      <c r="AM2" s="5"/>
      <c r="AN2" s="5"/>
      <c r="AO2" s="5"/>
      <c r="AP2" s="81"/>
      <c r="AQ2" s="5"/>
      <c r="AR2" s="5"/>
      <c r="AS2" s="5"/>
    </row>
    <row r="3" spans="1:45">
      <c r="A3" s="5"/>
      <c r="B3" s="5" t="s">
        <v>74</v>
      </c>
      <c r="C3" s="5">
        <v>3</v>
      </c>
      <c r="D3" s="5">
        <v>3</v>
      </c>
      <c r="E3" s="5">
        <v>4</v>
      </c>
      <c r="F3" s="5">
        <v>4</v>
      </c>
      <c r="G3" s="5">
        <v>4</v>
      </c>
      <c r="H3" s="5">
        <v>6</v>
      </c>
      <c r="I3" s="5">
        <v>6</v>
      </c>
      <c r="J3" s="5">
        <v>6</v>
      </c>
      <c r="K3" s="5">
        <v>7</v>
      </c>
      <c r="L3" s="5">
        <v>8</v>
      </c>
      <c r="M3" s="5">
        <v>8</v>
      </c>
      <c r="N3" s="5">
        <v>8</v>
      </c>
      <c r="O3" s="5">
        <v>8</v>
      </c>
      <c r="P3" s="5">
        <v>9</v>
      </c>
      <c r="Q3" s="5">
        <v>10</v>
      </c>
      <c r="R3" s="5">
        <v>10</v>
      </c>
      <c r="S3" s="5">
        <v>11</v>
      </c>
      <c r="T3" s="5">
        <v>12</v>
      </c>
      <c r="U3" s="5">
        <v>12</v>
      </c>
      <c r="V3" s="5">
        <v>13</v>
      </c>
      <c r="W3" s="5">
        <v>13</v>
      </c>
      <c r="X3" s="5">
        <v>13</v>
      </c>
      <c r="Y3" s="5">
        <v>13</v>
      </c>
      <c r="Z3" s="5">
        <v>14</v>
      </c>
      <c r="AA3" s="5">
        <v>14</v>
      </c>
      <c r="AB3" s="5">
        <v>14</v>
      </c>
      <c r="AC3" s="5">
        <v>14</v>
      </c>
      <c r="AD3" s="5">
        <v>14</v>
      </c>
      <c r="AE3" s="5">
        <v>14</v>
      </c>
      <c r="AF3" s="111">
        <v>14</v>
      </c>
      <c r="AG3" s="5">
        <v>15</v>
      </c>
      <c r="AH3" s="5">
        <v>15</v>
      </c>
      <c r="AI3" s="5">
        <v>15</v>
      </c>
      <c r="AJ3" s="5">
        <v>15</v>
      </c>
      <c r="AK3" s="5">
        <v>15</v>
      </c>
      <c r="AL3" s="5">
        <v>15</v>
      </c>
      <c r="AM3" s="5">
        <v>15</v>
      </c>
      <c r="AN3" s="5">
        <v>15</v>
      </c>
      <c r="AO3" s="5">
        <v>15</v>
      </c>
      <c r="AP3" s="81">
        <v>15</v>
      </c>
      <c r="AQ3" s="5"/>
      <c r="AR3" s="5"/>
      <c r="AS3" s="5"/>
    </row>
    <row r="4" spans="1:45">
      <c r="A4" s="5"/>
      <c r="B4" s="5" t="s">
        <v>8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10</v>
      </c>
      <c r="H4" s="5" t="s">
        <v>10</v>
      </c>
      <c r="I4" s="5" t="s">
        <v>9</v>
      </c>
      <c r="J4" s="5" t="s">
        <v>10</v>
      </c>
      <c r="K4" s="5" t="s">
        <v>10</v>
      </c>
      <c r="L4" s="5" t="s">
        <v>9</v>
      </c>
      <c r="M4" s="5" t="s">
        <v>9</v>
      </c>
      <c r="N4" s="5" t="s">
        <v>9</v>
      </c>
      <c r="O4" s="5" t="s">
        <v>10</v>
      </c>
      <c r="P4" s="5" t="s">
        <v>9</v>
      </c>
      <c r="Q4" s="5" t="s">
        <v>9</v>
      </c>
      <c r="R4" s="5" t="s">
        <v>10</v>
      </c>
      <c r="S4" s="5" t="s">
        <v>9</v>
      </c>
      <c r="T4" s="5" t="s">
        <v>9</v>
      </c>
      <c r="U4" s="5" t="s">
        <v>10</v>
      </c>
      <c r="V4" s="5" t="s">
        <v>10</v>
      </c>
      <c r="W4" s="5" t="s">
        <v>10</v>
      </c>
      <c r="X4" s="5" t="s">
        <v>9</v>
      </c>
      <c r="Y4" s="5" t="s">
        <v>9</v>
      </c>
      <c r="Z4" s="5" t="s">
        <v>10</v>
      </c>
      <c r="AA4" s="5" t="s">
        <v>9</v>
      </c>
      <c r="AB4" s="5" t="s">
        <v>9</v>
      </c>
      <c r="AC4" s="5" t="s">
        <v>10</v>
      </c>
      <c r="AD4" s="5" t="s">
        <v>9</v>
      </c>
      <c r="AE4" s="5" t="s">
        <v>9</v>
      </c>
      <c r="AF4" s="111" t="s">
        <v>9</v>
      </c>
      <c r="AG4" s="5" t="s">
        <v>9</v>
      </c>
      <c r="AH4" s="5" t="s">
        <v>10</v>
      </c>
      <c r="AI4" s="5" t="s">
        <v>9</v>
      </c>
      <c r="AJ4" s="5" t="s">
        <v>9</v>
      </c>
      <c r="AK4" s="5" t="s">
        <v>9</v>
      </c>
      <c r="AL4" s="5" t="s">
        <v>10</v>
      </c>
      <c r="AM4" s="5" t="s">
        <v>10</v>
      </c>
      <c r="AN4" s="5" t="s">
        <v>9</v>
      </c>
      <c r="AO4" s="5" t="s">
        <v>9</v>
      </c>
      <c r="AP4" s="81" t="s">
        <v>9</v>
      </c>
      <c r="AQ4" s="5"/>
      <c r="AR4" s="5"/>
      <c r="AS4" s="5"/>
    </row>
    <row r="5" spans="1:45">
      <c r="A5" s="5"/>
      <c r="B5" s="5" t="s">
        <v>11</v>
      </c>
      <c r="C5" s="5"/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75</v>
      </c>
      <c r="N5" s="5"/>
      <c r="O5" s="5" t="s">
        <v>12</v>
      </c>
      <c r="P5" s="5" t="s">
        <v>12</v>
      </c>
      <c r="Q5" s="5" t="s">
        <v>12</v>
      </c>
      <c r="R5" s="5" t="s">
        <v>12</v>
      </c>
      <c r="S5" s="5"/>
      <c r="T5" s="5" t="s">
        <v>12</v>
      </c>
      <c r="U5" s="5" t="s">
        <v>12</v>
      </c>
      <c r="V5" s="5" t="s">
        <v>12</v>
      </c>
      <c r="W5" s="5" t="s">
        <v>75</v>
      </c>
      <c r="X5" s="5" t="s">
        <v>12</v>
      </c>
      <c r="Y5" s="5" t="s">
        <v>12</v>
      </c>
      <c r="Z5" s="5" t="s">
        <v>12</v>
      </c>
      <c r="AA5" s="5" t="s">
        <v>12</v>
      </c>
      <c r="AB5" s="5" t="s">
        <v>12</v>
      </c>
      <c r="AC5" s="5"/>
      <c r="AD5" s="5"/>
      <c r="AE5" s="5" t="s">
        <v>12</v>
      </c>
      <c r="AF5" s="111" t="s">
        <v>12</v>
      </c>
      <c r="AG5" s="5" t="s">
        <v>12</v>
      </c>
      <c r="AH5" s="5" t="s">
        <v>12</v>
      </c>
      <c r="AI5" s="5" t="s">
        <v>12</v>
      </c>
      <c r="AJ5" s="5" t="s">
        <v>12</v>
      </c>
      <c r="AK5" s="5" t="s">
        <v>12</v>
      </c>
      <c r="AL5" s="5"/>
      <c r="AM5" s="5" t="s">
        <v>12</v>
      </c>
      <c r="AN5" s="5" t="s">
        <v>12</v>
      </c>
      <c r="AO5" s="5" t="s">
        <v>12</v>
      </c>
      <c r="AP5" s="81" t="s">
        <v>12</v>
      </c>
      <c r="AQ5" s="5"/>
      <c r="AR5" s="5"/>
      <c r="AS5" s="5"/>
    </row>
    <row r="6" spans="1:45">
      <c r="A6" s="5"/>
      <c r="B6" s="5" t="s">
        <v>76</v>
      </c>
      <c r="C6" s="5" t="s">
        <v>59</v>
      </c>
      <c r="D6" s="5" t="s">
        <v>59</v>
      </c>
      <c r="E6" s="5" t="s">
        <v>59</v>
      </c>
      <c r="F6" s="5" t="s">
        <v>59</v>
      </c>
      <c r="G6" s="5" t="s">
        <v>59</v>
      </c>
      <c r="H6" s="5" t="s">
        <v>59</v>
      </c>
      <c r="I6" s="5" t="s">
        <v>59</v>
      </c>
      <c r="J6" s="5" t="s">
        <v>59</v>
      </c>
      <c r="K6" s="5" t="s">
        <v>59</v>
      </c>
      <c r="L6" s="5" t="s">
        <v>59</v>
      </c>
      <c r="M6" s="5" t="s">
        <v>59</v>
      </c>
      <c r="N6" s="5" t="s">
        <v>59</v>
      </c>
      <c r="O6" s="7"/>
      <c r="P6" s="7"/>
      <c r="Q6" s="5" t="s">
        <v>59</v>
      </c>
      <c r="R6" s="5" t="s">
        <v>59</v>
      </c>
      <c r="S6" s="5" t="s">
        <v>59</v>
      </c>
      <c r="T6" s="5" t="s">
        <v>59</v>
      </c>
      <c r="U6" s="7"/>
      <c r="V6" s="5" t="s">
        <v>59</v>
      </c>
      <c r="W6" s="5" t="s">
        <v>59</v>
      </c>
      <c r="X6" s="5" t="s">
        <v>61</v>
      </c>
      <c r="Y6" s="5" t="s">
        <v>61</v>
      </c>
      <c r="Z6" s="5" t="s">
        <v>59</v>
      </c>
      <c r="AA6" s="5" t="s">
        <v>77</v>
      </c>
      <c r="AB6" s="5" t="s">
        <v>61</v>
      </c>
      <c r="AC6" s="5" t="s">
        <v>78</v>
      </c>
      <c r="AD6" s="5" t="s">
        <v>59</v>
      </c>
      <c r="AE6" s="5" t="s">
        <v>59</v>
      </c>
      <c r="AF6" s="111" t="s">
        <v>59</v>
      </c>
      <c r="AG6" s="5" t="s">
        <v>61</v>
      </c>
      <c r="AH6" s="5" t="s">
        <v>61</v>
      </c>
      <c r="AI6" s="5" t="s">
        <v>61</v>
      </c>
      <c r="AJ6" s="5" t="s">
        <v>79</v>
      </c>
      <c r="AK6" s="5" t="s">
        <v>61</v>
      </c>
      <c r="AL6" s="7"/>
      <c r="AM6" s="5" t="s">
        <v>59</v>
      </c>
      <c r="AN6" s="5" t="s">
        <v>59</v>
      </c>
      <c r="AO6" s="5" t="s">
        <v>59</v>
      </c>
      <c r="AP6" s="81" t="s">
        <v>61</v>
      </c>
      <c r="AQ6" s="5"/>
      <c r="AR6" s="5"/>
      <c r="AS6" s="5"/>
    </row>
    <row r="7" spans="1:45">
      <c r="A7" s="5"/>
      <c r="B7" s="82" t="s">
        <v>80</v>
      </c>
      <c r="C7" s="7"/>
      <c r="D7" s="5" t="s">
        <v>81</v>
      </c>
      <c r="E7" s="5" t="s">
        <v>81</v>
      </c>
      <c r="F7" s="5" t="s">
        <v>81</v>
      </c>
      <c r="G7" s="5" t="s">
        <v>81</v>
      </c>
      <c r="H7" s="5" t="s">
        <v>81</v>
      </c>
      <c r="I7" s="5" t="s">
        <v>81</v>
      </c>
      <c r="J7" s="5" t="s">
        <v>81</v>
      </c>
      <c r="K7" s="7"/>
      <c r="L7" s="5" t="s">
        <v>81</v>
      </c>
      <c r="M7" s="5" t="s">
        <v>83</v>
      </c>
      <c r="N7" s="7"/>
      <c r="O7" s="5" t="s">
        <v>81</v>
      </c>
      <c r="P7" s="5" t="s">
        <v>81</v>
      </c>
      <c r="Q7" s="5" t="s">
        <v>81</v>
      </c>
      <c r="R7" s="5" t="s">
        <v>81</v>
      </c>
      <c r="S7" s="7"/>
      <c r="T7" s="5" t="s">
        <v>84</v>
      </c>
      <c r="U7" s="5" t="s">
        <v>81</v>
      </c>
      <c r="V7" s="5" t="s">
        <v>81</v>
      </c>
      <c r="W7" s="5" t="s">
        <v>83</v>
      </c>
      <c r="X7" s="5" t="s">
        <v>81</v>
      </c>
      <c r="Y7" s="5" t="s">
        <v>81</v>
      </c>
      <c r="Z7" s="5" t="s">
        <v>81</v>
      </c>
      <c r="AA7" s="5" t="s">
        <v>81</v>
      </c>
      <c r="AB7" s="5" t="s">
        <v>82</v>
      </c>
      <c r="AC7" s="5" t="s">
        <v>81</v>
      </c>
      <c r="AD7" s="5" t="s">
        <v>81</v>
      </c>
      <c r="AE7" s="5" t="s">
        <v>81</v>
      </c>
      <c r="AF7" s="112"/>
      <c r="AG7" s="5" t="s">
        <v>81</v>
      </c>
      <c r="AH7" s="5" t="s">
        <v>81</v>
      </c>
      <c r="AI7" s="7"/>
      <c r="AJ7" s="7"/>
      <c r="AK7" s="5" t="s">
        <v>81</v>
      </c>
      <c r="AL7" s="5" t="s">
        <v>81</v>
      </c>
      <c r="AM7" s="5" t="s">
        <v>81</v>
      </c>
      <c r="AN7" s="5" t="s">
        <v>81</v>
      </c>
      <c r="AO7" s="5" t="s">
        <v>81</v>
      </c>
      <c r="AP7" s="81" t="s">
        <v>81</v>
      </c>
      <c r="AQ7" s="7"/>
      <c r="AR7" s="7"/>
      <c r="AS7" s="7"/>
    </row>
    <row r="8" spans="1:45">
      <c r="A8" s="5"/>
      <c r="B8" s="82" t="s">
        <v>85</v>
      </c>
      <c r="C8" s="7"/>
      <c r="D8" s="5" t="s">
        <v>81</v>
      </c>
      <c r="E8" s="5" t="s">
        <v>81</v>
      </c>
      <c r="F8" s="5" t="s">
        <v>81</v>
      </c>
      <c r="G8" s="5" t="s">
        <v>81</v>
      </c>
      <c r="H8" s="5" t="s">
        <v>81</v>
      </c>
      <c r="I8" s="5" t="s">
        <v>81</v>
      </c>
      <c r="J8" s="5" t="s">
        <v>81</v>
      </c>
      <c r="K8" s="7"/>
      <c r="L8" s="5" t="s">
        <v>81</v>
      </c>
      <c r="M8" s="5" t="s">
        <v>81</v>
      </c>
      <c r="N8" s="7"/>
      <c r="O8" s="5" t="s">
        <v>81</v>
      </c>
      <c r="P8" s="5" t="s">
        <v>81</v>
      </c>
      <c r="Q8" s="5" t="s">
        <v>81</v>
      </c>
      <c r="R8" s="5" t="s">
        <v>81</v>
      </c>
      <c r="S8" s="7"/>
      <c r="T8" s="5" t="s">
        <v>84</v>
      </c>
      <c r="U8" s="5" t="s">
        <v>81</v>
      </c>
      <c r="V8" s="5" t="s">
        <v>81</v>
      </c>
      <c r="W8" s="5" t="s">
        <v>81</v>
      </c>
      <c r="X8" s="5" t="s">
        <v>81</v>
      </c>
      <c r="Y8" s="5" t="s">
        <v>81</v>
      </c>
      <c r="Z8" s="5" t="s">
        <v>81</v>
      </c>
      <c r="AA8" s="5" t="s">
        <v>81</v>
      </c>
      <c r="AB8" s="5" t="s">
        <v>82</v>
      </c>
      <c r="AC8" s="5" t="s">
        <v>81</v>
      </c>
      <c r="AD8" s="5" t="s">
        <v>81</v>
      </c>
      <c r="AE8" s="5" t="s">
        <v>86</v>
      </c>
      <c r="AF8" s="112"/>
      <c r="AG8" s="5" t="s">
        <v>81</v>
      </c>
      <c r="AH8" s="5" t="s">
        <v>81</v>
      </c>
      <c r="AI8" s="7"/>
      <c r="AJ8" s="7"/>
      <c r="AK8" s="5" t="s">
        <v>81</v>
      </c>
      <c r="AL8" s="5" t="s">
        <v>81</v>
      </c>
      <c r="AM8" s="5" t="s">
        <v>81</v>
      </c>
      <c r="AN8" s="5" t="s">
        <v>81</v>
      </c>
      <c r="AO8" s="5" t="s">
        <v>81</v>
      </c>
      <c r="AP8" s="81" t="s">
        <v>81</v>
      </c>
      <c r="AQ8" s="7"/>
      <c r="AR8" s="7"/>
      <c r="AS8" s="7"/>
    </row>
    <row r="9" spans="1:45">
      <c r="A9" s="8" t="s">
        <v>87</v>
      </c>
      <c r="B9" s="83" t="s">
        <v>19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13"/>
      <c r="AG9" s="9"/>
      <c r="AH9" s="9"/>
      <c r="AI9" s="9"/>
      <c r="AJ9" s="9"/>
      <c r="AK9" s="9"/>
      <c r="AL9" s="9"/>
      <c r="AM9" s="9"/>
      <c r="AN9" s="9"/>
      <c r="AO9" s="9"/>
      <c r="AP9" s="84"/>
      <c r="AQ9" s="9"/>
      <c r="AR9" s="9">
        <f>COLUMNS(C11:AP11)</f>
        <v>40</v>
      </c>
      <c r="AS9" s="9"/>
    </row>
    <row r="10" spans="1:45">
      <c r="A10" s="8" t="s">
        <v>88</v>
      </c>
      <c r="B10" s="75" t="s">
        <v>89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13"/>
      <c r="AG10" s="9"/>
      <c r="AH10" s="9"/>
      <c r="AI10" s="9"/>
      <c r="AJ10" s="9"/>
      <c r="AK10" s="9"/>
      <c r="AL10" s="9"/>
      <c r="AM10" s="9"/>
      <c r="AN10" s="9"/>
      <c r="AO10" s="9"/>
      <c r="AP10" s="84"/>
      <c r="AQ10" s="9"/>
      <c r="AR10" s="9"/>
      <c r="AS10" s="9"/>
    </row>
    <row r="11" spans="1:45">
      <c r="A11" s="8"/>
      <c r="B11" s="12" t="s">
        <v>23</v>
      </c>
      <c r="C11" s="75">
        <v>1</v>
      </c>
      <c r="D11" s="75">
        <v>1</v>
      </c>
      <c r="E11" s="75">
        <v>1</v>
      </c>
      <c r="F11" s="75">
        <v>1</v>
      </c>
      <c r="G11" s="75">
        <v>1</v>
      </c>
      <c r="H11" s="75">
        <v>2.5</v>
      </c>
      <c r="I11" s="75">
        <v>2</v>
      </c>
      <c r="J11" s="75">
        <v>1</v>
      </c>
      <c r="K11" s="75">
        <v>1</v>
      </c>
      <c r="L11" s="75">
        <v>1</v>
      </c>
      <c r="M11" s="75">
        <v>2</v>
      </c>
      <c r="N11" s="75">
        <v>1.5</v>
      </c>
      <c r="O11" s="75">
        <v>1.3</v>
      </c>
      <c r="P11" s="75">
        <v>1.2</v>
      </c>
      <c r="Q11" s="75">
        <v>3</v>
      </c>
      <c r="R11" s="75">
        <v>1</v>
      </c>
      <c r="S11" s="75">
        <v>2</v>
      </c>
      <c r="T11" s="75">
        <v>1</v>
      </c>
      <c r="U11" s="75">
        <v>1.2</v>
      </c>
      <c r="V11" s="75">
        <v>3</v>
      </c>
      <c r="W11" s="75">
        <v>2</v>
      </c>
      <c r="X11" s="75">
        <v>1</v>
      </c>
      <c r="Y11" s="75">
        <v>3.5</v>
      </c>
      <c r="Z11" s="75">
        <v>3</v>
      </c>
      <c r="AA11" s="75">
        <v>4</v>
      </c>
      <c r="AB11" s="75">
        <v>1</v>
      </c>
      <c r="AC11" s="75">
        <v>2</v>
      </c>
      <c r="AD11" s="75">
        <v>1</v>
      </c>
      <c r="AE11" s="75">
        <v>3</v>
      </c>
      <c r="AF11" s="114">
        <v>5</v>
      </c>
      <c r="AG11" s="75">
        <v>1</v>
      </c>
      <c r="AH11" s="75">
        <v>2</v>
      </c>
      <c r="AI11" s="75">
        <v>1</v>
      </c>
      <c r="AJ11" s="75">
        <v>3</v>
      </c>
      <c r="AK11" s="75">
        <v>2.5</v>
      </c>
      <c r="AL11" s="75">
        <v>2</v>
      </c>
      <c r="AM11" s="75">
        <v>2.5</v>
      </c>
      <c r="AN11" s="75">
        <v>2.5</v>
      </c>
      <c r="AO11" s="75">
        <v>3</v>
      </c>
      <c r="AP11" s="18">
        <v>2.5</v>
      </c>
      <c r="AQ11" s="75">
        <f t="array" ref="AQ11">SUM(15-ROUND(C11:AP11,0))</f>
        <v>520</v>
      </c>
      <c r="AR11" s="75">
        <f t="shared" ref="AR11:AR12" si="0">0.61*(AQ11/COLUMNS(C11:AP11))</f>
        <v>7.93</v>
      </c>
      <c r="AS11" s="75"/>
    </row>
    <row r="12" spans="1:45">
      <c r="A12" s="8"/>
      <c r="B12" s="12" t="s">
        <v>24</v>
      </c>
      <c r="C12" s="75">
        <v>3</v>
      </c>
      <c r="D12" s="75">
        <v>0.75</v>
      </c>
      <c r="E12" s="75">
        <v>2</v>
      </c>
      <c r="F12" s="75">
        <v>2</v>
      </c>
      <c r="G12" s="75">
        <v>2</v>
      </c>
      <c r="H12" s="75">
        <v>2.5</v>
      </c>
      <c r="I12" s="75">
        <v>6</v>
      </c>
      <c r="J12" s="75">
        <v>2</v>
      </c>
      <c r="K12" s="75">
        <v>2</v>
      </c>
      <c r="L12" s="75">
        <v>3</v>
      </c>
      <c r="M12" s="75">
        <v>3</v>
      </c>
      <c r="N12" s="75">
        <v>4</v>
      </c>
      <c r="O12" s="75">
        <v>1.5</v>
      </c>
      <c r="P12" s="75">
        <v>4</v>
      </c>
      <c r="Q12" s="75">
        <v>5</v>
      </c>
      <c r="R12" s="75">
        <v>2</v>
      </c>
      <c r="S12" s="75">
        <v>4</v>
      </c>
      <c r="T12" s="75">
        <v>1</v>
      </c>
      <c r="U12" s="75">
        <v>5</v>
      </c>
      <c r="V12" s="75">
        <v>7</v>
      </c>
      <c r="W12" s="75">
        <v>5</v>
      </c>
      <c r="X12" s="75">
        <v>2</v>
      </c>
      <c r="Y12" s="75">
        <v>3.5</v>
      </c>
      <c r="Z12" s="75">
        <v>6</v>
      </c>
      <c r="AA12" s="75">
        <v>9</v>
      </c>
      <c r="AB12" s="75">
        <v>1</v>
      </c>
      <c r="AC12" s="75">
        <v>2</v>
      </c>
      <c r="AD12" s="75">
        <v>3</v>
      </c>
      <c r="AE12" s="75">
        <v>2.5</v>
      </c>
      <c r="AF12" s="114">
        <v>5</v>
      </c>
      <c r="AG12" s="75">
        <v>2</v>
      </c>
      <c r="AH12" s="75">
        <v>5</v>
      </c>
      <c r="AI12" s="75">
        <v>7</v>
      </c>
      <c r="AJ12" s="75">
        <v>3</v>
      </c>
      <c r="AK12" s="75">
        <v>2.5</v>
      </c>
      <c r="AL12" s="75">
        <v>5</v>
      </c>
      <c r="AM12" s="75">
        <v>2.5</v>
      </c>
      <c r="AN12" s="75">
        <v>3</v>
      </c>
      <c r="AO12" s="75">
        <v>2.5</v>
      </c>
      <c r="AP12" s="18">
        <v>3</v>
      </c>
      <c r="AQ12" s="75">
        <f t="array" ref="AQ12">SUM(15-ROUND(C12:AP12,0))</f>
        <v>460</v>
      </c>
      <c r="AR12" s="75">
        <f t="shared" si="0"/>
        <v>7.0149999999999997</v>
      </c>
      <c r="AS12" s="75"/>
    </row>
    <row r="13" spans="1:45">
      <c r="A13" s="8" t="s">
        <v>88</v>
      </c>
      <c r="B13" s="75" t="s">
        <v>90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13"/>
      <c r="AG13" s="9"/>
      <c r="AH13" s="9"/>
      <c r="AI13" s="9"/>
      <c r="AJ13" s="9"/>
      <c r="AK13" s="9"/>
      <c r="AL13" s="9"/>
      <c r="AM13" s="9"/>
      <c r="AN13" s="9"/>
      <c r="AO13" s="9"/>
      <c r="AP13" s="84"/>
      <c r="AQ13" s="75"/>
      <c r="AR13" s="75"/>
      <c r="AS13" s="9"/>
    </row>
    <row r="14" spans="1:45">
      <c r="A14" s="8"/>
      <c r="B14" s="12" t="s">
        <v>23</v>
      </c>
      <c r="C14" s="75">
        <v>2</v>
      </c>
      <c r="D14" s="75">
        <v>2</v>
      </c>
      <c r="E14" s="75">
        <v>1</v>
      </c>
      <c r="F14" s="75">
        <v>1</v>
      </c>
      <c r="G14" s="75">
        <v>1</v>
      </c>
      <c r="H14" s="75">
        <v>3</v>
      </c>
      <c r="I14" s="75">
        <v>5</v>
      </c>
      <c r="J14" s="75">
        <v>1</v>
      </c>
      <c r="K14" s="75">
        <v>3</v>
      </c>
      <c r="L14" s="75">
        <v>3</v>
      </c>
      <c r="M14" s="75">
        <v>3</v>
      </c>
      <c r="N14" s="75">
        <v>2</v>
      </c>
      <c r="O14" s="75">
        <v>3</v>
      </c>
      <c r="P14" s="75">
        <v>2</v>
      </c>
      <c r="Q14" s="75">
        <v>5</v>
      </c>
      <c r="R14" s="75">
        <v>1</v>
      </c>
      <c r="S14" s="75">
        <v>4</v>
      </c>
      <c r="T14" s="75">
        <v>5</v>
      </c>
      <c r="U14" s="75">
        <v>3</v>
      </c>
      <c r="V14" s="75">
        <v>5</v>
      </c>
      <c r="W14" s="75">
        <v>3</v>
      </c>
      <c r="X14" s="75">
        <v>1</v>
      </c>
      <c r="Y14" s="75">
        <v>4.5</v>
      </c>
      <c r="Z14" s="75">
        <v>5</v>
      </c>
      <c r="AA14" s="75">
        <v>5</v>
      </c>
      <c r="AB14" s="75">
        <v>3</v>
      </c>
      <c r="AC14" s="75">
        <v>6</v>
      </c>
      <c r="AD14" s="75">
        <v>1.5</v>
      </c>
      <c r="AE14" s="75">
        <v>4</v>
      </c>
      <c r="AF14" s="114">
        <v>6</v>
      </c>
      <c r="AG14" s="75">
        <v>1</v>
      </c>
      <c r="AH14" s="75">
        <v>4</v>
      </c>
      <c r="AI14" s="75">
        <v>2</v>
      </c>
      <c r="AJ14" s="75">
        <v>4</v>
      </c>
      <c r="AK14" s="75">
        <v>4</v>
      </c>
      <c r="AL14" s="75">
        <v>3</v>
      </c>
      <c r="AM14" s="75">
        <v>4.5</v>
      </c>
      <c r="AN14" s="75">
        <v>4</v>
      </c>
      <c r="AO14" s="75">
        <v>4</v>
      </c>
      <c r="AP14" s="18">
        <v>4</v>
      </c>
      <c r="AQ14" s="75">
        <f t="array" ref="AQ14">SUM(15-ROUND(C14:AP14,0))</f>
        <v>470</v>
      </c>
      <c r="AR14" s="75">
        <f t="shared" ref="AR14:AR15" si="1">0.61*(AQ14/COLUMNS(C14:AP14))</f>
        <v>7.1674999999999995</v>
      </c>
      <c r="AS14" s="75"/>
    </row>
    <row r="15" spans="1:45">
      <c r="A15" s="8"/>
      <c r="B15" s="12" t="s">
        <v>24</v>
      </c>
      <c r="C15" s="75"/>
      <c r="D15" s="75">
        <v>2</v>
      </c>
      <c r="E15" s="75">
        <v>2</v>
      </c>
      <c r="F15" s="75">
        <v>2</v>
      </c>
      <c r="G15" s="75">
        <v>2</v>
      </c>
      <c r="H15" s="75">
        <v>3</v>
      </c>
      <c r="I15" s="75">
        <v>6</v>
      </c>
      <c r="J15" s="75">
        <v>2</v>
      </c>
      <c r="K15" s="75">
        <v>4</v>
      </c>
      <c r="L15" s="75">
        <v>3</v>
      </c>
      <c r="M15" s="75">
        <v>5</v>
      </c>
      <c r="N15" s="75">
        <v>8</v>
      </c>
      <c r="O15" s="75">
        <v>3</v>
      </c>
      <c r="P15" s="75">
        <v>7</v>
      </c>
      <c r="Q15" s="75">
        <v>9</v>
      </c>
      <c r="R15" s="75">
        <v>2</v>
      </c>
      <c r="S15" s="75">
        <v>5</v>
      </c>
      <c r="T15" s="75">
        <v>6</v>
      </c>
      <c r="U15" s="75">
        <v>7</v>
      </c>
      <c r="V15" s="75">
        <v>10</v>
      </c>
      <c r="W15" s="75">
        <v>6</v>
      </c>
      <c r="X15" s="75">
        <v>2</v>
      </c>
      <c r="Y15" s="75">
        <v>4</v>
      </c>
      <c r="Z15" s="75">
        <v>10</v>
      </c>
      <c r="AA15" s="75">
        <v>10</v>
      </c>
      <c r="AB15" s="75">
        <v>3</v>
      </c>
      <c r="AC15" s="75">
        <v>5</v>
      </c>
      <c r="AD15" s="75">
        <v>5</v>
      </c>
      <c r="AE15" s="75">
        <v>5</v>
      </c>
      <c r="AF15" s="114">
        <v>6</v>
      </c>
      <c r="AG15" s="75">
        <v>2</v>
      </c>
      <c r="AH15" s="75">
        <v>6</v>
      </c>
      <c r="AI15" s="75">
        <v>8</v>
      </c>
      <c r="AJ15" s="75">
        <v>3</v>
      </c>
      <c r="AK15" s="75">
        <v>5</v>
      </c>
      <c r="AL15" s="75">
        <v>9</v>
      </c>
      <c r="AM15" s="75">
        <v>4.5</v>
      </c>
      <c r="AN15" s="75">
        <v>5</v>
      </c>
      <c r="AO15" s="75">
        <v>5</v>
      </c>
      <c r="AP15" s="18">
        <v>4.5</v>
      </c>
      <c r="AQ15" s="75">
        <f t="array" ref="AQ15">SUM(15-ROUND(C15:AP15,0))</f>
        <v>403</v>
      </c>
      <c r="AR15" s="75">
        <f t="shared" si="1"/>
        <v>6.1457499999999996</v>
      </c>
      <c r="AS15" s="75"/>
    </row>
    <row r="16" spans="1:45">
      <c r="A16" s="8" t="s">
        <v>26</v>
      </c>
      <c r="B16" s="75" t="s">
        <v>91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13"/>
      <c r="AG16" s="9"/>
      <c r="AH16" s="9"/>
      <c r="AI16" s="9"/>
      <c r="AJ16" s="9"/>
      <c r="AK16" s="9"/>
      <c r="AL16" s="9"/>
      <c r="AM16" s="9"/>
      <c r="AN16" s="9"/>
      <c r="AO16" s="9"/>
      <c r="AP16" s="84"/>
      <c r="AQ16" s="9"/>
      <c r="AR16" s="75"/>
      <c r="AS16" s="9"/>
    </row>
    <row r="17" spans="1:45">
      <c r="A17" s="8"/>
      <c r="B17" s="12" t="s">
        <v>23</v>
      </c>
      <c r="C17" s="75">
        <v>3</v>
      </c>
      <c r="D17" s="75">
        <v>3</v>
      </c>
      <c r="E17" s="75">
        <v>4</v>
      </c>
      <c r="F17" s="75">
        <v>4</v>
      </c>
      <c r="G17" s="75">
        <v>4</v>
      </c>
      <c r="H17" s="75">
        <v>6</v>
      </c>
      <c r="I17" s="75">
        <v>6</v>
      </c>
      <c r="J17" s="75">
        <v>6</v>
      </c>
      <c r="K17" s="75">
        <v>7</v>
      </c>
      <c r="L17" s="75">
        <v>8</v>
      </c>
      <c r="M17" s="75">
        <v>8</v>
      </c>
      <c r="N17" s="75">
        <v>8</v>
      </c>
      <c r="O17" s="75">
        <v>8</v>
      </c>
      <c r="P17" s="75">
        <v>9</v>
      </c>
      <c r="Q17" s="75">
        <v>10</v>
      </c>
      <c r="R17" s="75">
        <v>10</v>
      </c>
      <c r="S17" s="75">
        <v>11</v>
      </c>
      <c r="T17" s="75">
        <v>12</v>
      </c>
      <c r="U17" s="75">
        <v>12</v>
      </c>
      <c r="V17" s="75">
        <v>10</v>
      </c>
      <c r="W17" s="75">
        <v>13</v>
      </c>
      <c r="X17" s="75">
        <v>13</v>
      </c>
      <c r="Y17" s="75">
        <v>13</v>
      </c>
      <c r="Z17" s="75">
        <v>14</v>
      </c>
      <c r="AA17" s="75">
        <v>14</v>
      </c>
      <c r="AB17" s="75">
        <v>14</v>
      </c>
      <c r="AC17" s="75">
        <v>14</v>
      </c>
      <c r="AD17" s="75">
        <v>14</v>
      </c>
      <c r="AE17" s="75">
        <v>14</v>
      </c>
      <c r="AF17" s="114">
        <v>14</v>
      </c>
      <c r="AG17" s="75">
        <v>15</v>
      </c>
      <c r="AH17" s="75">
        <v>15</v>
      </c>
      <c r="AI17" s="75">
        <v>15</v>
      </c>
      <c r="AJ17" s="75">
        <v>15</v>
      </c>
      <c r="AK17" s="75">
        <v>15</v>
      </c>
      <c r="AL17" s="75">
        <v>15</v>
      </c>
      <c r="AM17" s="75">
        <v>15</v>
      </c>
      <c r="AN17" s="75">
        <v>15</v>
      </c>
      <c r="AO17" s="75">
        <v>15</v>
      </c>
      <c r="AP17" s="18">
        <v>15</v>
      </c>
      <c r="AQ17" s="75">
        <f t="shared" ref="AQ17:AQ27" si="2">SUM(C17:AP17,0)</f>
        <v>436</v>
      </c>
      <c r="AR17" s="75">
        <f t="shared" ref="AR17:AR27" si="3">0.61*(AQ17/COLUMNS(C17:AP17))</f>
        <v>6.649</v>
      </c>
      <c r="AS17" s="75"/>
    </row>
    <row r="18" spans="1:45">
      <c r="A18" s="8"/>
      <c r="B18" s="12" t="s">
        <v>24</v>
      </c>
      <c r="C18" s="75">
        <v>3</v>
      </c>
      <c r="D18" s="75">
        <v>3</v>
      </c>
      <c r="E18" s="75">
        <v>4</v>
      </c>
      <c r="F18" s="75">
        <v>4</v>
      </c>
      <c r="G18" s="75">
        <v>4</v>
      </c>
      <c r="H18" s="75">
        <v>6</v>
      </c>
      <c r="I18" s="75">
        <v>6</v>
      </c>
      <c r="J18" s="75">
        <v>6</v>
      </c>
      <c r="K18" s="75">
        <v>7</v>
      </c>
      <c r="L18" s="75">
        <v>8</v>
      </c>
      <c r="M18" s="75">
        <v>8</v>
      </c>
      <c r="N18" s="75">
        <v>8</v>
      </c>
      <c r="O18" s="75">
        <v>8</v>
      </c>
      <c r="P18" s="75">
        <v>9</v>
      </c>
      <c r="Q18" s="75">
        <v>10</v>
      </c>
      <c r="R18" s="75">
        <v>10</v>
      </c>
      <c r="S18" s="75">
        <v>11</v>
      </c>
      <c r="T18" s="75">
        <v>12</v>
      </c>
      <c r="U18" s="75">
        <v>12</v>
      </c>
      <c r="V18" s="75">
        <v>13</v>
      </c>
      <c r="W18" s="75">
        <v>13</v>
      </c>
      <c r="X18" s="75">
        <v>13</v>
      </c>
      <c r="Y18" s="75">
        <v>13</v>
      </c>
      <c r="Z18" s="75">
        <v>14</v>
      </c>
      <c r="AA18" s="75">
        <v>14</v>
      </c>
      <c r="AB18" s="75">
        <v>14</v>
      </c>
      <c r="AC18" s="75">
        <v>14</v>
      </c>
      <c r="AD18" s="75">
        <v>14</v>
      </c>
      <c r="AE18" s="75">
        <v>14</v>
      </c>
      <c r="AF18" s="114">
        <v>14</v>
      </c>
      <c r="AG18" s="75">
        <v>15</v>
      </c>
      <c r="AH18" s="75">
        <v>15</v>
      </c>
      <c r="AI18" s="75">
        <v>15</v>
      </c>
      <c r="AJ18" s="75">
        <v>15</v>
      </c>
      <c r="AK18" s="75">
        <v>15</v>
      </c>
      <c r="AL18" s="75">
        <v>15</v>
      </c>
      <c r="AM18" s="75">
        <v>15</v>
      </c>
      <c r="AN18" s="75">
        <v>15</v>
      </c>
      <c r="AO18" s="75">
        <v>15</v>
      </c>
      <c r="AP18" s="18">
        <v>15</v>
      </c>
      <c r="AQ18" s="75">
        <f t="shared" si="2"/>
        <v>439</v>
      </c>
      <c r="AR18" s="75">
        <f t="shared" si="3"/>
        <v>6.69475</v>
      </c>
      <c r="AS18" s="75"/>
    </row>
    <row r="19" spans="1:45">
      <c r="A19" s="8" t="s">
        <v>26</v>
      </c>
      <c r="B19" s="75" t="s">
        <v>92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13"/>
      <c r="AG19" s="9"/>
      <c r="AH19" s="9"/>
      <c r="AI19" s="9"/>
      <c r="AJ19" s="9"/>
      <c r="AK19" s="9"/>
      <c r="AL19" s="9"/>
      <c r="AM19" s="9"/>
      <c r="AN19" s="9"/>
      <c r="AO19" s="9"/>
      <c r="AP19" s="84"/>
      <c r="AQ19" s="75">
        <f t="shared" si="2"/>
        <v>0</v>
      </c>
      <c r="AR19" s="75">
        <f t="shared" si="3"/>
        <v>0</v>
      </c>
      <c r="AS19" s="9"/>
    </row>
    <row r="20" spans="1:45">
      <c r="A20" s="8"/>
      <c r="B20" s="12" t="s">
        <v>23</v>
      </c>
      <c r="C20" s="75">
        <v>2</v>
      </c>
      <c r="D20" s="9"/>
      <c r="E20" s="9"/>
      <c r="F20" s="9"/>
      <c r="G20" s="9"/>
      <c r="H20" s="9"/>
      <c r="I20" s="9"/>
      <c r="J20" s="9"/>
      <c r="K20" s="75">
        <v>1</v>
      </c>
      <c r="L20" s="9"/>
      <c r="M20" s="9"/>
      <c r="N20" s="75"/>
      <c r="O20" s="9"/>
      <c r="P20" s="9"/>
      <c r="Q20" s="75">
        <v>4</v>
      </c>
      <c r="R20" s="9"/>
      <c r="S20" s="75">
        <v>2</v>
      </c>
      <c r="T20" s="75">
        <v>4</v>
      </c>
      <c r="U20" s="9"/>
      <c r="V20" s="75">
        <v>2</v>
      </c>
      <c r="W20" s="9"/>
      <c r="X20" s="9"/>
      <c r="Y20" s="75">
        <v>1</v>
      </c>
      <c r="Z20" s="75">
        <v>4</v>
      </c>
      <c r="AA20" s="75">
        <v>5</v>
      </c>
      <c r="AB20" s="75">
        <v>5</v>
      </c>
      <c r="AC20" s="9"/>
      <c r="AD20" s="9"/>
      <c r="AE20" s="75">
        <v>1</v>
      </c>
      <c r="AF20" s="114">
        <v>3</v>
      </c>
      <c r="AG20" s="9"/>
      <c r="AH20" s="9"/>
      <c r="AI20" s="9"/>
      <c r="AJ20" s="75">
        <v>1.5</v>
      </c>
      <c r="AK20" s="75">
        <v>1</v>
      </c>
      <c r="AL20" s="75"/>
      <c r="AM20" s="75">
        <v>1.5</v>
      </c>
      <c r="AN20" s="75">
        <v>1</v>
      </c>
      <c r="AO20" s="75">
        <v>1</v>
      </c>
      <c r="AP20" s="84"/>
      <c r="AQ20" s="75">
        <f t="shared" si="2"/>
        <v>40</v>
      </c>
      <c r="AR20" s="75">
        <f t="shared" si="3"/>
        <v>0.61</v>
      </c>
      <c r="AS20" s="75"/>
    </row>
    <row r="21" spans="1:45">
      <c r="A21" s="8"/>
      <c r="B21" s="12" t="s">
        <v>24</v>
      </c>
      <c r="C21" s="75">
        <v>1</v>
      </c>
      <c r="D21" s="9"/>
      <c r="E21" s="9"/>
      <c r="F21" s="9"/>
      <c r="G21" s="9"/>
      <c r="H21" s="9"/>
      <c r="I21" s="9"/>
      <c r="J21" s="9"/>
      <c r="K21" s="75">
        <v>1</v>
      </c>
      <c r="L21" s="9"/>
      <c r="M21" s="9"/>
      <c r="N21" s="9"/>
      <c r="O21" s="9"/>
      <c r="P21" s="9"/>
      <c r="Q21" s="75">
        <v>4</v>
      </c>
      <c r="R21" s="75"/>
      <c r="S21" s="75">
        <v>1</v>
      </c>
      <c r="T21" s="75">
        <v>4</v>
      </c>
      <c r="U21" s="9"/>
      <c r="V21" s="75">
        <v>1</v>
      </c>
      <c r="W21" s="9"/>
      <c r="X21" s="9"/>
      <c r="Y21" s="75">
        <v>1</v>
      </c>
      <c r="Z21" s="75">
        <v>4</v>
      </c>
      <c r="AA21" s="75">
        <v>3</v>
      </c>
      <c r="AB21" s="75">
        <v>3</v>
      </c>
      <c r="AC21" s="9"/>
      <c r="AD21" s="75"/>
      <c r="AE21" s="75">
        <v>1</v>
      </c>
      <c r="AF21" s="114">
        <v>3</v>
      </c>
      <c r="AG21" s="9"/>
      <c r="AH21" s="9"/>
      <c r="AI21" s="9"/>
      <c r="AJ21" s="75">
        <v>1.5</v>
      </c>
      <c r="AK21" s="75">
        <v>2</v>
      </c>
      <c r="AL21" s="75"/>
      <c r="AM21" s="75">
        <v>1.5</v>
      </c>
      <c r="AN21" s="75">
        <v>1</v>
      </c>
      <c r="AO21" s="75">
        <v>2</v>
      </c>
      <c r="AP21" s="84"/>
      <c r="AQ21" s="75">
        <f t="shared" si="2"/>
        <v>35</v>
      </c>
      <c r="AR21" s="75">
        <f t="shared" si="3"/>
        <v>0.53374999999999995</v>
      </c>
      <c r="AS21" s="75"/>
    </row>
    <row r="22" spans="1:45">
      <c r="A22" s="8" t="s">
        <v>26</v>
      </c>
      <c r="B22" s="75" t="s">
        <v>93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13"/>
      <c r="AG22" s="9"/>
      <c r="AH22" s="9"/>
      <c r="AI22" s="9"/>
      <c r="AJ22" s="9"/>
      <c r="AK22" s="9"/>
      <c r="AL22" s="9"/>
      <c r="AM22" s="9"/>
      <c r="AN22" s="9"/>
      <c r="AO22" s="9"/>
      <c r="AP22" s="84"/>
      <c r="AQ22" s="75">
        <f t="shared" si="2"/>
        <v>0</v>
      </c>
      <c r="AR22" s="75">
        <f t="shared" si="3"/>
        <v>0</v>
      </c>
      <c r="AS22" s="9"/>
    </row>
    <row r="23" spans="1:45">
      <c r="A23" s="8"/>
      <c r="B23" s="12" t="s">
        <v>23</v>
      </c>
      <c r="C23" s="75"/>
      <c r="D23" s="75">
        <v>1</v>
      </c>
      <c r="E23" s="75">
        <v>2</v>
      </c>
      <c r="F23" s="75">
        <v>2</v>
      </c>
      <c r="G23" s="75">
        <v>2</v>
      </c>
      <c r="H23" s="75">
        <v>5</v>
      </c>
      <c r="I23" s="75">
        <v>2</v>
      </c>
      <c r="J23" s="75">
        <v>4</v>
      </c>
      <c r="K23" s="75">
        <v>2</v>
      </c>
      <c r="L23" s="75">
        <v>4</v>
      </c>
      <c r="M23" s="9"/>
      <c r="N23" s="75">
        <v>3</v>
      </c>
      <c r="O23" s="9"/>
      <c r="P23" s="75">
        <v>3</v>
      </c>
      <c r="Q23" s="75">
        <v>4</v>
      </c>
      <c r="R23" s="75">
        <v>4</v>
      </c>
      <c r="S23" s="75">
        <v>1</v>
      </c>
      <c r="T23" s="75">
        <v>4</v>
      </c>
      <c r="U23" s="75">
        <v>3</v>
      </c>
      <c r="V23" s="75">
        <v>3</v>
      </c>
      <c r="W23" s="9"/>
      <c r="X23" s="75">
        <v>4</v>
      </c>
      <c r="Y23" s="75">
        <v>2</v>
      </c>
      <c r="Z23" s="75">
        <v>4</v>
      </c>
      <c r="AA23" s="75">
        <v>2</v>
      </c>
      <c r="AB23" s="75">
        <v>4</v>
      </c>
      <c r="AC23" s="9"/>
      <c r="AD23" s="9"/>
      <c r="AE23" s="75">
        <v>3</v>
      </c>
      <c r="AF23" s="114">
        <v>4</v>
      </c>
      <c r="AG23" s="75">
        <v>4</v>
      </c>
      <c r="AH23" s="75">
        <v>2</v>
      </c>
      <c r="AI23" s="75">
        <v>2</v>
      </c>
      <c r="AJ23" s="75">
        <v>6</v>
      </c>
      <c r="AK23" s="75">
        <v>2</v>
      </c>
      <c r="AL23" s="75">
        <v>3</v>
      </c>
      <c r="AM23" s="75">
        <v>2</v>
      </c>
      <c r="AN23" s="75">
        <v>2</v>
      </c>
      <c r="AO23" s="75">
        <v>2</v>
      </c>
      <c r="AP23" s="18">
        <v>4</v>
      </c>
      <c r="AQ23" s="75">
        <f t="shared" si="2"/>
        <v>101</v>
      </c>
      <c r="AR23" s="75">
        <f t="shared" si="3"/>
        <v>1.5402499999999999</v>
      </c>
      <c r="AS23" s="75"/>
    </row>
    <row r="24" spans="1:45">
      <c r="A24" s="8"/>
      <c r="B24" s="12" t="s">
        <v>24</v>
      </c>
      <c r="C24" s="75"/>
      <c r="D24" s="75">
        <v>1</v>
      </c>
      <c r="E24" s="75">
        <v>2</v>
      </c>
      <c r="F24" s="75">
        <v>2</v>
      </c>
      <c r="G24" s="75">
        <v>2</v>
      </c>
      <c r="H24" s="75">
        <v>5</v>
      </c>
      <c r="I24" s="75">
        <v>2</v>
      </c>
      <c r="J24" s="75">
        <v>4</v>
      </c>
      <c r="K24" s="75">
        <v>2</v>
      </c>
      <c r="L24" s="75">
        <v>4</v>
      </c>
      <c r="M24" s="9"/>
      <c r="N24" s="75">
        <v>3</v>
      </c>
      <c r="O24" s="75">
        <v>3</v>
      </c>
      <c r="P24" s="75">
        <v>3</v>
      </c>
      <c r="Q24" s="75">
        <v>4</v>
      </c>
      <c r="R24" s="75">
        <v>4</v>
      </c>
      <c r="S24" s="75">
        <v>1</v>
      </c>
      <c r="T24" s="75">
        <v>4</v>
      </c>
      <c r="U24" s="75">
        <v>3</v>
      </c>
      <c r="V24" s="75">
        <v>1</v>
      </c>
      <c r="W24" s="9"/>
      <c r="X24" s="75">
        <v>4</v>
      </c>
      <c r="Y24" s="75">
        <v>2</v>
      </c>
      <c r="Z24" s="75">
        <v>4</v>
      </c>
      <c r="AA24" s="75">
        <v>2</v>
      </c>
      <c r="AB24" s="75">
        <v>4</v>
      </c>
      <c r="AC24" s="9"/>
      <c r="AD24" s="9"/>
      <c r="AE24" s="75">
        <v>3</v>
      </c>
      <c r="AF24" s="114">
        <v>4</v>
      </c>
      <c r="AG24" s="75">
        <v>4</v>
      </c>
      <c r="AH24" s="75">
        <v>2</v>
      </c>
      <c r="AI24" s="75">
        <v>0</v>
      </c>
      <c r="AJ24" s="75">
        <v>6</v>
      </c>
      <c r="AK24" s="75">
        <v>2</v>
      </c>
      <c r="AL24" s="75">
        <v>3</v>
      </c>
      <c r="AM24" s="75">
        <v>2</v>
      </c>
      <c r="AN24" s="75">
        <v>2</v>
      </c>
      <c r="AO24" s="75">
        <v>2</v>
      </c>
      <c r="AP24" s="18">
        <v>4</v>
      </c>
      <c r="AQ24" s="75">
        <f t="shared" si="2"/>
        <v>100</v>
      </c>
      <c r="AR24" s="75">
        <f t="shared" si="3"/>
        <v>1.5249999999999999</v>
      </c>
      <c r="AS24" s="75"/>
    </row>
    <row r="25" spans="1:45">
      <c r="A25" s="8" t="s">
        <v>26</v>
      </c>
      <c r="B25" s="75" t="s">
        <v>94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13"/>
      <c r="AG25" s="9"/>
      <c r="AH25" s="9"/>
      <c r="AI25" s="9"/>
      <c r="AJ25" s="9"/>
      <c r="AK25" s="9"/>
      <c r="AL25" s="9"/>
      <c r="AM25" s="9"/>
      <c r="AN25" s="9"/>
      <c r="AO25" s="9"/>
      <c r="AP25" s="84"/>
      <c r="AQ25" s="75">
        <f t="shared" si="2"/>
        <v>0</v>
      </c>
      <c r="AR25" s="75">
        <f t="shared" si="3"/>
        <v>0</v>
      </c>
      <c r="AS25" s="9"/>
    </row>
    <row r="26" spans="1:45">
      <c r="A26" s="8"/>
      <c r="B26" s="12" t="s">
        <v>23</v>
      </c>
      <c r="C26" s="9"/>
      <c r="D26" s="75"/>
      <c r="E26" s="9"/>
      <c r="F26" s="9"/>
      <c r="G26" s="9"/>
      <c r="H26" s="75"/>
      <c r="I26" s="75"/>
      <c r="J26" s="75">
        <v>1</v>
      </c>
      <c r="K26" s="75"/>
      <c r="L26" s="9"/>
      <c r="M26" s="75">
        <v>1</v>
      </c>
      <c r="N26" s="75">
        <v>1</v>
      </c>
      <c r="O26" s="75">
        <v>2</v>
      </c>
      <c r="P26" s="75">
        <v>3</v>
      </c>
      <c r="Q26" s="75">
        <v>3</v>
      </c>
      <c r="R26" s="75">
        <v>4</v>
      </c>
      <c r="S26" s="75">
        <v>4</v>
      </c>
      <c r="T26" s="75">
        <v>6</v>
      </c>
      <c r="U26" s="75">
        <v>8</v>
      </c>
      <c r="V26" s="75">
        <v>9</v>
      </c>
      <c r="W26" s="75">
        <v>7</v>
      </c>
      <c r="X26" s="9"/>
      <c r="Y26" s="75">
        <v>7</v>
      </c>
      <c r="Z26" s="75">
        <v>6</v>
      </c>
      <c r="AA26" s="75">
        <v>7</v>
      </c>
      <c r="AB26" s="75">
        <v>9</v>
      </c>
      <c r="AC26" s="75"/>
      <c r="AD26" s="75">
        <v>6</v>
      </c>
      <c r="AE26" s="75">
        <v>9</v>
      </c>
      <c r="AF26" s="114">
        <v>7</v>
      </c>
      <c r="AG26" s="9"/>
      <c r="AH26" s="75">
        <v>10</v>
      </c>
      <c r="AI26" s="75">
        <v>9</v>
      </c>
      <c r="AJ26" s="75">
        <v>9</v>
      </c>
      <c r="AK26" s="75">
        <v>10</v>
      </c>
      <c r="AL26" s="75">
        <v>8</v>
      </c>
      <c r="AM26" s="75">
        <v>11</v>
      </c>
      <c r="AN26" s="75">
        <v>10</v>
      </c>
      <c r="AO26" s="75">
        <v>10</v>
      </c>
      <c r="AP26" s="18"/>
      <c r="AQ26" s="75">
        <f t="shared" si="2"/>
        <v>177</v>
      </c>
      <c r="AR26" s="75">
        <f t="shared" si="3"/>
        <v>2.6992499999999997</v>
      </c>
      <c r="AS26" s="75"/>
    </row>
    <row r="27" spans="1:45">
      <c r="A27" s="12"/>
      <c r="B27" s="12" t="s">
        <v>24</v>
      </c>
      <c r="C27" s="9"/>
      <c r="D27" s="75"/>
      <c r="E27" s="9"/>
      <c r="F27" s="9"/>
      <c r="G27" s="9"/>
      <c r="H27" s="75"/>
      <c r="I27" s="75"/>
      <c r="J27" s="75">
        <v>1</v>
      </c>
      <c r="K27" s="75"/>
      <c r="L27" s="75">
        <v>2</v>
      </c>
      <c r="M27" s="75">
        <v>1</v>
      </c>
      <c r="N27" s="75">
        <v>1</v>
      </c>
      <c r="O27" s="75">
        <v>2</v>
      </c>
      <c r="P27" s="75">
        <v>3</v>
      </c>
      <c r="Q27" s="75">
        <v>3</v>
      </c>
      <c r="R27" s="75">
        <v>4</v>
      </c>
      <c r="S27" s="75">
        <v>4</v>
      </c>
      <c r="T27" s="75">
        <v>6</v>
      </c>
      <c r="U27" s="75">
        <v>8</v>
      </c>
      <c r="V27" s="75">
        <v>1</v>
      </c>
      <c r="W27" s="75">
        <v>7</v>
      </c>
      <c r="X27" s="9"/>
      <c r="Y27" s="75">
        <v>7</v>
      </c>
      <c r="Z27" s="75">
        <v>6</v>
      </c>
      <c r="AA27" s="75">
        <v>7</v>
      </c>
      <c r="AB27" s="75">
        <v>9</v>
      </c>
      <c r="AC27" s="75">
        <v>8</v>
      </c>
      <c r="AD27" s="75">
        <v>6</v>
      </c>
      <c r="AE27" s="75">
        <v>9</v>
      </c>
      <c r="AF27" s="114">
        <v>7</v>
      </c>
      <c r="AG27" s="75">
        <v>10</v>
      </c>
      <c r="AH27" s="75">
        <v>10</v>
      </c>
      <c r="AI27" s="75">
        <v>9</v>
      </c>
      <c r="AJ27" s="75">
        <v>9</v>
      </c>
      <c r="AK27" s="75">
        <v>10</v>
      </c>
      <c r="AL27" s="75">
        <v>8</v>
      </c>
      <c r="AM27" s="75">
        <v>11</v>
      </c>
      <c r="AN27" s="75">
        <v>10</v>
      </c>
      <c r="AO27" s="75">
        <v>10</v>
      </c>
      <c r="AP27" s="18">
        <v>9</v>
      </c>
      <c r="AQ27" s="75">
        <f t="shared" si="2"/>
        <v>198</v>
      </c>
      <c r="AR27" s="75">
        <f t="shared" si="3"/>
        <v>3.0194999999999999</v>
      </c>
      <c r="AS27" s="75"/>
    </row>
    <row r="28" spans="1:45">
      <c r="A28" s="14"/>
      <c r="B28" s="14" t="s">
        <v>32</v>
      </c>
      <c r="C28" s="15">
        <f t="shared" ref="C28:AP28" si="4">0.61*((15-ROUND(C11,0))+(15-ROUND(C14,0))+C17+C20+C23+C26)</f>
        <v>19.52</v>
      </c>
      <c r="D28" s="15">
        <f t="shared" si="4"/>
        <v>18.91</v>
      </c>
      <c r="E28" s="15">
        <f t="shared" si="4"/>
        <v>20.74</v>
      </c>
      <c r="F28" s="15">
        <f t="shared" si="4"/>
        <v>20.74</v>
      </c>
      <c r="G28" s="15">
        <f t="shared" si="4"/>
        <v>20.74</v>
      </c>
      <c r="H28" s="15">
        <f t="shared" si="4"/>
        <v>21.349999999999998</v>
      </c>
      <c r="I28" s="15">
        <f t="shared" si="4"/>
        <v>18.91</v>
      </c>
      <c r="J28" s="15">
        <f t="shared" si="4"/>
        <v>23.79</v>
      </c>
      <c r="K28" s="15">
        <f t="shared" si="4"/>
        <v>21.96</v>
      </c>
      <c r="L28" s="15">
        <f t="shared" si="4"/>
        <v>23.18</v>
      </c>
      <c r="M28" s="15">
        <f t="shared" si="4"/>
        <v>20.74</v>
      </c>
      <c r="N28" s="15">
        <f t="shared" si="4"/>
        <v>23.18</v>
      </c>
      <c r="O28" s="15">
        <f t="shared" si="4"/>
        <v>21.96</v>
      </c>
      <c r="P28" s="15">
        <f t="shared" si="4"/>
        <v>25.62</v>
      </c>
      <c r="Q28" s="15">
        <f t="shared" si="4"/>
        <v>26.23</v>
      </c>
      <c r="R28" s="15">
        <f t="shared" si="4"/>
        <v>28.06</v>
      </c>
      <c r="S28" s="15">
        <f t="shared" si="4"/>
        <v>25.62</v>
      </c>
      <c r="T28" s="15">
        <f t="shared" si="4"/>
        <v>30.5</v>
      </c>
      <c r="U28" s="15">
        <f t="shared" si="4"/>
        <v>29.89</v>
      </c>
      <c r="V28" s="15">
        <f t="shared" si="4"/>
        <v>28.06</v>
      </c>
      <c r="W28" s="15">
        <f t="shared" si="4"/>
        <v>27.45</v>
      </c>
      <c r="X28" s="15">
        <f t="shared" si="4"/>
        <v>27.45</v>
      </c>
      <c r="Y28" s="15">
        <f t="shared" si="4"/>
        <v>26.84</v>
      </c>
      <c r="Z28" s="15">
        <f t="shared" si="4"/>
        <v>30.5</v>
      </c>
      <c r="AA28" s="15">
        <f t="shared" si="4"/>
        <v>29.89</v>
      </c>
      <c r="AB28" s="15">
        <f t="shared" si="4"/>
        <v>35.380000000000003</v>
      </c>
      <c r="AC28" s="15">
        <f t="shared" si="4"/>
        <v>21.96</v>
      </c>
      <c r="AD28" s="15">
        <f t="shared" si="4"/>
        <v>28.669999999999998</v>
      </c>
      <c r="AE28" s="15">
        <f t="shared" si="4"/>
        <v>30.5</v>
      </c>
      <c r="AF28" s="15">
        <f t="shared" si="4"/>
        <v>28.669999999999998</v>
      </c>
      <c r="AG28" s="15">
        <f t="shared" si="4"/>
        <v>28.669999999999998</v>
      </c>
      <c r="AH28" s="15">
        <f t="shared" si="4"/>
        <v>31.11</v>
      </c>
      <c r="AI28" s="15">
        <f t="shared" si="4"/>
        <v>32.33</v>
      </c>
      <c r="AJ28" s="15">
        <f t="shared" si="4"/>
        <v>33.244999999999997</v>
      </c>
      <c r="AK28" s="15">
        <f t="shared" si="4"/>
        <v>31.11</v>
      </c>
      <c r="AL28" s="15">
        <f t="shared" si="4"/>
        <v>31.11</v>
      </c>
      <c r="AM28" s="15">
        <f t="shared" si="4"/>
        <v>31.414999999999999</v>
      </c>
      <c r="AN28" s="15">
        <f t="shared" si="4"/>
        <v>31.11</v>
      </c>
      <c r="AO28" s="15">
        <f t="shared" si="4"/>
        <v>31.11</v>
      </c>
      <c r="AP28" s="17">
        <f t="shared" si="4"/>
        <v>25.62</v>
      </c>
      <c r="AQ28" s="16">
        <f t="shared" ref="AQ28:AQ30" si="5">AVERAGE(C28:AP28)</f>
        <v>26.595999999999997</v>
      </c>
      <c r="AR28" s="17">
        <f t="shared" ref="AR28:AR29" si="6">AR11+AR14+AR17+AR20+AR23+AR26</f>
        <v>26.596</v>
      </c>
      <c r="AS28" s="75"/>
    </row>
    <row r="29" spans="1:45">
      <c r="A29" s="12"/>
      <c r="B29" s="12" t="s">
        <v>33</v>
      </c>
      <c r="C29" s="75">
        <f t="shared" ref="C29:AP29" si="7">0.61*((15-ROUND(C12,0))+(15-ROUND(C15,0))+C18+C21+C24+C27)</f>
        <v>18.91</v>
      </c>
      <c r="D29" s="75">
        <f t="shared" si="7"/>
        <v>18.91</v>
      </c>
      <c r="E29" s="75">
        <f t="shared" si="7"/>
        <v>19.52</v>
      </c>
      <c r="F29" s="75">
        <f t="shared" si="7"/>
        <v>19.52</v>
      </c>
      <c r="G29" s="75">
        <f t="shared" si="7"/>
        <v>19.52</v>
      </c>
      <c r="H29" s="75">
        <f t="shared" si="7"/>
        <v>21.349999999999998</v>
      </c>
      <c r="I29" s="75">
        <f t="shared" si="7"/>
        <v>15.86</v>
      </c>
      <c r="J29" s="75">
        <f t="shared" si="7"/>
        <v>22.57</v>
      </c>
      <c r="K29" s="75">
        <f t="shared" si="7"/>
        <v>20.74</v>
      </c>
      <c r="L29" s="75">
        <f t="shared" si="7"/>
        <v>23.18</v>
      </c>
      <c r="M29" s="75">
        <f t="shared" si="7"/>
        <v>18.91</v>
      </c>
      <c r="N29" s="75">
        <f t="shared" si="7"/>
        <v>18.3</v>
      </c>
      <c r="O29" s="75">
        <f t="shared" si="7"/>
        <v>23.18</v>
      </c>
      <c r="P29" s="75">
        <f t="shared" si="7"/>
        <v>20.74</v>
      </c>
      <c r="Q29" s="75">
        <f t="shared" si="7"/>
        <v>22.57</v>
      </c>
      <c r="R29" s="75">
        <f t="shared" si="7"/>
        <v>26.84</v>
      </c>
      <c r="S29" s="75">
        <f t="shared" si="7"/>
        <v>23.18</v>
      </c>
      <c r="T29" s="75">
        <f t="shared" si="7"/>
        <v>29.89</v>
      </c>
      <c r="U29" s="75">
        <f t="shared" si="7"/>
        <v>25.009999999999998</v>
      </c>
      <c r="V29" s="75">
        <f t="shared" si="7"/>
        <v>17.690000000000001</v>
      </c>
      <c r="W29" s="75">
        <f t="shared" si="7"/>
        <v>23.79</v>
      </c>
      <c r="X29" s="75">
        <f t="shared" si="7"/>
        <v>26.23</v>
      </c>
      <c r="Y29" s="75">
        <f t="shared" si="7"/>
        <v>27.45</v>
      </c>
      <c r="Z29" s="75">
        <f t="shared" si="7"/>
        <v>25.62</v>
      </c>
      <c r="AA29" s="75">
        <f t="shared" si="7"/>
        <v>22.57</v>
      </c>
      <c r="AB29" s="75">
        <f t="shared" si="7"/>
        <v>34.159999999999997</v>
      </c>
      <c r="AC29" s="75">
        <f t="shared" si="7"/>
        <v>27.45</v>
      </c>
      <c r="AD29" s="75">
        <f t="shared" si="7"/>
        <v>25.62</v>
      </c>
      <c r="AE29" s="75">
        <f t="shared" si="7"/>
        <v>29.89</v>
      </c>
      <c r="AF29" s="114">
        <f t="shared" si="7"/>
        <v>28.669999999999998</v>
      </c>
      <c r="AG29" s="75">
        <f t="shared" si="7"/>
        <v>33.549999999999997</v>
      </c>
      <c r="AH29" s="75">
        <f t="shared" si="7"/>
        <v>28.06</v>
      </c>
      <c r="AI29" s="75">
        <f t="shared" si="7"/>
        <v>23.79</v>
      </c>
      <c r="AJ29" s="75">
        <f t="shared" si="7"/>
        <v>33.854999999999997</v>
      </c>
      <c r="AK29" s="75">
        <f t="shared" si="7"/>
        <v>31.11</v>
      </c>
      <c r="AL29" s="75">
        <f t="shared" si="7"/>
        <v>25.62</v>
      </c>
      <c r="AM29" s="75">
        <f t="shared" si="7"/>
        <v>31.414999999999999</v>
      </c>
      <c r="AN29" s="75">
        <f t="shared" si="7"/>
        <v>30.5</v>
      </c>
      <c r="AO29" s="75">
        <f t="shared" si="7"/>
        <v>31.11</v>
      </c>
      <c r="AP29" s="18">
        <f t="shared" si="7"/>
        <v>30.5</v>
      </c>
      <c r="AQ29" s="13">
        <f t="shared" si="5"/>
        <v>24.933749999999996</v>
      </c>
      <c r="AR29" s="18">
        <f t="shared" si="6"/>
        <v>24.93375</v>
      </c>
      <c r="AS29" s="75"/>
    </row>
    <row r="30" spans="1:45">
      <c r="A30" s="19"/>
      <c r="B30" s="19" t="s">
        <v>34</v>
      </c>
      <c r="C30" s="20">
        <f t="shared" ref="C30:AP30" si="8">C28-C29</f>
        <v>0.60999999999999943</v>
      </c>
      <c r="D30" s="20">
        <f t="shared" si="8"/>
        <v>0</v>
      </c>
      <c r="E30" s="20">
        <f t="shared" si="8"/>
        <v>1.2199999999999989</v>
      </c>
      <c r="F30" s="20">
        <f t="shared" si="8"/>
        <v>1.2199999999999989</v>
      </c>
      <c r="G30" s="20">
        <f t="shared" si="8"/>
        <v>1.2199999999999989</v>
      </c>
      <c r="H30" s="20">
        <f t="shared" si="8"/>
        <v>0</v>
      </c>
      <c r="I30" s="20">
        <f t="shared" si="8"/>
        <v>3.0500000000000007</v>
      </c>
      <c r="J30" s="20">
        <f t="shared" si="8"/>
        <v>1.2199999999999989</v>
      </c>
      <c r="K30" s="20">
        <f t="shared" si="8"/>
        <v>1.2200000000000024</v>
      </c>
      <c r="L30" s="20">
        <f t="shared" si="8"/>
        <v>0</v>
      </c>
      <c r="M30" s="20">
        <f t="shared" si="8"/>
        <v>1.8299999999999983</v>
      </c>
      <c r="N30" s="20">
        <f t="shared" si="8"/>
        <v>4.879999999999999</v>
      </c>
      <c r="O30" s="20">
        <f t="shared" si="8"/>
        <v>-1.2199999999999989</v>
      </c>
      <c r="P30" s="20">
        <f t="shared" si="8"/>
        <v>4.8800000000000026</v>
      </c>
      <c r="Q30" s="20">
        <f t="shared" si="8"/>
        <v>3.66</v>
      </c>
      <c r="R30" s="20">
        <f t="shared" si="8"/>
        <v>1.2199999999999989</v>
      </c>
      <c r="S30" s="20">
        <f t="shared" si="8"/>
        <v>2.4400000000000013</v>
      </c>
      <c r="T30" s="20">
        <f t="shared" si="8"/>
        <v>0.60999999999999943</v>
      </c>
      <c r="U30" s="20">
        <f t="shared" si="8"/>
        <v>4.8800000000000026</v>
      </c>
      <c r="V30" s="20">
        <f t="shared" si="8"/>
        <v>10.369999999999997</v>
      </c>
      <c r="W30" s="20">
        <f t="shared" si="8"/>
        <v>3.66</v>
      </c>
      <c r="X30" s="20">
        <f t="shared" si="8"/>
        <v>1.2199999999999989</v>
      </c>
      <c r="Y30" s="20">
        <f t="shared" si="8"/>
        <v>-0.60999999999999943</v>
      </c>
      <c r="Z30" s="20">
        <f t="shared" si="8"/>
        <v>4.879999999999999</v>
      </c>
      <c r="AA30" s="20">
        <f t="shared" si="8"/>
        <v>7.32</v>
      </c>
      <c r="AB30" s="20">
        <f t="shared" si="8"/>
        <v>1.220000000000006</v>
      </c>
      <c r="AC30" s="20">
        <f t="shared" si="8"/>
        <v>-5.4899999999999984</v>
      </c>
      <c r="AD30" s="20">
        <f t="shared" si="8"/>
        <v>3.0499999999999972</v>
      </c>
      <c r="AE30" s="20">
        <f t="shared" si="8"/>
        <v>0.60999999999999943</v>
      </c>
      <c r="AF30" s="20">
        <f t="shared" si="8"/>
        <v>0</v>
      </c>
      <c r="AG30" s="20">
        <f t="shared" si="8"/>
        <v>-4.879999999999999</v>
      </c>
      <c r="AH30" s="20">
        <f t="shared" si="8"/>
        <v>3.0500000000000007</v>
      </c>
      <c r="AI30" s="20">
        <f t="shared" si="8"/>
        <v>8.5399999999999991</v>
      </c>
      <c r="AJ30" s="20">
        <f t="shared" si="8"/>
        <v>-0.60999999999999943</v>
      </c>
      <c r="AK30" s="20">
        <f t="shared" si="8"/>
        <v>0</v>
      </c>
      <c r="AL30" s="20">
        <f t="shared" si="8"/>
        <v>5.4899999999999984</v>
      </c>
      <c r="AM30" s="20">
        <f t="shared" si="8"/>
        <v>0</v>
      </c>
      <c r="AN30" s="20">
        <f t="shared" si="8"/>
        <v>0.60999999999999943</v>
      </c>
      <c r="AO30" s="20">
        <f t="shared" si="8"/>
        <v>0</v>
      </c>
      <c r="AP30" s="22">
        <f t="shared" si="8"/>
        <v>-4.879999999999999</v>
      </c>
      <c r="AQ30" s="21">
        <f t="shared" si="5"/>
        <v>1.6622499999999998</v>
      </c>
      <c r="AR30" s="22">
        <f>AR28-AR29</f>
        <v>1.6622500000000002</v>
      </c>
      <c r="AS30" s="75"/>
    </row>
    <row r="31" spans="1:45">
      <c r="A31" s="23" t="s">
        <v>95</v>
      </c>
      <c r="B31" s="85" t="s">
        <v>36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115"/>
      <c r="AG31" s="24"/>
      <c r="AH31" s="24"/>
      <c r="AI31" s="24"/>
      <c r="AJ31" s="24"/>
      <c r="AK31" s="24"/>
      <c r="AL31" s="24"/>
      <c r="AM31" s="24"/>
      <c r="AN31" s="24"/>
      <c r="AO31" s="24"/>
      <c r="AP31" s="33"/>
      <c r="AQ31" s="24"/>
      <c r="AR31" s="76"/>
      <c r="AS31" s="24"/>
    </row>
    <row r="32" spans="1:45">
      <c r="A32" s="76"/>
      <c r="B32" s="76" t="s">
        <v>96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115"/>
      <c r="AG32" s="24"/>
      <c r="AH32" s="24"/>
      <c r="AI32" s="24"/>
      <c r="AJ32" s="24"/>
      <c r="AK32" s="24"/>
      <c r="AL32" s="24"/>
      <c r="AM32" s="24"/>
      <c r="AN32" s="24"/>
      <c r="AO32" s="24"/>
      <c r="AP32" s="33"/>
      <c r="AQ32" s="24"/>
      <c r="AR32" s="76"/>
      <c r="AS32" s="24"/>
    </row>
    <row r="33" spans="1:45">
      <c r="A33" s="27"/>
      <c r="B33" s="27" t="s">
        <v>23</v>
      </c>
      <c r="C33" s="76">
        <v>100</v>
      </c>
      <c r="D33" s="76">
        <v>80</v>
      </c>
      <c r="E33" s="76">
        <v>100</v>
      </c>
      <c r="F33" s="76">
        <v>100</v>
      </c>
      <c r="G33" s="76">
        <v>100</v>
      </c>
      <c r="H33" s="76">
        <v>50</v>
      </c>
      <c r="I33" s="76">
        <v>80</v>
      </c>
      <c r="J33" s="76">
        <v>100</v>
      </c>
      <c r="K33" s="76">
        <v>100</v>
      </c>
      <c r="L33" s="76">
        <v>70</v>
      </c>
      <c r="M33" s="76">
        <v>1</v>
      </c>
      <c r="N33" s="76">
        <v>100</v>
      </c>
      <c r="O33" s="76">
        <v>20</v>
      </c>
      <c r="P33" s="76">
        <v>90</v>
      </c>
      <c r="Q33" s="76">
        <v>77</v>
      </c>
      <c r="R33" s="76">
        <v>100</v>
      </c>
      <c r="S33" s="76">
        <v>90</v>
      </c>
      <c r="T33" s="76">
        <v>67</v>
      </c>
      <c r="U33" s="76">
        <v>100</v>
      </c>
      <c r="V33" s="76">
        <v>50</v>
      </c>
      <c r="W33" s="76">
        <v>30</v>
      </c>
      <c r="X33" s="76">
        <v>95</v>
      </c>
      <c r="Y33" s="76">
        <v>85</v>
      </c>
      <c r="Z33" s="76">
        <v>67</v>
      </c>
      <c r="AA33" s="76">
        <v>100</v>
      </c>
      <c r="AB33" s="76">
        <v>80</v>
      </c>
      <c r="AC33" s="76">
        <v>90</v>
      </c>
      <c r="AD33" s="76">
        <v>90</v>
      </c>
      <c r="AE33" s="76">
        <v>10</v>
      </c>
      <c r="AF33" s="116">
        <v>40</v>
      </c>
      <c r="AG33" s="76">
        <v>95</v>
      </c>
      <c r="AH33" s="76">
        <v>95</v>
      </c>
      <c r="AI33" s="76">
        <v>90</v>
      </c>
      <c r="AJ33" s="76">
        <v>53</v>
      </c>
      <c r="AK33" s="76">
        <v>80</v>
      </c>
      <c r="AL33" s="76">
        <v>100</v>
      </c>
      <c r="AM33" s="76">
        <v>90</v>
      </c>
      <c r="AN33" s="76">
        <v>80</v>
      </c>
      <c r="AO33" s="76">
        <v>80</v>
      </c>
      <c r="AP33" s="86">
        <v>60</v>
      </c>
      <c r="AQ33" s="76">
        <f t="shared" ref="AQ33:AQ47" si="9">SUM(C33:AP33)</f>
        <v>3085</v>
      </c>
      <c r="AR33" s="76">
        <f t="shared" ref="AR33:AR47" si="10">0.136*(AQ33/COLUMNS(C33:AP33))</f>
        <v>10.489000000000001</v>
      </c>
      <c r="AS33" s="76"/>
    </row>
    <row r="34" spans="1:45">
      <c r="A34" s="27"/>
      <c r="B34" s="27" t="s">
        <v>24</v>
      </c>
      <c r="C34" s="24"/>
      <c r="D34" s="76">
        <v>20</v>
      </c>
      <c r="E34" s="76"/>
      <c r="F34" s="76"/>
      <c r="G34" s="76"/>
      <c r="H34" s="76">
        <v>50</v>
      </c>
      <c r="I34" s="76">
        <v>20</v>
      </c>
      <c r="J34" s="76"/>
      <c r="K34" s="76"/>
      <c r="L34" s="76">
        <v>30</v>
      </c>
      <c r="M34" s="76">
        <v>99</v>
      </c>
      <c r="N34" s="76"/>
      <c r="O34" s="76">
        <v>80</v>
      </c>
      <c r="P34" s="76">
        <v>10</v>
      </c>
      <c r="Q34" s="76">
        <v>23</v>
      </c>
      <c r="R34" s="76"/>
      <c r="S34" s="76">
        <v>10</v>
      </c>
      <c r="T34" s="76">
        <v>33</v>
      </c>
      <c r="U34" s="76"/>
      <c r="V34" s="76">
        <v>50</v>
      </c>
      <c r="W34" s="76">
        <v>70</v>
      </c>
      <c r="X34" s="76">
        <v>5</v>
      </c>
      <c r="Y34" s="76">
        <v>10</v>
      </c>
      <c r="Z34" s="76">
        <v>33</v>
      </c>
      <c r="AA34" s="76"/>
      <c r="AB34" s="76">
        <v>20</v>
      </c>
      <c r="AC34" s="76">
        <v>10</v>
      </c>
      <c r="AD34" s="76">
        <v>10</v>
      </c>
      <c r="AE34" s="76">
        <v>90</v>
      </c>
      <c r="AF34" s="116">
        <v>40</v>
      </c>
      <c r="AG34" s="76">
        <v>5</v>
      </c>
      <c r="AH34" s="76">
        <v>5</v>
      </c>
      <c r="AI34" s="76">
        <v>10</v>
      </c>
      <c r="AJ34" s="76">
        <v>47</v>
      </c>
      <c r="AK34" s="76">
        <v>20</v>
      </c>
      <c r="AL34" s="24"/>
      <c r="AM34" s="76">
        <v>10</v>
      </c>
      <c r="AN34" s="76">
        <v>20</v>
      </c>
      <c r="AO34" s="76">
        <v>20</v>
      </c>
      <c r="AP34" s="86">
        <v>40</v>
      </c>
      <c r="AQ34" s="76">
        <f t="shared" si="9"/>
        <v>890</v>
      </c>
      <c r="AR34" s="76">
        <f t="shared" si="10"/>
        <v>3.0260000000000002</v>
      </c>
      <c r="AS34" s="76"/>
    </row>
    <row r="35" spans="1:45">
      <c r="A35" s="27"/>
      <c r="B35" s="27" t="s">
        <v>38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76">
        <v>5</v>
      </c>
      <c r="Z35" s="24"/>
      <c r="AA35" s="76"/>
      <c r="AB35" s="24"/>
      <c r="AC35" s="24"/>
      <c r="AD35" s="24"/>
      <c r="AE35" s="24"/>
      <c r="AF35" s="116">
        <v>20</v>
      </c>
      <c r="AG35" s="24"/>
      <c r="AH35" s="24"/>
      <c r="AI35" s="24"/>
      <c r="AJ35" s="24"/>
      <c r="AK35" s="24"/>
      <c r="AL35" s="24"/>
      <c r="AM35" s="24"/>
      <c r="AN35" s="24"/>
      <c r="AO35" s="24"/>
      <c r="AP35" s="33"/>
      <c r="AQ35" s="76">
        <f t="shared" si="9"/>
        <v>25</v>
      </c>
      <c r="AR35" s="76">
        <f t="shared" si="10"/>
        <v>8.5000000000000006E-2</v>
      </c>
      <c r="AS35" s="76"/>
    </row>
    <row r="36" spans="1:45">
      <c r="A36" s="76"/>
      <c r="B36" s="76" t="s">
        <v>97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115"/>
      <c r="AG36" s="24"/>
      <c r="AH36" s="24"/>
      <c r="AI36" s="24"/>
      <c r="AJ36" s="24"/>
      <c r="AK36" s="24"/>
      <c r="AL36" s="24"/>
      <c r="AM36" s="24"/>
      <c r="AN36" s="24"/>
      <c r="AO36" s="24"/>
      <c r="AP36" s="33"/>
      <c r="AQ36" s="76">
        <f t="shared" si="9"/>
        <v>0</v>
      </c>
      <c r="AR36" s="76">
        <f t="shared" si="10"/>
        <v>0</v>
      </c>
      <c r="AS36" s="24"/>
    </row>
    <row r="37" spans="1:45">
      <c r="A37" s="27"/>
      <c r="B37" s="27" t="s">
        <v>23</v>
      </c>
      <c r="C37" s="76">
        <v>50</v>
      </c>
      <c r="D37" s="76">
        <v>90</v>
      </c>
      <c r="E37" s="76">
        <v>100</v>
      </c>
      <c r="F37" s="76">
        <v>100</v>
      </c>
      <c r="G37" s="76">
        <v>100</v>
      </c>
      <c r="H37" s="76">
        <v>50</v>
      </c>
      <c r="I37" s="76">
        <v>80</v>
      </c>
      <c r="J37" s="76">
        <v>100</v>
      </c>
      <c r="K37" s="76">
        <v>100</v>
      </c>
      <c r="L37" s="76">
        <v>70</v>
      </c>
      <c r="M37" s="76">
        <v>1</v>
      </c>
      <c r="N37" s="76">
        <v>100</v>
      </c>
      <c r="O37" s="76">
        <v>20</v>
      </c>
      <c r="P37" s="76">
        <v>70</v>
      </c>
      <c r="Q37" s="76">
        <v>77</v>
      </c>
      <c r="R37" s="76">
        <v>100</v>
      </c>
      <c r="S37" s="76">
        <v>85</v>
      </c>
      <c r="T37" s="76">
        <v>67</v>
      </c>
      <c r="U37" s="76">
        <v>90</v>
      </c>
      <c r="V37" s="76">
        <v>30</v>
      </c>
      <c r="W37" s="76">
        <v>10</v>
      </c>
      <c r="X37" s="76">
        <v>95</v>
      </c>
      <c r="Y37" s="76">
        <v>80</v>
      </c>
      <c r="Z37" s="76">
        <v>67</v>
      </c>
      <c r="AA37" s="76">
        <v>100</v>
      </c>
      <c r="AB37" s="76">
        <v>70</v>
      </c>
      <c r="AC37" s="76">
        <v>50</v>
      </c>
      <c r="AD37" s="76">
        <v>90</v>
      </c>
      <c r="AE37" s="76">
        <v>80</v>
      </c>
      <c r="AF37" s="116">
        <v>57</v>
      </c>
      <c r="AG37" s="76">
        <v>95</v>
      </c>
      <c r="AH37" s="76">
        <v>95</v>
      </c>
      <c r="AI37" s="76">
        <v>90</v>
      </c>
      <c r="AJ37" s="76">
        <v>69</v>
      </c>
      <c r="AK37" s="76">
        <v>80</v>
      </c>
      <c r="AL37" s="76">
        <v>90</v>
      </c>
      <c r="AM37" s="76">
        <v>80</v>
      </c>
      <c r="AN37" s="76">
        <v>90</v>
      </c>
      <c r="AO37" s="76">
        <v>80</v>
      </c>
      <c r="AP37" s="86">
        <v>100</v>
      </c>
      <c r="AQ37" s="76">
        <f t="shared" si="9"/>
        <v>3048</v>
      </c>
      <c r="AR37" s="76">
        <f t="shared" si="10"/>
        <v>10.363200000000001</v>
      </c>
      <c r="AS37" s="76"/>
    </row>
    <row r="38" spans="1:45">
      <c r="A38" s="27"/>
      <c r="B38" s="27" t="s">
        <v>24</v>
      </c>
      <c r="C38" s="76">
        <v>50</v>
      </c>
      <c r="D38" s="76">
        <v>10</v>
      </c>
      <c r="E38" s="76"/>
      <c r="F38" s="76"/>
      <c r="G38" s="76"/>
      <c r="H38" s="76">
        <v>50</v>
      </c>
      <c r="I38" s="76">
        <v>20</v>
      </c>
      <c r="J38" s="76"/>
      <c r="K38" s="76"/>
      <c r="L38" s="76">
        <v>30</v>
      </c>
      <c r="M38" s="76">
        <v>99</v>
      </c>
      <c r="N38" s="76"/>
      <c r="O38" s="76">
        <v>80</v>
      </c>
      <c r="P38" s="76">
        <v>30</v>
      </c>
      <c r="Q38" s="76">
        <v>23</v>
      </c>
      <c r="R38" s="76"/>
      <c r="S38" s="76">
        <v>15</v>
      </c>
      <c r="T38" s="76">
        <v>33</v>
      </c>
      <c r="U38" s="76">
        <v>10</v>
      </c>
      <c r="V38" s="76">
        <v>70</v>
      </c>
      <c r="W38" s="76">
        <v>90</v>
      </c>
      <c r="X38" s="76">
        <v>5</v>
      </c>
      <c r="Y38" s="76">
        <v>20</v>
      </c>
      <c r="Z38" s="76">
        <v>33</v>
      </c>
      <c r="AA38" s="76"/>
      <c r="AB38" s="76">
        <v>20</v>
      </c>
      <c r="AC38" s="76">
        <v>50</v>
      </c>
      <c r="AD38" s="76">
        <v>10</v>
      </c>
      <c r="AE38" s="76">
        <v>20</v>
      </c>
      <c r="AF38" s="116">
        <v>43</v>
      </c>
      <c r="AG38" s="76">
        <v>5</v>
      </c>
      <c r="AH38" s="76">
        <v>5</v>
      </c>
      <c r="AI38" s="76">
        <v>10</v>
      </c>
      <c r="AJ38" s="76">
        <v>31</v>
      </c>
      <c r="AK38" s="76">
        <v>15</v>
      </c>
      <c r="AL38" s="76">
        <v>10</v>
      </c>
      <c r="AM38" s="76">
        <v>15</v>
      </c>
      <c r="AN38" s="76">
        <v>10</v>
      </c>
      <c r="AO38" s="76">
        <v>20</v>
      </c>
      <c r="AP38" s="86"/>
      <c r="AQ38" s="76">
        <f t="shared" si="9"/>
        <v>932</v>
      </c>
      <c r="AR38" s="76">
        <f t="shared" si="10"/>
        <v>3.1688000000000005</v>
      </c>
      <c r="AS38" s="76"/>
    </row>
    <row r="39" spans="1:45">
      <c r="A39" s="27"/>
      <c r="B39" s="27" t="s">
        <v>38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76"/>
      <c r="AB39" s="76">
        <v>10</v>
      </c>
      <c r="AC39" s="24"/>
      <c r="AD39" s="24"/>
      <c r="AE39" s="24"/>
      <c r="AF39" s="115"/>
      <c r="AG39" s="24"/>
      <c r="AH39" s="24"/>
      <c r="AI39" s="24"/>
      <c r="AJ39" s="24"/>
      <c r="AK39" s="76">
        <v>5</v>
      </c>
      <c r="AL39" s="24"/>
      <c r="AM39" s="76">
        <v>5</v>
      </c>
      <c r="AN39" s="24"/>
      <c r="AO39" s="24"/>
      <c r="AP39" s="33"/>
      <c r="AQ39" s="76">
        <f t="shared" si="9"/>
        <v>20</v>
      </c>
      <c r="AR39" s="76">
        <f t="shared" si="10"/>
        <v>6.8000000000000005E-2</v>
      </c>
      <c r="AS39" s="24"/>
    </row>
    <row r="40" spans="1:45">
      <c r="A40" s="76"/>
      <c r="B40" s="76" t="s">
        <v>98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116"/>
      <c r="AG40" s="24"/>
      <c r="AH40" s="24"/>
      <c r="AI40" s="24"/>
      <c r="AJ40" s="24"/>
      <c r="AK40" s="24"/>
      <c r="AL40" s="24"/>
      <c r="AM40" s="24"/>
      <c r="AN40" s="24"/>
      <c r="AO40" s="24"/>
      <c r="AP40" s="33"/>
      <c r="AQ40" s="76">
        <f t="shared" si="9"/>
        <v>0</v>
      </c>
      <c r="AR40" s="76">
        <f t="shared" si="10"/>
        <v>0</v>
      </c>
      <c r="AS40" s="76"/>
    </row>
    <row r="41" spans="1:45">
      <c r="A41" s="27"/>
      <c r="B41" s="27" t="s">
        <v>23</v>
      </c>
      <c r="C41" s="76">
        <v>100</v>
      </c>
      <c r="D41" s="76">
        <v>90</v>
      </c>
      <c r="E41" s="76">
        <v>100</v>
      </c>
      <c r="F41" s="76">
        <v>100</v>
      </c>
      <c r="G41" s="76">
        <v>100</v>
      </c>
      <c r="H41" s="76">
        <v>70</v>
      </c>
      <c r="I41" s="76">
        <v>90</v>
      </c>
      <c r="J41" s="76">
        <v>100</v>
      </c>
      <c r="K41" s="76">
        <v>100</v>
      </c>
      <c r="L41" s="24"/>
      <c r="M41" s="76">
        <v>2</v>
      </c>
      <c r="N41" s="76">
        <v>100</v>
      </c>
      <c r="O41" s="76">
        <v>100</v>
      </c>
      <c r="P41" s="76">
        <v>100</v>
      </c>
      <c r="Q41" s="76">
        <v>83</v>
      </c>
      <c r="R41" s="76">
        <v>100</v>
      </c>
      <c r="S41" s="76">
        <v>100</v>
      </c>
      <c r="T41" s="76">
        <v>67</v>
      </c>
      <c r="U41" s="76">
        <v>100</v>
      </c>
      <c r="V41" s="76">
        <v>60</v>
      </c>
      <c r="W41" s="76">
        <v>10</v>
      </c>
      <c r="X41" s="76">
        <v>95</v>
      </c>
      <c r="Y41" s="76">
        <v>90</v>
      </c>
      <c r="Z41" s="76">
        <v>50</v>
      </c>
      <c r="AA41" s="76">
        <v>100</v>
      </c>
      <c r="AB41" s="76">
        <v>80</v>
      </c>
      <c r="AC41" s="76">
        <v>95</v>
      </c>
      <c r="AD41" s="76">
        <v>90</v>
      </c>
      <c r="AE41" s="76">
        <v>95</v>
      </c>
      <c r="AF41" s="116">
        <v>57</v>
      </c>
      <c r="AG41" s="76">
        <v>95</v>
      </c>
      <c r="AH41" s="76">
        <v>100</v>
      </c>
      <c r="AI41" s="76">
        <v>90</v>
      </c>
      <c r="AJ41" s="76">
        <v>83</v>
      </c>
      <c r="AK41" s="76">
        <v>90</v>
      </c>
      <c r="AL41" s="76">
        <v>100</v>
      </c>
      <c r="AM41" s="76">
        <v>100</v>
      </c>
      <c r="AN41" s="76">
        <v>80</v>
      </c>
      <c r="AO41" s="76">
        <v>95</v>
      </c>
      <c r="AP41" s="86">
        <v>100</v>
      </c>
      <c r="AQ41" s="76">
        <f t="shared" si="9"/>
        <v>3357</v>
      </c>
      <c r="AR41" s="76">
        <f t="shared" si="10"/>
        <v>11.4138</v>
      </c>
      <c r="AS41" s="76"/>
    </row>
    <row r="42" spans="1:45">
      <c r="A42" s="27"/>
      <c r="B42" s="27" t="s">
        <v>24</v>
      </c>
      <c r="C42" s="24"/>
      <c r="D42" s="76">
        <v>10</v>
      </c>
      <c r="E42" s="76"/>
      <c r="F42" s="76"/>
      <c r="G42" s="76"/>
      <c r="H42" s="76">
        <v>30</v>
      </c>
      <c r="I42" s="76">
        <v>10</v>
      </c>
      <c r="J42" s="76"/>
      <c r="K42" s="24"/>
      <c r="L42" s="76"/>
      <c r="M42" s="76">
        <v>98</v>
      </c>
      <c r="N42" s="24"/>
      <c r="O42" s="76"/>
      <c r="P42" s="76"/>
      <c r="Q42" s="76">
        <v>17</v>
      </c>
      <c r="R42" s="76"/>
      <c r="S42" s="76"/>
      <c r="T42" s="76">
        <v>33</v>
      </c>
      <c r="U42" s="76"/>
      <c r="V42" s="76">
        <v>40</v>
      </c>
      <c r="W42" s="76">
        <v>90</v>
      </c>
      <c r="X42" s="76">
        <v>5</v>
      </c>
      <c r="Y42" s="76">
        <v>10</v>
      </c>
      <c r="Z42" s="76">
        <v>50</v>
      </c>
      <c r="AA42" s="76"/>
      <c r="AB42" s="76">
        <v>20</v>
      </c>
      <c r="AC42" s="76">
        <v>5</v>
      </c>
      <c r="AD42" s="76">
        <v>10</v>
      </c>
      <c r="AE42" s="76">
        <v>5</v>
      </c>
      <c r="AF42" s="116">
        <v>43</v>
      </c>
      <c r="AG42" s="76">
        <v>5</v>
      </c>
      <c r="AH42" s="24"/>
      <c r="AI42" s="76">
        <v>10</v>
      </c>
      <c r="AJ42" s="76">
        <v>17</v>
      </c>
      <c r="AK42" s="76">
        <v>10</v>
      </c>
      <c r="AL42" s="24"/>
      <c r="AM42" s="76"/>
      <c r="AN42" s="76">
        <v>20</v>
      </c>
      <c r="AO42" s="76">
        <v>5</v>
      </c>
      <c r="AP42" s="86"/>
      <c r="AQ42" s="76">
        <f t="shared" si="9"/>
        <v>543</v>
      </c>
      <c r="AR42" s="76">
        <f t="shared" si="10"/>
        <v>1.8462000000000001</v>
      </c>
      <c r="AS42" s="76"/>
    </row>
    <row r="43" spans="1:45">
      <c r="A43" s="27"/>
      <c r="B43" s="27" t="s">
        <v>38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115"/>
      <c r="AG43" s="24"/>
      <c r="AH43" s="24"/>
      <c r="AI43" s="24"/>
      <c r="AJ43" s="24"/>
      <c r="AK43" s="24"/>
      <c r="AL43" s="24"/>
      <c r="AM43" s="24"/>
      <c r="AN43" s="24"/>
      <c r="AO43" s="24"/>
      <c r="AP43" s="33"/>
      <c r="AQ43" s="76">
        <f t="shared" si="9"/>
        <v>0</v>
      </c>
      <c r="AR43" s="76">
        <f t="shared" si="10"/>
        <v>0</v>
      </c>
      <c r="AS43" s="24"/>
    </row>
    <row r="44" spans="1:45">
      <c r="A44" s="76"/>
      <c r="B44" s="76" t="s">
        <v>99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115"/>
      <c r="AG44" s="24"/>
      <c r="AH44" s="24"/>
      <c r="AI44" s="24"/>
      <c r="AJ44" s="24"/>
      <c r="AK44" s="24"/>
      <c r="AL44" s="24"/>
      <c r="AM44" s="24"/>
      <c r="AN44" s="24"/>
      <c r="AO44" s="24"/>
      <c r="AP44" s="33"/>
      <c r="AQ44" s="76">
        <f t="shared" si="9"/>
        <v>0</v>
      </c>
      <c r="AR44" s="76">
        <f t="shared" si="10"/>
        <v>0</v>
      </c>
      <c r="AS44" s="24"/>
    </row>
    <row r="45" spans="1:45">
      <c r="A45" s="27"/>
      <c r="B45" s="27" t="s">
        <v>23</v>
      </c>
      <c r="C45" s="76">
        <v>100</v>
      </c>
      <c r="D45" s="76">
        <v>80</v>
      </c>
      <c r="E45" s="76">
        <v>90</v>
      </c>
      <c r="F45" s="76">
        <v>90</v>
      </c>
      <c r="G45" s="76">
        <v>90</v>
      </c>
      <c r="H45" s="76">
        <v>10</v>
      </c>
      <c r="I45" s="76">
        <v>80</v>
      </c>
      <c r="J45" s="76">
        <v>100</v>
      </c>
      <c r="K45" s="76">
        <v>100</v>
      </c>
      <c r="L45" s="76">
        <v>30</v>
      </c>
      <c r="M45" s="76">
        <v>1</v>
      </c>
      <c r="N45" s="76">
        <v>100</v>
      </c>
      <c r="O45" s="76">
        <v>10</v>
      </c>
      <c r="P45" s="76">
        <v>90</v>
      </c>
      <c r="Q45" s="76">
        <v>77</v>
      </c>
      <c r="R45" s="76">
        <v>90</v>
      </c>
      <c r="S45" s="76">
        <v>80</v>
      </c>
      <c r="T45" s="76">
        <v>67</v>
      </c>
      <c r="U45" s="76">
        <v>80</v>
      </c>
      <c r="V45" s="76">
        <v>20</v>
      </c>
      <c r="W45" s="76">
        <v>1</v>
      </c>
      <c r="X45" s="76">
        <v>80</v>
      </c>
      <c r="Y45" s="76">
        <v>60</v>
      </c>
      <c r="Z45" s="76">
        <v>67</v>
      </c>
      <c r="AA45" s="76">
        <v>50</v>
      </c>
      <c r="AB45" s="76">
        <v>70</v>
      </c>
      <c r="AC45" s="76">
        <v>50</v>
      </c>
      <c r="AD45" s="76">
        <v>98</v>
      </c>
      <c r="AE45" s="76">
        <v>10</v>
      </c>
      <c r="AF45" s="116">
        <v>50</v>
      </c>
      <c r="AG45" s="76">
        <v>80</v>
      </c>
      <c r="AH45" s="76">
        <v>95</v>
      </c>
      <c r="AI45" s="76">
        <v>90</v>
      </c>
      <c r="AJ45" s="76">
        <v>67</v>
      </c>
      <c r="AK45" s="76">
        <v>60</v>
      </c>
      <c r="AL45" s="76">
        <v>90</v>
      </c>
      <c r="AM45" s="76">
        <v>80</v>
      </c>
      <c r="AN45" s="76">
        <v>60</v>
      </c>
      <c r="AO45" s="76">
        <v>70</v>
      </c>
      <c r="AP45" s="86">
        <v>30</v>
      </c>
      <c r="AQ45" s="76">
        <f t="shared" si="9"/>
        <v>2643</v>
      </c>
      <c r="AR45" s="76">
        <f t="shared" si="10"/>
        <v>8.9862000000000002</v>
      </c>
      <c r="AS45" s="76"/>
    </row>
    <row r="46" spans="1:45">
      <c r="A46" s="27"/>
      <c r="B46" s="27" t="s">
        <v>24</v>
      </c>
      <c r="C46" s="76"/>
      <c r="D46" s="76">
        <v>20</v>
      </c>
      <c r="E46" s="76">
        <v>10</v>
      </c>
      <c r="F46" s="76">
        <v>10</v>
      </c>
      <c r="G46" s="76">
        <v>10</v>
      </c>
      <c r="H46" s="76">
        <v>90</v>
      </c>
      <c r="I46" s="76">
        <v>20</v>
      </c>
      <c r="J46" s="76"/>
      <c r="K46" s="76"/>
      <c r="L46" s="76">
        <v>70</v>
      </c>
      <c r="M46" s="76">
        <v>99</v>
      </c>
      <c r="N46" s="76"/>
      <c r="O46" s="76">
        <v>90</v>
      </c>
      <c r="P46" s="76">
        <v>10</v>
      </c>
      <c r="Q46" s="76">
        <v>23</v>
      </c>
      <c r="R46" s="76">
        <v>10</v>
      </c>
      <c r="S46" s="76">
        <v>20</v>
      </c>
      <c r="T46" s="76">
        <v>33</v>
      </c>
      <c r="U46" s="76">
        <v>20</v>
      </c>
      <c r="V46" s="76">
        <v>80</v>
      </c>
      <c r="W46" s="76">
        <v>99</v>
      </c>
      <c r="X46" s="76">
        <v>20</v>
      </c>
      <c r="Y46" s="76">
        <v>35</v>
      </c>
      <c r="Z46" s="76">
        <v>33</v>
      </c>
      <c r="AA46" s="76">
        <v>50</v>
      </c>
      <c r="AB46" s="76">
        <v>30</v>
      </c>
      <c r="AC46" s="76">
        <v>50</v>
      </c>
      <c r="AD46" s="76">
        <v>2</v>
      </c>
      <c r="AE46" s="76">
        <v>90</v>
      </c>
      <c r="AF46" s="116">
        <v>50</v>
      </c>
      <c r="AG46" s="76">
        <v>20</v>
      </c>
      <c r="AH46" s="76">
        <v>5</v>
      </c>
      <c r="AI46" s="76">
        <v>10</v>
      </c>
      <c r="AJ46" s="76">
        <v>33</v>
      </c>
      <c r="AK46" s="76">
        <v>35</v>
      </c>
      <c r="AL46" s="76">
        <v>10</v>
      </c>
      <c r="AM46" s="76">
        <v>20</v>
      </c>
      <c r="AN46" s="76">
        <v>40</v>
      </c>
      <c r="AO46" s="76">
        <v>25</v>
      </c>
      <c r="AP46" s="86">
        <v>70</v>
      </c>
      <c r="AQ46" s="76">
        <f t="shared" si="9"/>
        <v>1342</v>
      </c>
      <c r="AR46" s="76">
        <f t="shared" si="10"/>
        <v>4.5628000000000002</v>
      </c>
      <c r="AS46" s="76"/>
    </row>
    <row r="47" spans="1:45">
      <c r="A47" s="27"/>
      <c r="B47" s="27" t="s">
        <v>38</v>
      </c>
      <c r="C47" s="24"/>
      <c r="D47" s="24"/>
      <c r="E47" s="24"/>
      <c r="F47" s="24"/>
      <c r="G47" s="24"/>
      <c r="H47" s="76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76">
        <v>5</v>
      </c>
      <c r="Z47" s="24"/>
      <c r="AA47" s="76"/>
      <c r="AB47" s="24"/>
      <c r="AC47" s="24"/>
      <c r="AD47" s="24"/>
      <c r="AE47" s="24"/>
      <c r="AF47" s="115"/>
      <c r="AG47" s="24"/>
      <c r="AH47" s="24"/>
      <c r="AI47" s="24"/>
      <c r="AJ47" s="24"/>
      <c r="AK47" s="76">
        <v>5</v>
      </c>
      <c r="AL47" s="24"/>
      <c r="AM47" s="24"/>
      <c r="AN47" s="24"/>
      <c r="AO47" s="76">
        <v>5</v>
      </c>
      <c r="AP47" s="33"/>
      <c r="AQ47" s="76">
        <f t="shared" si="9"/>
        <v>15</v>
      </c>
      <c r="AR47" s="76">
        <f t="shared" si="10"/>
        <v>5.1000000000000004E-2</v>
      </c>
      <c r="AS47" s="24"/>
    </row>
    <row r="48" spans="1:45">
      <c r="A48" s="29"/>
      <c r="B48" s="29" t="s">
        <v>32</v>
      </c>
      <c r="C48" s="30">
        <f t="shared" ref="C48:AP48" si="11">0.136*(C33+C37+C41+C45)</f>
        <v>47.6</v>
      </c>
      <c r="D48" s="30">
        <f t="shared" si="11"/>
        <v>46.24</v>
      </c>
      <c r="E48" s="30">
        <f t="shared" si="11"/>
        <v>53.040000000000006</v>
      </c>
      <c r="F48" s="30">
        <f t="shared" si="11"/>
        <v>53.040000000000006</v>
      </c>
      <c r="G48" s="30">
        <f t="shared" si="11"/>
        <v>53.040000000000006</v>
      </c>
      <c r="H48" s="30">
        <f t="shared" si="11"/>
        <v>24.48</v>
      </c>
      <c r="I48" s="30">
        <f t="shared" si="11"/>
        <v>44.88</v>
      </c>
      <c r="J48" s="30">
        <f t="shared" si="11"/>
        <v>54.400000000000006</v>
      </c>
      <c r="K48" s="30">
        <f t="shared" si="11"/>
        <v>54.400000000000006</v>
      </c>
      <c r="L48" s="30">
        <f t="shared" si="11"/>
        <v>23.12</v>
      </c>
      <c r="M48" s="30">
        <f t="shared" si="11"/>
        <v>0.68</v>
      </c>
      <c r="N48" s="30">
        <f t="shared" si="11"/>
        <v>54.400000000000006</v>
      </c>
      <c r="O48" s="30">
        <f t="shared" si="11"/>
        <v>20.400000000000002</v>
      </c>
      <c r="P48" s="30">
        <f t="shared" si="11"/>
        <v>47.6</v>
      </c>
      <c r="Q48" s="30">
        <f t="shared" si="11"/>
        <v>42.704000000000001</v>
      </c>
      <c r="R48" s="30">
        <f t="shared" si="11"/>
        <v>53.040000000000006</v>
      </c>
      <c r="S48" s="30">
        <f t="shared" si="11"/>
        <v>48.28</v>
      </c>
      <c r="T48" s="30">
        <f t="shared" si="11"/>
        <v>36.448</v>
      </c>
      <c r="U48" s="30">
        <f t="shared" si="11"/>
        <v>50.32</v>
      </c>
      <c r="V48" s="30">
        <f t="shared" si="11"/>
        <v>21.76</v>
      </c>
      <c r="W48" s="30">
        <f t="shared" si="11"/>
        <v>6.9360000000000008</v>
      </c>
      <c r="X48" s="30">
        <f t="shared" si="11"/>
        <v>49.64</v>
      </c>
      <c r="Y48" s="30">
        <f t="shared" si="11"/>
        <v>42.84</v>
      </c>
      <c r="Z48" s="30">
        <f t="shared" si="11"/>
        <v>34.136000000000003</v>
      </c>
      <c r="AA48" s="30">
        <f t="shared" si="11"/>
        <v>47.6</v>
      </c>
      <c r="AB48" s="30">
        <f t="shared" si="11"/>
        <v>40.800000000000004</v>
      </c>
      <c r="AC48" s="30">
        <f t="shared" si="11"/>
        <v>38.760000000000005</v>
      </c>
      <c r="AD48" s="30">
        <f t="shared" si="11"/>
        <v>50.048000000000002</v>
      </c>
      <c r="AE48" s="30">
        <f t="shared" si="11"/>
        <v>26.520000000000003</v>
      </c>
      <c r="AF48" s="30">
        <f t="shared" si="11"/>
        <v>27.744000000000003</v>
      </c>
      <c r="AG48" s="30">
        <f t="shared" si="11"/>
        <v>49.64</v>
      </c>
      <c r="AH48" s="30">
        <f t="shared" si="11"/>
        <v>52.360000000000007</v>
      </c>
      <c r="AI48" s="30">
        <f t="shared" si="11"/>
        <v>48.96</v>
      </c>
      <c r="AJ48" s="30">
        <f t="shared" si="11"/>
        <v>36.992000000000004</v>
      </c>
      <c r="AK48" s="30">
        <f t="shared" si="11"/>
        <v>42.160000000000004</v>
      </c>
      <c r="AL48" s="30">
        <f t="shared" si="11"/>
        <v>51.680000000000007</v>
      </c>
      <c r="AM48" s="30">
        <f t="shared" si="11"/>
        <v>47.6</v>
      </c>
      <c r="AN48" s="30">
        <f t="shared" si="11"/>
        <v>42.160000000000004</v>
      </c>
      <c r="AO48" s="30">
        <f t="shared" si="11"/>
        <v>44.2</v>
      </c>
      <c r="AP48" s="30">
        <f t="shared" si="11"/>
        <v>39.440000000000005</v>
      </c>
      <c r="AQ48" s="31">
        <f t="shared" ref="AQ48:AQ50" si="12">AVERAGE(C48:AP48)</f>
        <v>41.252200000000002</v>
      </c>
      <c r="AR48" s="87">
        <f t="shared" ref="AR48:AR49" si="13">AR33+AR37+AR41+AR45</f>
        <v>41.252200000000002</v>
      </c>
      <c r="AS48" s="24"/>
    </row>
    <row r="49" spans="1:45">
      <c r="A49" s="27"/>
      <c r="B49" s="27" t="s">
        <v>33</v>
      </c>
      <c r="C49" s="24">
        <f t="shared" ref="C49:AP49" si="14">0.136*(C34+C38+C42+C46)</f>
        <v>6.8000000000000007</v>
      </c>
      <c r="D49" s="24">
        <f t="shared" si="14"/>
        <v>8.16</v>
      </c>
      <c r="E49" s="24">
        <f t="shared" si="14"/>
        <v>1.36</v>
      </c>
      <c r="F49" s="24">
        <f t="shared" si="14"/>
        <v>1.36</v>
      </c>
      <c r="G49" s="24">
        <f t="shared" si="14"/>
        <v>1.36</v>
      </c>
      <c r="H49" s="24">
        <f t="shared" si="14"/>
        <v>29.92</v>
      </c>
      <c r="I49" s="24">
        <f t="shared" si="14"/>
        <v>9.5200000000000014</v>
      </c>
      <c r="J49" s="24">
        <f t="shared" si="14"/>
        <v>0</v>
      </c>
      <c r="K49" s="24">
        <f t="shared" si="14"/>
        <v>0</v>
      </c>
      <c r="L49" s="24">
        <f t="shared" si="14"/>
        <v>17.68</v>
      </c>
      <c r="M49" s="24">
        <f t="shared" si="14"/>
        <v>53.720000000000006</v>
      </c>
      <c r="N49" s="24">
        <f t="shared" si="14"/>
        <v>0</v>
      </c>
      <c r="O49" s="24">
        <f t="shared" si="14"/>
        <v>34</v>
      </c>
      <c r="P49" s="24">
        <f t="shared" si="14"/>
        <v>6.8000000000000007</v>
      </c>
      <c r="Q49" s="24">
        <f t="shared" si="14"/>
        <v>11.696000000000002</v>
      </c>
      <c r="R49" s="24">
        <f t="shared" si="14"/>
        <v>1.36</v>
      </c>
      <c r="S49" s="24">
        <f t="shared" si="14"/>
        <v>6.12</v>
      </c>
      <c r="T49" s="24">
        <f t="shared" si="14"/>
        <v>17.952000000000002</v>
      </c>
      <c r="U49" s="24">
        <f t="shared" si="14"/>
        <v>4.08</v>
      </c>
      <c r="V49" s="24">
        <f t="shared" si="14"/>
        <v>32.64</v>
      </c>
      <c r="W49" s="24">
        <f t="shared" si="14"/>
        <v>47.464000000000006</v>
      </c>
      <c r="X49" s="24">
        <f t="shared" si="14"/>
        <v>4.7600000000000007</v>
      </c>
      <c r="Y49" s="24">
        <f t="shared" si="14"/>
        <v>10.200000000000001</v>
      </c>
      <c r="Z49" s="24">
        <f t="shared" si="14"/>
        <v>20.264000000000003</v>
      </c>
      <c r="AA49" s="24">
        <f t="shared" si="14"/>
        <v>6.8000000000000007</v>
      </c>
      <c r="AB49" s="24">
        <f t="shared" si="14"/>
        <v>12.24</v>
      </c>
      <c r="AC49" s="24">
        <f t="shared" si="14"/>
        <v>15.64</v>
      </c>
      <c r="AD49" s="24">
        <f t="shared" si="14"/>
        <v>4.3520000000000003</v>
      </c>
      <c r="AE49" s="24">
        <f t="shared" si="14"/>
        <v>27.880000000000003</v>
      </c>
      <c r="AF49" s="24">
        <f t="shared" si="14"/>
        <v>23.936</v>
      </c>
      <c r="AG49" s="24">
        <f t="shared" si="14"/>
        <v>4.7600000000000007</v>
      </c>
      <c r="AH49" s="24">
        <f t="shared" si="14"/>
        <v>2.04</v>
      </c>
      <c r="AI49" s="24">
        <f t="shared" si="14"/>
        <v>5.44</v>
      </c>
      <c r="AJ49" s="24">
        <f t="shared" si="14"/>
        <v>17.408000000000001</v>
      </c>
      <c r="AK49" s="24">
        <f t="shared" si="14"/>
        <v>10.88</v>
      </c>
      <c r="AL49" s="24">
        <f t="shared" si="14"/>
        <v>2.72</v>
      </c>
      <c r="AM49" s="24">
        <f t="shared" si="14"/>
        <v>6.12</v>
      </c>
      <c r="AN49" s="24">
        <f t="shared" si="14"/>
        <v>12.24</v>
      </c>
      <c r="AO49" s="24">
        <f t="shared" si="14"/>
        <v>9.5200000000000014</v>
      </c>
      <c r="AP49" s="24">
        <f t="shared" si="14"/>
        <v>14.96</v>
      </c>
      <c r="AQ49" s="25">
        <f t="shared" si="12"/>
        <v>12.6038</v>
      </c>
      <c r="AR49" s="86">
        <f t="shared" si="13"/>
        <v>12.6038</v>
      </c>
      <c r="AS49" s="24"/>
    </row>
    <row r="50" spans="1:45">
      <c r="A50" s="34"/>
      <c r="B50" s="34" t="s">
        <v>34</v>
      </c>
      <c r="C50" s="35">
        <f t="shared" ref="C50:AP50" si="15">C48-C49</f>
        <v>40.799999999999997</v>
      </c>
      <c r="D50" s="35">
        <f t="shared" si="15"/>
        <v>38.08</v>
      </c>
      <c r="E50" s="35">
        <f t="shared" si="15"/>
        <v>51.680000000000007</v>
      </c>
      <c r="F50" s="35">
        <f t="shared" si="15"/>
        <v>51.680000000000007</v>
      </c>
      <c r="G50" s="35">
        <f t="shared" si="15"/>
        <v>51.680000000000007</v>
      </c>
      <c r="H50" s="35">
        <f t="shared" si="15"/>
        <v>-5.4400000000000013</v>
      </c>
      <c r="I50" s="35">
        <f t="shared" si="15"/>
        <v>35.36</v>
      </c>
      <c r="J50" s="35">
        <f t="shared" si="15"/>
        <v>54.400000000000006</v>
      </c>
      <c r="K50" s="35">
        <f t="shared" si="15"/>
        <v>54.400000000000006</v>
      </c>
      <c r="L50" s="35">
        <f t="shared" si="15"/>
        <v>5.4400000000000013</v>
      </c>
      <c r="M50" s="35">
        <f t="shared" si="15"/>
        <v>-53.040000000000006</v>
      </c>
      <c r="N50" s="35">
        <f t="shared" si="15"/>
        <v>54.400000000000006</v>
      </c>
      <c r="O50" s="35">
        <f t="shared" si="15"/>
        <v>-13.599999999999998</v>
      </c>
      <c r="P50" s="35">
        <f t="shared" si="15"/>
        <v>40.799999999999997</v>
      </c>
      <c r="Q50" s="35">
        <f t="shared" si="15"/>
        <v>31.007999999999999</v>
      </c>
      <c r="R50" s="35">
        <f t="shared" si="15"/>
        <v>51.680000000000007</v>
      </c>
      <c r="S50" s="35">
        <f t="shared" si="15"/>
        <v>42.160000000000004</v>
      </c>
      <c r="T50" s="35">
        <f t="shared" si="15"/>
        <v>18.495999999999999</v>
      </c>
      <c r="U50" s="35">
        <f t="shared" si="15"/>
        <v>46.24</v>
      </c>
      <c r="V50" s="35">
        <f t="shared" si="15"/>
        <v>-10.879999999999999</v>
      </c>
      <c r="W50" s="35">
        <f t="shared" si="15"/>
        <v>-40.528000000000006</v>
      </c>
      <c r="X50" s="35">
        <f t="shared" si="15"/>
        <v>44.88</v>
      </c>
      <c r="Y50" s="35">
        <f t="shared" si="15"/>
        <v>32.64</v>
      </c>
      <c r="Z50" s="35">
        <f t="shared" si="15"/>
        <v>13.872</v>
      </c>
      <c r="AA50" s="35">
        <f t="shared" si="15"/>
        <v>40.799999999999997</v>
      </c>
      <c r="AB50" s="35">
        <f t="shared" si="15"/>
        <v>28.560000000000002</v>
      </c>
      <c r="AC50" s="35">
        <f t="shared" si="15"/>
        <v>23.120000000000005</v>
      </c>
      <c r="AD50" s="35">
        <f t="shared" si="15"/>
        <v>45.695999999999998</v>
      </c>
      <c r="AE50" s="35">
        <f t="shared" si="15"/>
        <v>-1.3599999999999994</v>
      </c>
      <c r="AF50" s="35">
        <f t="shared" si="15"/>
        <v>3.8080000000000034</v>
      </c>
      <c r="AG50" s="35">
        <f t="shared" si="15"/>
        <v>44.88</v>
      </c>
      <c r="AH50" s="35">
        <f t="shared" si="15"/>
        <v>50.320000000000007</v>
      </c>
      <c r="AI50" s="35">
        <f t="shared" si="15"/>
        <v>43.52</v>
      </c>
      <c r="AJ50" s="35">
        <f t="shared" si="15"/>
        <v>19.584000000000003</v>
      </c>
      <c r="AK50" s="35">
        <f t="shared" si="15"/>
        <v>31.28</v>
      </c>
      <c r="AL50" s="35">
        <f t="shared" si="15"/>
        <v>48.960000000000008</v>
      </c>
      <c r="AM50" s="35">
        <f t="shared" si="15"/>
        <v>41.480000000000004</v>
      </c>
      <c r="AN50" s="35">
        <f t="shared" si="15"/>
        <v>29.92</v>
      </c>
      <c r="AO50" s="35">
        <f t="shared" si="15"/>
        <v>34.68</v>
      </c>
      <c r="AP50" s="35">
        <f t="shared" si="15"/>
        <v>24.480000000000004</v>
      </c>
      <c r="AQ50" s="36">
        <f t="shared" si="12"/>
        <v>28.648399999999999</v>
      </c>
      <c r="AR50" s="88">
        <f>AR48-AR49</f>
        <v>28.648400000000002</v>
      </c>
      <c r="AS50" s="24"/>
    </row>
    <row r="51" spans="1:45">
      <c r="A51" s="38" t="s">
        <v>43</v>
      </c>
      <c r="B51" s="39" t="s">
        <v>44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117"/>
      <c r="AG51" s="40"/>
      <c r="AH51" s="40"/>
      <c r="AI51" s="40"/>
      <c r="AJ51" s="40"/>
      <c r="AK51" s="40"/>
      <c r="AL51" s="40"/>
      <c r="AM51" s="40"/>
      <c r="AN51" s="40"/>
      <c r="AO51" s="40"/>
      <c r="AP51" s="89"/>
      <c r="AQ51" s="40"/>
      <c r="AR51" s="77"/>
      <c r="AS51" s="40"/>
    </row>
    <row r="52" spans="1:45">
      <c r="A52" s="38"/>
      <c r="B52" s="77" t="s">
        <v>100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117"/>
      <c r="AG52" s="40"/>
      <c r="AH52" s="40"/>
      <c r="AI52" s="40"/>
      <c r="AJ52" s="40"/>
      <c r="AK52" s="40"/>
      <c r="AL52" s="40"/>
      <c r="AM52" s="40"/>
      <c r="AN52" s="40"/>
      <c r="AO52" s="40"/>
      <c r="AP52" s="89"/>
      <c r="AQ52" s="40"/>
      <c r="AR52" s="77"/>
      <c r="AS52" s="40"/>
    </row>
    <row r="53" spans="1:45">
      <c r="A53" s="43"/>
      <c r="B53" s="43" t="s">
        <v>23</v>
      </c>
      <c r="C53" s="77">
        <v>6</v>
      </c>
      <c r="D53" s="77">
        <v>6</v>
      </c>
      <c r="E53" s="77">
        <v>6</v>
      </c>
      <c r="F53" s="77">
        <v>6</v>
      </c>
      <c r="G53" s="77">
        <v>6</v>
      </c>
      <c r="H53" s="77">
        <v>6</v>
      </c>
      <c r="I53" s="77">
        <v>6</v>
      </c>
      <c r="J53" s="77">
        <v>6</v>
      </c>
      <c r="K53" s="77">
        <v>6</v>
      </c>
      <c r="L53" s="77">
        <v>6</v>
      </c>
      <c r="M53" s="77">
        <v>0</v>
      </c>
      <c r="N53" s="77">
        <v>6</v>
      </c>
      <c r="O53" s="77">
        <v>5</v>
      </c>
      <c r="P53" s="77">
        <v>6</v>
      </c>
      <c r="Q53" s="77">
        <v>6</v>
      </c>
      <c r="R53" s="77">
        <v>6</v>
      </c>
      <c r="S53" s="77">
        <v>5</v>
      </c>
      <c r="T53" s="77">
        <v>5</v>
      </c>
      <c r="U53" s="77">
        <v>6</v>
      </c>
      <c r="V53" s="77">
        <v>3</v>
      </c>
      <c r="W53" s="77">
        <v>3</v>
      </c>
      <c r="X53" s="77">
        <v>6</v>
      </c>
      <c r="Y53" s="77">
        <v>5</v>
      </c>
      <c r="Z53" s="77">
        <v>6</v>
      </c>
      <c r="AA53" s="77">
        <v>6</v>
      </c>
      <c r="AB53" s="77">
        <v>5</v>
      </c>
      <c r="AC53" s="77">
        <v>6</v>
      </c>
      <c r="AD53" s="77">
        <v>6</v>
      </c>
      <c r="AE53" s="77">
        <v>5</v>
      </c>
      <c r="AF53" s="118">
        <v>6</v>
      </c>
      <c r="AG53" s="77">
        <v>6</v>
      </c>
      <c r="AH53" s="77">
        <v>6</v>
      </c>
      <c r="AI53" s="77">
        <v>6</v>
      </c>
      <c r="AJ53" s="77">
        <v>6</v>
      </c>
      <c r="AK53" s="77">
        <v>5</v>
      </c>
      <c r="AL53" s="77">
        <v>6</v>
      </c>
      <c r="AM53" s="77">
        <v>5</v>
      </c>
      <c r="AN53" s="77">
        <v>5</v>
      </c>
      <c r="AO53" s="77">
        <v>5</v>
      </c>
      <c r="AP53" s="48">
        <v>5</v>
      </c>
      <c r="AQ53" s="77">
        <f t="shared" ref="AQ53:AQ63" si="16">SUM(C53:AP53)</f>
        <v>217</v>
      </c>
      <c r="AR53" s="77">
        <f t="shared" ref="AR53:AR63" si="17">2.27*(AQ53/COLUMNS(C53:AP53))</f>
        <v>12.31475</v>
      </c>
      <c r="AS53" s="77"/>
    </row>
    <row r="54" spans="1:45">
      <c r="A54" s="43"/>
      <c r="B54" s="43" t="s">
        <v>24</v>
      </c>
      <c r="C54" s="77">
        <v>5</v>
      </c>
      <c r="D54" s="77">
        <v>6</v>
      </c>
      <c r="E54" s="77">
        <v>2</v>
      </c>
      <c r="F54" s="77">
        <v>3</v>
      </c>
      <c r="G54" s="77">
        <v>4</v>
      </c>
      <c r="H54" s="77">
        <v>6</v>
      </c>
      <c r="I54" s="77">
        <v>5</v>
      </c>
      <c r="J54" s="77">
        <v>6</v>
      </c>
      <c r="K54" s="77">
        <v>6</v>
      </c>
      <c r="L54" s="77">
        <v>6</v>
      </c>
      <c r="M54" s="77">
        <v>6</v>
      </c>
      <c r="N54" s="77">
        <v>6</v>
      </c>
      <c r="O54" s="77">
        <v>6</v>
      </c>
      <c r="P54" s="77">
        <v>3</v>
      </c>
      <c r="Q54" s="77">
        <v>3</v>
      </c>
      <c r="R54" s="77">
        <v>6</v>
      </c>
      <c r="S54" s="77">
        <v>6</v>
      </c>
      <c r="T54" s="77">
        <v>4</v>
      </c>
      <c r="U54" s="77">
        <v>4</v>
      </c>
      <c r="V54" s="77">
        <v>5</v>
      </c>
      <c r="W54" s="77">
        <v>6</v>
      </c>
      <c r="X54" s="77">
        <v>6</v>
      </c>
      <c r="Y54" s="77">
        <v>6</v>
      </c>
      <c r="Z54" s="77">
        <v>4</v>
      </c>
      <c r="AA54" s="77">
        <v>6</v>
      </c>
      <c r="AB54" s="77">
        <v>6</v>
      </c>
      <c r="AC54" s="77">
        <v>6</v>
      </c>
      <c r="AD54" s="77">
        <v>5</v>
      </c>
      <c r="AE54" s="77">
        <v>6</v>
      </c>
      <c r="AF54" s="118">
        <v>5</v>
      </c>
      <c r="AG54" s="77">
        <v>6</v>
      </c>
      <c r="AH54" s="77">
        <v>6</v>
      </c>
      <c r="AI54" s="77">
        <v>6</v>
      </c>
      <c r="AJ54" s="77">
        <v>6</v>
      </c>
      <c r="AK54" s="77">
        <v>6</v>
      </c>
      <c r="AL54" s="77">
        <v>4</v>
      </c>
      <c r="AM54" s="77">
        <v>5</v>
      </c>
      <c r="AN54" s="77">
        <v>6</v>
      </c>
      <c r="AO54" s="77">
        <v>6</v>
      </c>
      <c r="AP54" s="48">
        <v>5</v>
      </c>
      <c r="AQ54" s="77">
        <f t="shared" si="16"/>
        <v>210</v>
      </c>
      <c r="AR54" s="77">
        <f t="shared" si="17"/>
        <v>11.9175</v>
      </c>
      <c r="AS54" s="77"/>
    </row>
    <row r="55" spans="1:45">
      <c r="A55" s="77"/>
      <c r="B55" s="77" t="s">
        <v>101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117"/>
      <c r="AG55" s="40"/>
      <c r="AH55" s="40"/>
      <c r="AI55" s="40"/>
      <c r="AJ55" s="40"/>
      <c r="AK55" s="40"/>
      <c r="AL55" s="40"/>
      <c r="AM55" s="40"/>
      <c r="AN55" s="40"/>
      <c r="AO55" s="40"/>
      <c r="AP55" s="89"/>
      <c r="AQ55" s="77">
        <f t="shared" si="16"/>
        <v>0</v>
      </c>
      <c r="AR55" s="77">
        <f t="shared" si="17"/>
        <v>0</v>
      </c>
      <c r="AS55" s="40"/>
    </row>
    <row r="56" spans="1:45">
      <c r="A56" s="43"/>
      <c r="B56" s="43" t="s">
        <v>23</v>
      </c>
      <c r="C56" s="77">
        <v>6</v>
      </c>
      <c r="D56" s="77">
        <v>6</v>
      </c>
      <c r="E56" s="77">
        <v>6</v>
      </c>
      <c r="F56" s="77">
        <v>6</v>
      </c>
      <c r="G56" s="77">
        <v>6</v>
      </c>
      <c r="H56" s="77">
        <v>5</v>
      </c>
      <c r="I56" s="77">
        <v>6</v>
      </c>
      <c r="J56" s="77">
        <v>6</v>
      </c>
      <c r="K56" s="77">
        <v>6</v>
      </c>
      <c r="L56" s="77">
        <v>6</v>
      </c>
      <c r="M56" s="77">
        <v>3</v>
      </c>
      <c r="N56" s="77">
        <v>6</v>
      </c>
      <c r="O56" s="77">
        <v>6</v>
      </c>
      <c r="P56" s="77">
        <v>6</v>
      </c>
      <c r="Q56" s="77">
        <v>6</v>
      </c>
      <c r="R56" s="77">
        <v>6</v>
      </c>
      <c r="S56" s="77">
        <v>6</v>
      </c>
      <c r="T56" s="77">
        <v>5</v>
      </c>
      <c r="U56" s="77">
        <v>6</v>
      </c>
      <c r="V56" s="77">
        <v>5</v>
      </c>
      <c r="W56" s="77">
        <v>5</v>
      </c>
      <c r="X56" s="77">
        <v>6</v>
      </c>
      <c r="Y56" s="77">
        <v>5</v>
      </c>
      <c r="Z56" s="77">
        <v>6</v>
      </c>
      <c r="AA56" s="77">
        <v>6</v>
      </c>
      <c r="AB56" s="77">
        <v>6</v>
      </c>
      <c r="AC56" s="77">
        <v>6</v>
      </c>
      <c r="AD56" s="77">
        <v>6</v>
      </c>
      <c r="AE56" s="77">
        <v>6</v>
      </c>
      <c r="AF56" s="118">
        <v>6</v>
      </c>
      <c r="AG56" s="77">
        <v>6</v>
      </c>
      <c r="AH56" s="77">
        <v>6</v>
      </c>
      <c r="AI56" s="77">
        <v>6</v>
      </c>
      <c r="AJ56" s="77">
        <v>6</v>
      </c>
      <c r="AK56" s="77">
        <v>5</v>
      </c>
      <c r="AL56" s="77">
        <v>6</v>
      </c>
      <c r="AM56" s="77">
        <v>6</v>
      </c>
      <c r="AN56" s="77">
        <v>5</v>
      </c>
      <c r="AO56" s="77">
        <v>5</v>
      </c>
      <c r="AP56" s="48">
        <v>5</v>
      </c>
      <c r="AQ56" s="77">
        <f t="shared" si="16"/>
        <v>228</v>
      </c>
      <c r="AR56" s="77">
        <f t="shared" si="17"/>
        <v>12.939</v>
      </c>
      <c r="AS56" s="77"/>
    </row>
    <row r="57" spans="1:45">
      <c r="A57" s="43"/>
      <c r="B57" s="43" t="s">
        <v>24</v>
      </c>
      <c r="C57" s="77">
        <v>4</v>
      </c>
      <c r="D57" s="77">
        <v>6</v>
      </c>
      <c r="E57" s="77">
        <v>2</v>
      </c>
      <c r="F57" s="77">
        <v>3</v>
      </c>
      <c r="G57" s="77">
        <v>4</v>
      </c>
      <c r="H57" s="77">
        <v>5</v>
      </c>
      <c r="I57" s="77">
        <v>6</v>
      </c>
      <c r="J57" s="77">
        <v>6</v>
      </c>
      <c r="K57" s="77">
        <v>6</v>
      </c>
      <c r="L57" s="77">
        <v>6</v>
      </c>
      <c r="M57" s="77">
        <v>6</v>
      </c>
      <c r="N57" s="77">
        <v>6</v>
      </c>
      <c r="O57" s="77">
        <v>6</v>
      </c>
      <c r="P57" s="77">
        <v>4</v>
      </c>
      <c r="Q57" s="77">
        <v>6</v>
      </c>
      <c r="R57" s="77">
        <v>6</v>
      </c>
      <c r="S57" s="77">
        <v>6</v>
      </c>
      <c r="T57" s="77">
        <v>5</v>
      </c>
      <c r="U57" s="77">
        <v>4</v>
      </c>
      <c r="V57" s="77">
        <v>6</v>
      </c>
      <c r="W57" s="77">
        <v>6</v>
      </c>
      <c r="X57" s="77">
        <v>6</v>
      </c>
      <c r="Y57" s="77">
        <v>6</v>
      </c>
      <c r="Z57" s="77">
        <v>5</v>
      </c>
      <c r="AA57" s="77">
        <v>6</v>
      </c>
      <c r="AB57" s="77">
        <v>6</v>
      </c>
      <c r="AC57" s="77">
        <v>6</v>
      </c>
      <c r="AD57" s="77">
        <v>6</v>
      </c>
      <c r="AE57" s="77">
        <v>6</v>
      </c>
      <c r="AF57" s="118">
        <v>6</v>
      </c>
      <c r="AG57" s="77">
        <v>6</v>
      </c>
      <c r="AH57" s="77">
        <v>6</v>
      </c>
      <c r="AI57" s="77">
        <v>6</v>
      </c>
      <c r="AJ57" s="77">
        <v>6</v>
      </c>
      <c r="AK57" s="77">
        <v>6</v>
      </c>
      <c r="AL57" s="77">
        <v>6</v>
      </c>
      <c r="AM57" s="77">
        <v>6</v>
      </c>
      <c r="AN57" s="77">
        <v>6</v>
      </c>
      <c r="AO57" s="77">
        <v>6</v>
      </c>
      <c r="AP57" s="48">
        <v>5</v>
      </c>
      <c r="AQ57" s="77">
        <f t="shared" si="16"/>
        <v>221</v>
      </c>
      <c r="AR57" s="77">
        <f t="shared" si="17"/>
        <v>12.54175</v>
      </c>
      <c r="AS57" s="77"/>
    </row>
    <row r="58" spans="1:45">
      <c r="A58" s="77"/>
      <c r="B58" s="77" t="s">
        <v>102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117"/>
      <c r="AG58" s="40"/>
      <c r="AH58" s="40"/>
      <c r="AI58" s="40"/>
      <c r="AJ58" s="40"/>
      <c r="AK58" s="40"/>
      <c r="AL58" s="40"/>
      <c r="AM58" s="40"/>
      <c r="AN58" s="40"/>
      <c r="AO58" s="40"/>
      <c r="AP58" s="89"/>
      <c r="AQ58" s="77">
        <f t="shared" si="16"/>
        <v>0</v>
      </c>
      <c r="AR58" s="77">
        <f t="shared" si="17"/>
        <v>0</v>
      </c>
      <c r="AS58" s="40"/>
    </row>
    <row r="59" spans="1:45">
      <c r="A59" s="43"/>
      <c r="B59" s="43" t="s">
        <v>23</v>
      </c>
      <c r="C59" s="77">
        <v>0</v>
      </c>
      <c r="D59" s="77">
        <v>0</v>
      </c>
      <c r="E59" s="77">
        <v>0</v>
      </c>
      <c r="F59" s="77">
        <v>0</v>
      </c>
      <c r="G59" s="77">
        <v>0</v>
      </c>
      <c r="H59" s="77"/>
      <c r="I59" s="77">
        <v>3</v>
      </c>
      <c r="J59" s="77">
        <v>6</v>
      </c>
      <c r="K59" s="77">
        <v>0</v>
      </c>
      <c r="L59" s="77">
        <v>5</v>
      </c>
      <c r="M59" s="77">
        <v>4</v>
      </c>
      <c r="N59" s="77">
        <v>6</v>
      </c>
      <c r="O59" s="77">
        <v>6</v>
      </c>
      <c r="P59" s="77">
        <v>6</v>
      </c>
      <c r="Q59" s="77">
        <v>6</v>
      </c>
      <c r="R59" s="77">
        <v>6</v>
      </c>
      <c r="S59" s="77">
        <v>5</v>
      </c>
      <c r="T59" s="77">
        <v>4</v>
      </c>
      <c r="U59" s="77">
        <v>6</v>
      </c>
      <c r="V59" s="77">
        <v>4</v>
      </c>
      <c r="W59" s="77">
        <v>5</v>
      </c>
      <c r="X59" s="77">
        <v>6</v>
      </c>
      <c r="Y59" s="77">
        <v>4</v>
      </c>
      <c r="Z59" s="77">
        <v>6</v>
      </c>
      <c r="AA59" s="77">
        <v>6</v>
      </c>
      <c r="AB59" s="77">
        <v>6</v>
      </c>
      <c r="AC59" s="77">
        <v>6</v>
      </c>
      <c r="AD59" s="77">
        <v>5</v>
      </c>
      <c r="AE59" s="77">
        <v>3</v>
      </c>
      <c r="AF59" s="118">
        <v>6</v>
      </c>
      <c r="AG59" s="77">
        <v>6</v>
      </c>
      <c r="AH59" s="77">
        <v>6</v>
      </c>
      <c r="AI59" s="77">
        <v>6</v>
      </c>
      <c r="AJ59" s="77">
        <v>6</v>
      </c>
      <c r="AK59" s="77">
        <v>4</v>
      </c>
      <c r="AL59" s="77">
        <v>6</v>
      </c>
      <c r="AM59" s="77">
        <v>4</v>
      </c>
      <c r="AN59" s="77">
        <v>4</v>
      </c>
      <c r="AO59" s="77">
        <v>5</v>
      </c>
      <c r="AP59" s="48">
        <v>4</v>
      </c>
      <c r="AQ59" s="77">
        <f t="shared" si="16"/>
        <v>171</v>
      </c>
      <c r="AR59" s="77">
        <f t="shared" si="17"/>
        <v>9.70425</v>
      </c>
      <c r="AS59" s="77"/>
    </row>
    <row r="60" spans="1:45">
      <c r="A60" s="43"/>
      <c r="B60" s="43" t="s">
        <v>24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/>
      <c r="I60" s="77">
        <v>3</v>
      </c>
      <c r="J60" s="77">
        <v>6</v>
      </c>
      <c r="K60" s="77">
        <v>0</v>
      </c>
      <c r="L60" s="77">
        <v>5</v>
      </c>
      <c r="M60" s="77">
        <v>6</v>
      </c>
      <c r="N60" s="77">
        <v>6</v>
      </c>
      <c r="O60" s="77">
        <v>6</v>
      </c>
      <c r="P60" s="77">
        <v>6</v>
      </c>
      <c r="Q60" s="77">
        <v>4</v>
      </c>
      <c r="R60" s="77">
        <v>6</v>
      </c>
      <c r="S60" s="77">
        <v>6</v>
      </c>
      <c r="T60" s="77">
        <v>6</v>
      </c>
      <c r="U60" s="77">
        <v>6</v>
      </c>
      <c r="V60" s="77">
        <v>6</v>
      </c>
      <c r="W60" s="77">
        <v>6</v>
      </c>
      <c r="X60" s="77">
        <v>6</v>
      </c>
      <c r="Y60" s="77">
        <v>5</v>
      </c>
      <c r="Z60" s="77">
        <v>6</v>
      </c>
      <c r="AA60" s="77">
        <v>6</v>
      </c>
      <c r="AB60" s="77">
        <v>6</v>
      </c>
      <c r="AC60" s="77">
        <v>6</v>
      </c>
      <c r="AD60" s="77">
        <v>5</v>
      </c>
      <c r="AE60" s="77">
        <v>6</v>
      </c>
      <c r="AF60" s="118">
        <v>6</v>
      </c>
      <c r="AG60" s="77">
        <v>6</v>
      </c>
      <c r="AH60" s="77">
        <v>6</v>
      </c>
      <c r="AI60" s="77">
        <v>6</v>
      </c>
      <c r="AJ60" s="77">
        <v>6</v>
      </c>
      <c r="AK60" s="77">
        <v>6</v>
      </c>
      <c r="AL60" s="77">
        <v>6</v>
      </c>
      <c r="AM60" s="77">
        <v>4</v>
      </c>
      <c r="AN60" s="77">
        <v>6</v>
      </c>
      <c r="AO60" s="77">
        <v>6</v>
      </c>
      <c r="AP60" s="48">
        <v>5</v>
      </c>
      <c r="AQ60" s="77">
        <f t="shared" si="16"/>
        <v>187</v>
      </c>
      <c r="AR60" s="77">
        <f t="shared" si="17"/>
        <v>10.61225</v>
      </c>
      <c r="AS60" s="77"/>
    </row>
    <row r="61" spans="1:45">
      <c r="A61" s="77"/>
      <c r="B61" s="77" t="s">
        <v>103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117"/>
      <c r="AG61" s="40"/>
      <c r="AH61" s="40"/>
      <c r="AI61" s="40"/>
      <c r="AJ61" s="40"/>
      <c r="AK61" s="40"/>
      <c r="AL61" s="40"/>
      <c r="AM61" s="40"/>
      <c r="AN61" s="40"/>
      <c r="AO61" s="40"/>
      <c r="AP61" s="89"/>
      <c r="AQ61" s="77">
        <f t="shared" si="16"/>
        <v>0</v>
      </c>
      <c r="AR61" s="77">
        <f t="shared" si="17"/>
        <v>0</v>
      </c>
      <c r="AS61" s="40"/>
    </row>
    <row r="62" spans="1:45">
      <c r="A62" s="43"/>
      <c r="B62" s="43" t="s">
        <v>23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/>
      <c r="I62" s="77">
        <v>3</v>
      </c>
      <c r="J62" s="77">
        <v>6</v>
      </c>
      <c r="K62" s="77">
        <v>0</v>
      </c>
      <c r="L62" s="77">
        <v>6</v>
      </c>
      <c r="M62" s="77">
        <v>4</v>
      </c>
      <c r="N62" s="77">
        <v>3</v>
      </c>
      <c r="O62" s="77">
        <v>6</v>
      </c>
      <c r="P62" s="77">
        <v>6</v>
      </c>
      <c r="Q62" s="77">
        <v>6</v>
      </c>
      <c r="R62" s="77">
        <v>6</v>
      </c>
      <c r="S62" s="77">
        <v>6</v>
      </c>
      <c r="T62" s="77">
        <v>5</v>
      </c>
      <c r="U62" s="77">
        <v>6</v>
      </c>
      <c r="V62" s="77">
        <v>3</v>
      </c>
      <c r="W62" s="77">
        <v>3</v>
      </c>
      <c r="X62" s="77">
        <v>6</v>
      </c>
      <c r="Y62" s="77">
        <v>5</v>
      </c>
      <c r="Z62" s="77">
        <v>5</v>
      </c>
      <c r="AA62" s="77">
        <v>6</v>
      </c>
      <c r="AB62" s="77">
        <v>6</v>
      </c>
      <c r="AC62" s="77">
        <v>6</v>
      </c>
      <c r="AD62" s="77">
        <v>6</v>
      </c>
      <c r="AE62" s="77">
        <v>3</v>
      </c>
      <c r="AF62" s="118">
        <v>4</v>
      </c>
      <c r="AG62" s="77">
        <v>6</v>
      </c>
      <c r="AH62" s="77">
        <v>6</v>
      </c>
      <c r="AI62" s="77">
        <v>6</v>
      </c>
      <c r="AJ62" s="77">
        <v>6</v>
      </c>
      <c r="AK62" s="77">
        <v>6</v>
      </c>
      <c r="AL62" s="77">
        <v>6</v>
      </c>
      <c r="AM62" s="77">
        <v>5</v>
      </c>
      <c r="AN62" s="77">
        <v>6</v>
      </c>
      <c r="AO62" s="77">
        <v>4</v>
      </c>
      <c r="AP62" s="48">
        <v>5</v>
      </c>
      <c r="AQ62" s="77">
        <f t="shared" si="16"/>
        <v>172</v>
      </c>
      <c r="AR62" s="77">
        <f t="shared" si="17"/>
        <v>9.7609999999999992</v>
      </c>
      <c r="AS62" s="77"/>
    </row>
    <row r="63" spans="1:45">
      <c r="A63" s="43"/>
      <c r="B63" s="43" t="s">
        <v>24</v>
      </c>
      <c r="C63" s="77"/>
      <c r="D63" s="77">
        <v>0</v>
      </c>
      <c r="E63" s="77">
        <v>0</v>
      </c>
      <c r="F63" s="77">
        <v>0</v>
      </c>
      <c r="G63" s="77">
        <v>0</v>
      </c>
      <c r="H63" s="77"/>
      <c r="I63" s="77">
        <v>3</v>
      </c>
      <c r="J63" s="77">
        <v>6</v>
      </c>
      <c r="K63" s="77">
        <v>0</v>
      </c>
      <c r="L63" s="77">
        <v>6</v>
      </c>
      <c r="M63" s="77">
        <v>6</v>
      </c>
      <c r="N63" s="77">
        <v>3</v>
      </c>
      <c r="O63" s="77">
        <v>6</v>
      </c>
      <c r="P63" s="77">
        <v>6</v>
      </c>
      <c r="Q63" s="77">
        <v>5</v>
      </c>
      <c r="R63" s="77">
        <v>6</v>
      </c>
      <c r="S63" s="77">
        <v>6</v>
      </c>
      <c r="T63" s="77">
        <v>6</v>
      </c>
      <c r="U63" s="77">
        <v>6</v>
      </c>
      <c r="V63" s="77">
        <v>4</v>
      </c>
      <c r="W63" s="77">
        <v>6</v>
      </c>
      <c r="X63" s="77">
        <v>6</v>
      </c>
      <c r="Y63" s="77">
        <v>6</v>
      </c>
      <c r="Z63" s="77">
        <v>6</v>
      </c>
      <c r="AA63" s="77">
        <v>6</v>
      </c>
      <c r="AB63" s="77">
        <v>6</v>
      </c>
      <c r="AC63" s="77">
        <v>6</v>
      </c>
      <c r="AD63" s="77">
        <v>6</v>
      </c>
      <c r="AE63" s="77">
        <v>6</v>
      </c>
      <c r="AF63" s="118">
        <v>4</v>
      </c>
      <c r="AG63" s="77">
        <v>6</v>
      </c>
      <c r="AH63" s="77">
        <v>6</v>
      </c>
      <c r="AI63" s="77">
        <v>6</v>
      </c>
      <c r="AJ63" s="77">
        <v>6</v>
      </c>
      <c r="AK63" s="77">
        <v>6</v>
      </c>
      <c r="AL63" s="77">
        <v>5</v>
      </c>
      <c r="AM63" s="77">
        <v>5</v>
      </c>
      <c r="AN63" s="77">
        <v>6</v>
      </c>
      <c r="AO63" s="77">
        <v>6</v>
      </c>
      <c r="AP63" s="48">
        <v>6</v>
      </c>
      <c r="AQ63" s="77">
        <f t="shared" si="16"/>
        <v>185</v>
      </c>
      <c r="AR63" s="77">
        <f t="shared" si="17"/>
        <v>10.498749999999999</v>
      </c>
      <c r="AS63" s="77"/>
    </row>
    <row r="64" spans="1:45">
      <c r="A64" s="44"/>
      <c r="B64" s="44" t="s">
        <v>32</v>
      </c>
      <c r="C64" s="45">
        <f t="shared" ref="C64:AP64" si="18">2.27*(C53+C56+C59+C62)</f>
        <v>27.240000000000002</v>
      </c>
      <c r="D64" s="45">
        <f t="shared" si="18"/>
        <v>27.240000000000002</v>
      </c>
      <c r="E64" s="45">
        <f t="shared" si="18"/>
        <v>27.240000000000002</v>
      </c>
      <c r="F64" s="45">
        <f t="shared" si="18"/>
        <v>27.240000000000002</v>
      </c>
      <c r="G64" s="45">
        <f t="shared" si="18"/>
        <v>27.240000000000002</v>
      </c>
      <c r="H64" s="45">
        <f t="shared" si="18"/>
        <v>24.97</v>
      </c>
      <c r="I64" s="45">
        <f t="shared" si="18"/>
        <v>40.86</v>
      </c>
      <c r="J64" s="45">
        <f t="shared" si="18"/>
        <v>54.480000000000004</v>
      </c>
      <c r="K64" s="45">
        <f t="shared" si="18"/>
        <v>27.240000000000002</v>
      </c>
      <c r="L64" s="45">
        <f t="shared" si="18"/>
        <v>52.21</v>
      </c>
      <c r="M64" s="45">
        <f t="shared" si="18"/>
        <v>24.97</v>
      </c>
      <c r="N64" s="45">
        <f t="shared" si="18"/>
        <v>47.67</v>
      </c>
      <c r="O64" s="45">
        <f t="shared" si="18"/>
        <v>52.21</v>
      </c>
      <c r="P64" s="45">
        <f t="shared" si="18"/>
        <v>54.480000000000004</v>
      </c>
      <c r="Q64" s="45">
        <f t="shared" si="18"/>
        <v>54.480000000000004</v>
      </c>
      <c r="R64" s="45">
        <f t="shared" si="18"/>
        <v>54.480000000000004</v>
      </c>
      <c r="S64" s="45">
        <f t="shared" si="18"/>
        <v>49.94</v>
      </c>
      <c r="T64" s="45">
        <f t="shared" si="18"/>
        <v>43.13</v>
      </c>
      <c r="U64" s="45">
        <f t="shared" si="18"/>
        <v>54.480000000000004</v>
      </c>
      <c r="V64" s="45">
        <f t="shared" si="18"/>
        <v>34.049999999999997</v>
      </c>
      <c r="W64" s="45">
        <f t="shared" si="18"/>
        <v>36.32</v>
      </c>
      <c r="X64" s="45">
        <f t="shared" si="18"/>
        <v>54.480000000000004</v>
      </c>
      <c r="Y64" s="45">
        <f t="shared" si="18"/>
        <v>43.13</v>
      </c>
      <c r="Z64" s="45">
        <f t="shared" si="18"/>
        <v>52.21</v>
      </c>
      <c r="AA64" s="45">
        <f t="shared" si="18"/>
        <v>54.480000000000004</v>
      </c>
      <c r="AB64" s="45">
        <f t="shared" si="18"/>
        <v>52.21</v>
      </c>
      <c r="AC64" s="45">
        <f t="shared" si="18"/>
        <v>54.480000000000004</v>
      </c>
      <c r="AD64" s="45">
        <f t="shared" si="18"/>
        <v>52.21</v>
      </c>
      <c r="AE64" s="45">
        <f t="shared" si="18"/>
        <v>38.590000000000003</v>
      </c>
      <c r="AF64" s="45">
        <f t="shared" si="18"/>
        <v>49.94</v>
      </c>
      <c r="AG64" s="45">
        <f t="shared" si="18"/>
        <v>54.480000000000004</v>
      </c>
      <c r="AH64" s="45">
        <f t="shared" si="18"/>
        <v>54.480000000000004</v>
      </c>
      <c r="AI64" s="45">
        <f t="shared" si="18"/>
        <v>54.480000000000004</v>
      </c>
      <c r="AJ64" s="45">
        <f t="shared" si="18"/>
        <v>54.480000000000004</v>
      </c>
      <c r="AK64" s="45">
        <f t="shared" si="18"/>
        <v>45.4</v>
      </c>
      <c r="AL64" s="45">
        <f t="shared" si="18"/>
        <v>54.480000000000004</v>
      </c>
      <c r="AM64" s="45">
        <f t="shared" si="18"/>
        <v>45.4</v>
      </c>
      <c r="AN64" s="45">
        <f t="shared" si="18"/>
        <v>45.4</v>
      </c>
      <c r="AO64" s="45">
        <f t="shared" si="18"/>
        <v>43.13</v>
      </c>
      <c r="AP64" s="47">
        <f t="shared" si="18"/>
        <v>43.13</v>
      </c>
      <c r="AQ64" s="90">
        <f t="shared" ref="AQ64:AQ66" si="19">AVERAGE(C64:AP64)</f>
        <v>44.719000000000015</v>
      </c>
      <c r="AR64" s="47">
        <f t="shared" ref="AR64:AR65" si="20">AR53+AR56+AR59+AR62</f>
        <v>44.718999999999994</v>
      </c>
      <c r="AS64" s="77"/>
    </row>
    <row r="65" spans="1:45">
      <c r="A65" s="43"/>
      <c r="B65" s="43" t="s">
        <v>33</v>
      </c>
      <c r="C65" s="77">
        <f t="shared" ref="C65:AP65" si="21">2.27*(C54+C57+C60+C63)</f>
        <v>20.43</v>
      </c>
      <c r="D65" s="77">
        <f t="shared" si="21"/>
        <v>27.240000000000002</v>
      </c>
      <c r="E65" s="77">
        <f t="shared" si="21"/>
        <v>9.08</v>
      </c>
      <c r="F65" s="77">
        <f t="shared" si="21"/>
        <v>13.620000000000001</v>
      </c>
      <c r="G65" s="77">
        <f t="shared" si="21"/>
        <v>18.16</v>
      </c>
      <c r="H65" s="77">
        <f t="shared" si="21"/>
        <v>24.97</v>
      </c>
      <c r="I65" s="77">
        <f t="shared" si="21"/>
        <v>38.590000000000003</v>
      </c>
      <c r="J65" s="77">
        <f t="shared" si="21"/>
        <v>54.480000000000004</v>
      </c>
      <c r="K65" s="77">
        <f t="shared" si="21"/>
        <v>27.240000000000002</v>
      </c>
      <c r="L65" s="77">
        <f t="shared" si="21"/>
        <v>52.21</v>
      </c>
      <c r="M65" s="77">
        <f t="shared" si="21"/>
        <v>54.480000000000004</v>
      </c>
      <c r="N65" s="77">
        <f t="shared" si="21"/>
        <v>47.67</v>
      </c>
      <c r="O65" s="77">
        <f t="shared" si="21"/>
        <v>54.480000000000004</v>
      </c>
      <c r="P65" s="77">
        <f t="shared" si="21"/>
        <v>43.13</v>
      </c>
      <c r="Q65" s="77">
        <f t="shared" si="21"/>
        <v>40.86</v>
      </c>
      <c r="R65" s="77">
        <f t="shared" si="21"/>
        <v>54.480000000000004</v>
      </c>
      <c r="S65" s="77">
        <f t="shared" si="21"/>
        <v>54.480000000000004</v>
      </c>
      <c r="T65" s="77">
        <f t="shared" si="21"/>
        <v>47.67</v>
      </c>
      <c r="U65" s="77">
        <f t="shared" si="21"/>
        <v>45.4</v>
      </c>
      <c r="V65" s="77">
        <f t="shared" si="21"/>
        <v>47.67</v>
      </c>
      <c r="W65" s="77">
        <f t="shared" si="21"/>
        <v>54.480000000000004</v>
      </c>
      <c r="X65" s="77">
        <f t="shared" si="21"/>
        <v>54.480000000000004</v>
      </c>
      <c r="Y65" s="77">
        <f t="shared" si="21"/>
        <v>52.21</v>
      </c>
      <c r="Z65" s="77">
        <f t="shared" si="21"/>
        <v>47.67</v>
      </c>
      <c r="AA65" s="77">
        <f t="shared" si="21"/>
        <v>54.480000000000004</v>
      </c>
      <c r="AB65" s="77">
        <f t="shared" si="21"/>
        <v>54.480000000000004</v>
      </c>
      <c r="AC65" s="77">
        <f t="shared" si="21"/>
        <v>54.480000000000004</v>
      </c>
      <c r="AD65" s="77">
        <f t="shared" si="21"/>
        <v>49.94</v>
      </c>
      <c r="AE65" s="77">
        <f t="shared" si="21"/>
        <v>54.480000000000004</v>
      </c>
      <c r="AF65" s="118">
        <f t="shared" si="21"/>
        <v>47.67</v>
      </c>
      <c r="AG65" s="77">
        <f t="shared" si="21"/>
        <v>54.480000000000004</v>
      </c>
      <c r="AH65" s="77">
        <f t="shared" si="21"/>
        <v>54.480000000000004</v>
      </c>
      <c r="AI65" s="77">
        <f t="shared" si="21"/>
        <v>54.480000000000004</v>
      </c>
      <c r="AJ65" s="77">
        <f t="shared" si="21"/>
        <v>54.480000000000004</v>
      </c>
      <c r="AK65" s="77">
        <f t="shared" si="21"/>
        <v>54.480000000000004</v>
      </c>
      <c r="AL65" s="77">
        <f t="shared" si="21"/>
        <v>47.67</v>
      </c>
      <c r="AM65" s="77">
        <f t="shared" si="21"/>
        <v>45.4</v>
      </c>
      <c r="AN65" s="77">
        <f t="shared" si="21"/>
        <v>54.480000000000004</v>
      </c>
      <c r="AO65" s="77">
        <f t="shared" si="21"/>
        <v>54.480000000000004</v>
      </c>
      <c r="AP65" s="48">
        <f t="shared" si="21"/>
        <v>47.67</v>
      </c>
      <c r="AQ65" s="91">
        <f t="shared" si="19"/>
        <v>45.570250000000009</v>
      </c>
      <c r="AR65" s="48">
        <f t="shared" si="20"/>
        <v>45.570250000000001</v>
      </c>
      <c r="AS65" s="77"/>
    </row>
    <row r="66" spans="1:45">
      <c r="A66" s="49"/>
      <c r="B66" s="49" t="s">
        <v>34</v>
      </c>
      <c r="C66" s="50">
        <f t="shared" ref="C66:AP66" si="22">C64-C65</f>
        <v>6.8100000000000023</v>
      </c>
      <c r="D66" s="50">
        <f t="shared" si="22"/>
        <v>0</v>
      </c>
      <c r="E66" s="50">
        <f t="shared" si="22"/>
        <v>18.160000000000004</v>
      </c>
      <c r="F66" s="50">
        <f t="shared" si="22"/>
        <v>13.620000000000001</v>
      </c>
      <c r="G66" s="50">
        <f t="shared" si="22"/>
        <v>9.0800000000000018</v>
      </c>
      <c r="H66" s="50">
        <f t="shared" si="22"/>
        <v>0</v>
      </c>
      <c r="I66" s="50">
        <f t="shared" si="22"/>
        <v>2.269999999999996</v>
      </c>
      <c r="J66" s="50">
        <f t="shared" si="22"/>
        <v>0</v>
      </c>
      <c r="K66" s="50">
        <f t="shared" si="22"/>
        <v>0</v>
      </c>
      <c r="L66" s="50">
        <f t="shared" si="22"/>
        <v>0</v>
      </c>
      <c r="M66" s="50">
        <f t="shared" si="22"/>
        <v>-29.510000000000005</v>
      </c>
      <c r="N66" s="50">
        <f t="shared" si="22"/>
        <v>0</v>
      </c>
      <c r="O66" s="50">
        <f t="shared" si="22"/>
        <v>-2.2700000000000031</v>
      </c>
      <c r="P66" s="50">
        <f t="shared" si="22"/>
        <v>11.350000000000001</v>
      </c>
      <c r="Q66" s="50">
        <f t="shared" si="22"/>
        <v>13.620000000000005</v>
      </c>
      <c r="R66" s="50">
        <f t="shared" si="22"/>
        <v>0</v>
      </c>
      <c r="S66" s="50">
        <f t="shared" si="22"/>
        <v>-4.5400000000000063</v>
      </c>
      <c r="T66" s="50">
        <f t="shared" si="22"/>
        <v>-4.5399999999999991</v>
      </c>
      <c r="U66" s="50">
        <f t="shared" si="22"/>
        <v>9.0800000000000054</v>
      </c>
      <c r="V66" s="50">
        <f t="shared" si="22"/>
        <v>-13.620000000000005</v>
      </c>
      <c r="W66" s="50">
        <f t="shared" si="22"/>
        <v>-18.160000000000004</v>
      </c>
      <c r="X66" s="50">
        <f t="shared" si="22"/>
        <v>0</v>
      </c>
      <c r="Y66" s="50">
        <f t="shared" si="22"/>
        <v>-9.0799999999999983</v>
      </c>
      <c r="Z66" s="50">
        <f t="shared" si="22"/>
        <v>4.5399999999999991</v>
      </c>
      <c r="AA66" s="50">
        <f t="shared" si="22"/>
        <v>0</v>
      </c>
      <c r="AB66" s="50">
        <f t="shared" si="22"/>
        <v>-2.2700000000000031</v>
      </c>
      <c r="AC66" s="50">
        <f t="shared" si="22"/>
        <v>0</v>
      </c>
      <c r="AD66" s="50">
        <f t="shared" si="22"/>
        <v>2.2700000000000031</v>
      </c>
      <c r="AE66" s="50">
        <f t="shared" si="22"/>
        <v>-15.89</v>
      </c>
      <c r="AF66" s="50">
        <f t="shared" si="22"/>
        <v>2.269999999999996</v>
      </c>
      <c r="AG66" s="50">
        <f t="shared" si="22"/>
        <v>0</v>
      </c>
      <c r="AH66" s="50">
        <f t="shared" si="22"/>
        <v>0</v>
      </c>
      <c r="AI66" s="50">
        <f t="shared" si="22"/>
        <v>0</v>
      </c>
      <c r="AJ66" s="50">
        <f t="shared" si="22"/>
        <v>0</v>
      </c>
      <c r="AK66" s="50">
        <f t="shared" si="22"/>
        <v>-9.0800000000000054</v>
      </c>
      <c r="AL66" s="50">
        <f t="shared" si="22"/>
        <v>6.8100000000000023</v>
      </c>
      <c r="AM66" s="50">
        <f t="shared" si="22"/>
        <v>0</v>
      </c>
      <c r="AN66" s="50">
        <f t="shared" si="22"/>
        <v>-9.0800000000000054</v>
      </c>
      <c r="AO66" s="50">
        <f t="shared" si="22"/>
        <v>-11.350000000000001</v>
      </c>
      <c r="AP66" s="52">
        <f t="shared" si="22"/>
        <v>-4.5399999999999991</v>
      </c>
      <c r="AQ66" s="92">
        <f t="shared" si="19"/>
        <v>-0.85125000000000062</v>
      </c>
      <c r="AR66" s="52">
        <f>AR64-AR65</f>
        <v>-0.85125000000000739</v>
      </c>
      <c r="AS66" s="77"/>
    </row>
    <row r="67" spans="1:45">
      <c r="A67" s="53" t="s">
        <v>104</v>
      </c>
      <c r="B67" s="93" t="s">
        <v>105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119"/>
      <c r="AG67" s="54"/>
      <c r="AH67" s="54"/>
      <c r="AI67" s="54"/>
      <c r="AJ67" s="54"/>
      <c r="AK67" s="54"/>
      <c r="AL67" s="54"/>
      <c r="AM67" s="54"/>
      <c r="AN67" s="54"/>
      <c r="AO67" s="54"/>
      <c r="AP67" s="94"/>
      <c r="AQ67" s="54"/>
      <c r="AR67" s="55"/>
      <c r="AS67" s="54"/>
    </row>
    <row r="68" spans="1:45">
      <c r="A68" s="55"/>
      <c r="B68" s="55" t="s">
        <v>106</v>
      </c>
      <c r="C68" s="54"/>
      <c r="D68" s="54"/>
      <c r="E68" s="54"/>
      <c r="F68" s="54"/>
      <c r="G68" s="54"/>
      <c r="H68" s="54"/>
      <c r="I68" s="54"/>
      <c r="J68" s="54"/>
      <c r="K68" s="54"/>
      <c r="L68" s="55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119"/>
      <c r="AG68" s="54"/>
      <c r="AH68" s="54"/>
      <c r="AI68" s="54"/>
      <c r="AJ68" s="54"/>
      <c r="AK68" s="54"/>
      <c r="AL68" s="54"/>
      <c r="AM68" s="54"/>
      <c r="AN68" s="54"/>
      <c r="AO68" s="54"/>
      <c r="AP68" s="94"/>
      <c r="AQ68" s="54"/>
      <c r="AR68" s="55"/>
      <c r="AS68" s="54"/>
    </row>
    <row r="69" spans="1:45">
      <c r="A69" s="57"/>
      <c r="B69" s="57" t="s">
        <v>23</v>
      </c>
      <c r="C69" s="55">
        <v>3</v>
      </c>
      <c r="D69" s="55">
        <v>0</v>
      </c>
      <c r="E69" s="55">
        <v>6</v>
      </c>
      <c r="F69" s="55">
        <v>6</v>
      </c>
      <c r="G69" s="55">
        <v>6</v>
      </c>
      <c r="H69" s="55">
        <v>6</v>
      </c>
      <c r="I69" s="55">
        <v>6</v>
      </c>
      <c r="J69" s="55">
        <v>6</v>
      </c>
      <c r="K69" s="55">
        <v>6</v>
      </c>
      <c r="L69" s="55">
        <v>6</v>
      </c>
      <c r="M69" s="55">
        <v>4</v>
      </c>
      <c r="N69" s="55">
        <v>6</v>
      </c>
      <c r="O69" s="55">
        <v>5</v>
      </c>
      <c r="P69" s="55">
        <v>6</v>
      </c>
      <c r="Q69" s="55">
        <v>6</v>
      </c>
      <c r="R69" s="55">
        <v>6</v>
      </c>
      <c r="S69" s="55">
        <v>6</v>
      </c>
      <c r="T69" s="55">
        <v>5</v>
      </c>
      <c r="U69" s="55">
        <v>6</v>
      </c>
      <c r="V69" s="55">
        <v>3</v>
      </c>
      <c r="W69" s="55">
        <v>5</v>
      </c>
      <c r="X69" s="55">
        <v>6</v>
      </c>
      <c r="Y69" s="55">
        <v>6</v>
      </c>
      <c r="Z69" s="55">
        <v>6</v>
      </c>
      <c r="AA69" s="55">
        <v>6</v>
      </c>
      <c r="AB69" s="55">
        <v>5</v>
      </c>
      <c r="AC69" s="55">
        <v>6</v>
      </c>
      <c r="AD69" s="55">
        <v>6</v>
      </c>
      <c r="AE69" s="55">
        <v>6</v>
      </c>
      <c r="AF69" s="120">
        <v>5</v>
      </c>
      <c r="AG69" s="55">
        <v>6</v>
      </c>
      <c r="AH69" s="55">
        <v>6</v>
      </c>
      <c r="AI69" s="55">
        <v>6</v>
      </c>
      <c r="AJ69" s="55">
        <v>6</v>
      </c>
      <c r="AK69" s="55">
        <v>6</v>
      </c>
      <c r="AL69" s="55">
        <v>6</v>
      </c>
      <c r="AM69" s="55">
        <v>5</v>
      </c>
      <c r="AN69" s="55">
        <v>6</v>
      </c>
      <c r="AO69" s="55">
        <v>6</v>
      </c>
      <c r="AP69" s="62">
        <v>6</v>
      </c>
      <c r="AQ69" s="55">
        <f t="shared" ref="AQ69:AQ82" si="23">SUM(C69:AP69)</f>
        <v>220</v>
      </c>
      <c r="AR69" s="55">
        <f t="shared" ref="AR69:AR82" si="24">1.8*(AQ69/COLUMNS(C69:AP69))</f>
        <v>9.9</v>
      </c>
      <c r="AS69" s="55"/>
    </row>
    <row r="70" spans="1:45">
      <c r="A70" s="57"/>
      <c r="B70" s="57" t="s">
        <v>24</v>
      </c>
      <c r="C70" s="55">
        <v>2</v>
      </c>
      <c r="D70" s="55">
        <v>0</v>
      </c>
      <c r="E70" s="55">
        <v>3</v>
      </c>
      <c r="F70" s="55">
        <v>4</v>
      </c>
      <c r="G70" s="55">
        <v>3</v>
      </c>
      <c r="H70" s="55">
        <v>6</v>
      </c>
      <c r="I70" s="55">
        <v>6</v>
      </c>
      <c r="J70" s="55">
        <v>6</v>
      </c>
      <c r="K70" s="55">
        <v>6</v>
      </c>
      <c r="L70" s="55">
        <v>6</v>
      </c>
      <c r="M70" s="55">
        <v>6</v>
      </c>
      <c r="N70" s="55">
        <v>6</v>
      </c>
      <c r="O70" s="55">
        <v>5</v>
      </c>
      <c r="P70" s="55">
        <v>3</v>
      </c>
      <c r="Q70" s="55">
        <v>6</v>
      </c>
      <c r="R70" s="55">
        <v>6</v>
      </c>
      <c r="S70" s="55">
        <v>6</v>
      </c>
      <c r="T70" s="55">
        <v>6</v>
      </c>
      <c r="U70" s="55">
        <v>5</v>
      </c>
      <c r="V70" s="55">
        <v>5</v>
      </c>
      <c r="W70" s="55">
        <v>6</v>
      </c>
      <c r="X70" s="55">
        <v>6</v>
      </c>
      <c r="Y70" s="55">
        <v>6</v>
      </c>
      <c r="Z70" s="55">
        <v>6</v>
      </c>
      <c r="AA70" s="55">
        <v>6</v>
      </c>
      <c r="AB70" s="55">
        <v>5</v>
      </c>
      <c r="AC70" s="55">
        <v>6</v>
      </c>
      <c r="AD70" s="55">
        <v>6</v>
      </c>
      <c r="AE70" s="55">
        <v>6</v>
      </c>
      <c r="AF70" s="120">
        <v>6</v>
      </c>
      <c r="AG70" s="55">
        <v>6</v>
      </c>
      <c r="AH70" s="55">
        <v>6</v>
      </c>
      <c r="AI70" s="55">
        <v>6</v>
      </c>
      <c r="AJ70" s="55">
        <v>6</v>
      </c>
      <c r="AK70" s="55">
        <v>6</v>
      </c>
      <c r="AL70" s="55">
        <v>5</v>
      </c>
      <c r="AM70" s="55">
        <v>5</v>
      </c>
      <c r="AN70" s="55">
        <v>6</v>
      </c>
      <c r="AO70" s="55">
        <v>6</v>
      </c>
      <c r="AP70" s="62">
        <v>6</v>
      </c>
      <c r="AQ70" s="55">
        <f t="shared" si="23"/>
        <v>213</v>
      </c>
      <c r="AR70" s="55">
        <f t="shared" si="24"/>
        <v>9.5850000000000009</v>
      </c>
      <c r="AS70" s="55"/>
    </row>
    <row r="71" spans="1:45">
      <c r="A71" s="55"/>
      <c r="B71" s="55" t="s">
        <v>107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119"/>
      <c r="AG71" s="54"/>
      <c r="AH71" s="54"/>
      <c r="AI71" s="54"/>
      <c r="AJ71" s="54"/>
      <c r="AK71" s="54"/>
      <c r="AL71" s="54"/>
      <c r="AM71" s="54"/>
      <c r="AN71" s="54"/>
      <c r="AO71" s="54"/>
      <c r="AP71" s="94"/>
      <c r="AQ71" s="55">
        <f t="shared" si="23"/>
        <v>0</v>
      </c>
      <c r="AR71" s="55">
        <f t="shared" si="24"/>
        <v>0</v>
      </c>
      <c r="AS71" s="54"/>
    </row>
    <row r="72" spans="1:45">
      <c r="A72" s="57"/>
      <c r="B72" s="57" t="s">
        <v>23</v>
      </c>
      <c r="C72" s="55">
        <v>1</v>
      </c>
      <c r="D72" s="55">
        <v>0</v>
      </c>
      <c r="E72" s="55">
        <v>6</v>
      </c>
      <c r="F72" s="55">
        <v>6</v>
      </c>
      <c r="G72" s="55">
        <v>6</v>
      </c>
      <c r="H72" s="55">
        <v>6</v>
      </c>
      <c r="I72" s="55">
        <v>6</v>
      </c>
      <c r="J72" s="55">
        <v>6</v>
      </c>
      <c r="K72" s="55">
        <v>6</v>
      </c>
      <c r="L72" s="55">
        <v>4</v>
      </c>
      <c r="M72" s="55">
        <v>2</v>
      </c>
      <c r="N72" s="55">
        <v>6</v>
      </c>
      <c r="O72" s="55">
        <v>5</v>
      </c>
      <c r="P72" s="55">
        <v>6</v>
      </c>
      <c r="Q72" s="55">
        <v>6</v>
      </c>
      <c r="R72" s="55">
        <v>6</v>
      </c>
      <c r="S72" s="55">
        <v>6</v>
      </c>
      <c r="T72" s="55">
        <v>5</v>
      </c>
      <c r="U72" s="55">
        <v>6</v>
      </c>
      <c r="V72" s="55">
        <v>0</v>
      </c>
      <c r="W72" s="55">
        <v>4</v>
      </c>
      <c r="X72" s="55">
        <v>6</v>
      </c>
      <c r="Y72" s="55">
        <v>6</v>
      </c>
      <c r="Z72" s="55">
        <v>6</v>
      </c>
      <c r="AA72" s="55">
        <v>6</v>
      </c>
      <c r="AB72" s="55">
        <v>5</v>
      </c>
      <c r="AC72" s="55">
        <v>6</v>
      </c>
      <c r="AD72" s="55">
        <v>6</v>
      </c>
      <c r="AE72" s="55">
        <v>6</v>
      </c>
      <c r="AF72" s="120">
        <v>5</v>
      </c>
      <c r="AG72" s="55">
        <v>6</v>
      </c>
      <c r="AH72" s="55">
        <v>6</v>
      </c>
      <c r="AI72" s="55">
        <v>6</v>
      </c>
      <c r="AJ72" s="55">
        <v>6</v>
      </c>
      <c r="AK72" s="55">
        <v>6</v>
      </c>
      <c r="AL72" s="55">
        <v>6</v>
      </c>
      <c r="AM72" s="55">
        <v>5</v>
      </c>
      <c r="AN72" s="55">
        <v>6</v>
      </c>
      <c r="AO72" s="55">
        <v>6</v>
      </c>
      <c r="AP72" s="62">
        <v>6</v>
      </c>
      <c r="AQ72" s="55">
        <f t="shared" si="23"/>
        <v>210</v>
      </c>
      <c r="AR72" s="55">
        <f t="shared" si="24"/>
        <v>9.4500000000000011</v>
      </c>
      <c r="AS72" s="55"/>
    </row>
    <row r="73" spans="1:45">
      <c r="A73" s="57"/>
      <c r="B73" s="57" t="s">
        <v>24</v>
      </c>
      <c r="C73" s="55">
        <v>1</v>
      </c>
      <c r="D73" s="55">
        <v>0</v>
      </c>
      <c r="E73" s="55">
        <v>3</v>
      </c>
      <c r="F73" s="55">
        <v>4</v>
      </c>
      <c r="G73" s="55">
        <v>3</v>
      </c>
      <c r="H73" s="55">
        <v>6</v>
      </c>
      <c r="I73" s="55">
        <v>6</v>
      </c>
      <c r="J73" s="55">
        <v>6</v>
      </c>
      <c r="K73" s="55">
        <v>6</v>
      </c>
      <c r="L73" s="55">
        <v>4</v>
      </c>
      <c r="M73" s="55">
        <v>6</v>
      </c>
      <c r="N73" s="55">
        <v>6</v>
      </c>
      <c r="O73" s="55">
        <v>5</v>
      </c>
      <c r="P73" s="55">
        <v>3</v>
      </c>
      <c r="Q73" s="55">
        <v>6</v>
      </c>
      <c r="R73" s="55">
        <v>6</v>
      </c>
      <c r="S73" s="55">
        <v>6</v>
      </c>
      <c r="T73" s="55">
        <v>6</v>
      </c>
      <c r="U73" s="55">
        <v>5</v>
      </c>
      <c r="V73" s="55">
        <v>0</v>
      </c>
      <c r="W73" s="55">
        <v>6</v>
      </c>
      <c r="X73" s="55">
        <v>6</v>
      </c>
      <c r="Y73" s="55">
        <v>6</v>
      </c>
      <c r="Z73" s="55">
        <v>6</v>
      </c>
      <c r="AA73" s="55">
        <v>6</v>
      </c>
      <c r="AB73" s="55">
        <v>5</v>
      </c>
      <c r="AC73" s="55">
        <v>6</v>
      </c>
      <c r="AD73" s="55">
        <v>6</v>
      </c>
      <c r="AE73" s="55">
        <v>6</v>
      </c>
      <c r="AF73" s="120">
        <v>5</v>
      </c>
      <c r="AG73" s="55">
        <v>6</v>
      </c>
      <c r="AH73" s="55">
        <v>6</v>
      </c>
      <c r="AI73" s="55">
        <v>6</v>
      </c>
      <c r="AJ73" s="55">
        <v>5</v>
      </c>
      <c r="AK73" s="55">
        <v>6</v>
      </c>
      <c r="AL73" s="55">
        <v>5</v>
      </c>
      <c r="AM73" s="55">
        <v>5</v>
      </c>
      <c r="AN73" s="55">
        <v>6</v>
      </c>
      <c r="AO73" s="55">
        <v>6</v>
      </c>
      <c r="AP73" s="62">
        <v>6</v>
      </c>
      <c r="AQ73" s="55">
        <f t="shared" si="23"/>
        <v>203</v>
      </c>
      <c r="AR73" s="55">
        <f t="shared" si="24"/>
        <v>9.1349999999999998</v>
      </c>
      <c r="AS73" s="55"/>
    </row>
    <row r="74" spans="1:45">
      <c r="A74" s="55"/>
      <c r="B74" s="55" t="s">
        <v>108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119"/>
      <c r="AG74" s="54"/>
      <c r="AH74" s="54"/>
      <c r="AI74" s="54"/>
      <c r="AJ74" s="54"/>
      <c r="AK74" s="54"/>
      <c r="AL74" s="54"/>
      <c r="AM74" s="54"/>
      <c r="AN74" s="54"/>
      <c r="AO74" s="54"/>
      <c r="AP74" s="94"/>
      <c r="AQ74" s="55">
        <f t="shared" si="23"/>
        <v>0</v>
      </c>
      <c r="AR74" s="55">
        <f t="shared" si="24"/>
        <v>0</v>
      </c>
      <c r="AS74" s="54"/>
    </row>
    <row r="75" spans="1:45">
      <c r="A75" s="57"/>
      <c r="B75" s="57" t="s">
        <v>55</v>
      </c>
      <c r="C75" s="55">
        <v>6</v>
      </c>
      <c r="D75" s="55">
        <v>5</v>
      </c>
      <c r="E75" s="55">
        <v>6</v>
      </c>
      <c r="F75" s="55">
        <v>6</v>
      </c>
      <c r="G75" s="55">
        <v>6</v>
      </c>
      <c r="H75" s="55">
        <v>4</v>
      </c>
      <c r="I75" s="55">
        <v>3</v>
      </c>
      <c r="J75" s="55">
        <v>6</v>
      </c>
      <c r="K75" s="55">
        <v>6</v>
      </c>
      <c r="L75" s="55">
        <v>4</v>
      </c>
      <c r="M75" s="55">
        <v>3</v>
      </c>
      <c r="N75" s="55"/>
      <c r="O75" s="55">
        <v>6</v>
      </c>
      <c r="P75" s="55">
        <v>6</v>
      </c>
      <c r="Q75" s="55">
        <v>4</v>
      </c>
      <c r="R75" s="55">
        <v>6</v>
      </c>
      <c r="S75" s="55">
        <v>6</v>
      </c>
      <c r="T75" s="55">
        <v>0</v>
      </c>
      <c r="U75" s="55">
        <v>6</v>
      </c>
      <c r="V75" s="55">
        <v>2</v>
      </c>
      <c r="W75" s="55">
        <v>0</v>
      </c>
      <c r="X75" s="55">
        <v>6</v>
      </c>
      <c r="Y75" s="55">
        <v>6</v>
      </c>
      <c r="Z75" s="55">
        <v>6</v>
      </c>
      <c r="AA75" s="55">
        <v>6</v>
      </c>
      <c r="AB75" s="55">
        <v>6</v>
      </c>
      <c r="AC75" s="55">
        <v>4</v>
      </c>
      <c r="AD75" s="55">
        <v>6</v>
      </c>
      <c r="AE75" s="55">
        <v>6</v>
      </c>
      <c r="AF75" s="120"/>
      <c r="AG75" s="55">
        <v>6</v>
      </c>
      <c r="AH75" s="55">
        <v>6</v>
      </c>
      <c r="AI75" s="55">
        <v>6</v>
      </c>
      <c r="AJ75" s="55">
        <v>6</v>
      </c>
      <c r="AK75" s="55">
        <v>6</v>
      </c>
      <c r="AL75" s="55">
        <v>6</v>
      </c>
      <c r="AM75" s="55">
        <v>5</v>
      </c>
      <c r="AN75" s="55">
        <v>6</v>
      </c>
      <c r="AO75" s="55">
        <v>6</v>
      </c>
      <c r="AP75" s="62">
        <v>6</v>
      </c>
      <c r="AQ75" s="55">
        <f t="shared" si="23"/>
        <v>196</v>
      </c>
      <c r="AR75" s="55">
        <f t="shared" si="24"/>
        <v>8.82</v>
      </c>
      <c r="AS75" s="55"/>
    </row>
    <row r="76" spans="1:45">
      <c r="A76" s="57"/>
      <c r="B76" s="57" t="s">
        <v>56</v>
      </c>
      <c r="C76" s="55">
        <v>3</v>
      </c>
      <c r="D76" s="55">
        <v>5</v>
      </c>
      <c r="E76" s="55">
        <v>3</v>
      </c>
      <c r="F76" s="55">
        <v>2</v>
      </c>
      <c r="G76" s="55">
        <v>0</v>
      </c>
      <c r="H76" s="55">
        <v>4</v>
      </c>
      <c r="I76" s="55">
        <v>6</v>
      </c>
      <c r="J76" s="55">
        <v>2</v>
      </c>
      <c r="K76" s="55">
        <v>6</v>
      </c>
      <c r="L76" s="55">
        <v>2</v>
      </c>
      <c r="M76" s="55">
        <v>6</v>
      </c>
      <c r="N76" s="55"/>
      <c r="O76" s="55"/>
      <c r="P76" s="55">
        <v>2</v>
      </c>
      <c r="Q76" s="55">
        <v>6</v>
      </c>
      <c r="R76" s="55">
        <v>5</v>
      </c>
      <c r="S76" s="55">
        <v>4</v>
      </c>
      <c r="T76" s="55">
        <v>6</v>
      </c>
      <c r="U76" s="55"/>
      <c r="V76" s="55">
        <v>4</v>
      </c>
      <c r="W76" s="55">
        <v>6</v>
      </c>
      <c r="X76" s="55">
        <v>4</v>
      </c>
      <c r="Y76" s="55">
        <v>4</v>
      </c>
      <c r="Z76" s="55">
        <v>4</v>
      </c>
      <c r="AA76" s="55">
        <v>0</v>
      </c>
      <c r="AB76" s="55">
        <v>4</v>
      </c>
      <c r="AC76" s="55">
        <v>4</v>
      </c>
      <c r="AD76" s="55">
        <v>3</v>
      </c>
      <c r="AE76" s="55">
        <v>5</v>
      </c>
      <c r="AF76" s="120"/>
      <c r="AG76" s="55">
        <v>4</v>
      </c>
      <c r="AH76" s="55">
        <v>0</v>
      </c>
      <c r="AI76" s="55">
        <v>0</v>
      </c>
      <c r="AJ76" s="55">
        <v>6</v>
      </c>
      <c r="AK76" s="55">
        <v>5</v>
      </c>
      <c r="AL76" s="55">
        <v>3</v>
      </c>
      <c r="AM76" s="55">
        <v>5</v>
      </c>
      <c r="AN76" s="55">
        <v>5</v>
      </c>
      <c r="AO76" s="55">
        <v>5</v>
      </c>
      <c r="AP76" s="62">
        <v>5</v>
      </c>
      <c r="AQ76" s="55">
        <f t="shared" si="23"/>
        <v>138</v>
      </c>
      <c r="AR76" s="55">
        <f t="shared" si="24"/>
        <v>6.2100000000000009</v>
      </c>
      <c r="AS76" s="55"/>
    </row>
    <row r="77" spans="1:45">
      <c r="A77" s="55"/>
      <c r="B77" s="55" t="s">
        <v>109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119"/>
      <c r="AG77" s="54"/>
      <c r="AH77" s="54"/>
      <c r="AI77" s="54"/>
      <c r="AJ77" s="54"/>
      <c r="AK77" s="54"/>
      <c r="AL77" s="54"/>
      <c r="AM77" s="54"/>
      <c r="AN77" s="54"/>
      <c r="AO77" s="54"/>
      <c r="AP77" s="94"/>
      <c r="AQ77" s="55">
        <f t="shared" si="23"/>
        <v>0</v>
      </c>
      <c r="AR77" s="55">
        <f t="shared" si="24"/>
        <v>0</v>
      </c>
      <c r="AS77" s="54"/>
    </row>
    <row r="78" spans="1:45">
      <c r="A78" s="57"/>
      <c r="B78" s="57" t="s">
        <v>55</v>
      </c>
      <c r="C78" s="55">
        <v>6</v>
      </c>
      <c r="D78" s="55">
        <v>2</v>
      </c>
      <c r="E78" s="55">
        <v>6</v>
      </c>
      <c r="F78" s="55">
        <v>6</v>
      </c>
      <c r="G78" s="55">
        <v>6</v>
      </c>
      <c r="H78" s="55">
        <v>3</v>
      </c>
      <c r="I78" s="55">
        <v>4</v>
      </c>
      <c r="J78" s="55">
        <v>6</v>
      </c>
      <c r="K78" s="55">
        <v>6</v>
      </c>
      <c r="L78" s="55">
        <v>4</v>
      </c>
      <c r="M78" s="55">
        <v>3</v>
      </c>
      <c r="N78" s="55"/>
      <c r="O78" s="55">
        <v>6</v>
      </c>
      <c r="P78" s="55">
        <v>6</v>
      </c>
      <c r="Q78" s="55">
        <v>4</v>
      </c>
      <c r="R78" s="55">
        <v>6</v>
      </c>
      <c r="S78" s="55">
        <v>5</v>
      </c>
      <c r="T78" s="55">
        <v>6</v>
      </c>
      <c r="U78" s="55">
        <v>5</v>
      </c>
      <c r="V78" s="55">
        <v>1</v>
      </c>
      <c r="W78" s="55">
        <v>4</v>
      </c>
      <c r="X78" s="55">
        <v>6</v>
      </c>
      <c r="Y78" s="55">
        <v>5</v>
      </c>
      <c r="Z78" s="55">
        <v>6</v>
      </c>
      <c r="AA78" s="55">
        <v>6</v>
      </c>
      <c r="AB78" s="55">
        <v>6</v>
      </c>
      <c r="AC78" s="55">
        <v>4</v>
      </c>
      <c r="AD78" s="55">
        <v>6</v>
      </c>
      <c r="AE78" s="55">
        <v>5</v>
      </c>
      <c r="AF78" s="120">
        <v>6</v>
      </c>
      <c r="AG78" s="55">
        <v>6</v>
      </c>
      <c r="AH78" s="55">
        <v>6</v>
      </c>
      <c r="AI78" s="55">
        <v>6</v>
      </c>
      <c r="AJ78" s="55">
        <v>6</v>
      </c>
      <c r="AK78" s="55">
        <v>5</v>
      </c>
      <c r="AL78" s="55">
        <v>6</v>
      </c>
      <c r="AM78" s="55">
        <v>6</v>
      </c>
      <c r="AN78" s="55">
        <v>5</v>
      </c>
      <c r="AO78" s="55">
        <v>5</v>
      </c>
      <c r="AP78" s="62">
        <v>6</v>
      </c>
      <c r="AQ78" s="55">
        <f t="shared" si="23"/>
        <v>202</v>
      </c>
      <c r="AR78" s="55">
        <f t="shared" si="24"/>
        <v>9.09</v>
      </c>
      <c r="AS78" s="55"/>
    </row>
    <row r="79" spans="1:45">
      <c r="A79" s="57"/>
      <c r="B79" s="57" t="s">
        <v>56</v>
      </c>
      <c r="C79" s="55">
        <v>0</v>
      </c>
      <c r="D79" s="55">
        <v>6</v>
      </c>
      <c r="E79" s="55">
        <v>3</v>
      </c>
      <c r="F79" s="55">
        <v>2</v>
      </c>
      <c r="G79" s="55">
        <v>0</v>
      </c>
      <c r="H79" s="55">
        <v>3</v>
      </c>
      <c r="I79" s="55">
        <v>4</v>
      </c>
      <c r="J79" s="55">
        <v>2</v>
      </c>
      <c r="K79" s="55">
        <v>6</v>
      </c>
      <c r="L79" s="55">
        <v>2</v>
      </c>
      <c r="M79" s="55">
        <v>6</v>
      </c>
      <c r="N79" s="55"/>
      <c r="O79" s="55"/>
      <c r="P79" s="55">
        <v>2</v>
      </c>
      <c r="Q79" s="55">
        <v>6</v>
      </c>
      <c r="R79" s="55">
        <v>4</v>
      </c>
      <c r="S79" s="55">
        <v>6</v>
      </c>
      <c r="T79" s="55">
        <v>0</v>
      </c>
      <c r="U79" s="55">
        <v>5</v>
      </c>
      <c r="V79" s="55">
        <v>1</v>
      </c>
      <c r="W79" s="55">
        <v>6</v>
      </c>
      <c r="X79" s="55">
        <v>5</v>
      </c>
      <c r="Y79" s="55">
        <v>5</v>
      </c>
      <c r="Z79" s="55">
        <v>4</v>
      </c>
      <c r="AA79" s="55">
        <v>6</v>
      </c>
      <c r="AB79" s="55">
        <v>4</v>
      </c>
      <c r="AC79" s="55">
        <v>4</v>
      </c>
      <c r="AD79" s="55">
        <v>3</v>
      </c>
      <c r="AE79" s="55">
        <v>5</v>
      </c>
      <c r="AF79" s="120">
        <v>6</v>
      </c>
      <c r="AG79" s="55">
        <v>5</v>
      </c>
      <c r="AH79" s="55">
        <v>0</v>
      </c>
      <c r="AI79" s="55">
        <v>0</v>
      </c>
      <c r="AJ79" s="55">
        <v>6</v>
      </c>
      <c r="AK79" s="55">
        <v>5</v>
      </c>
      <c r="AL79" s="55">
        <v>3</v>
      </c>
      <c r="AM79" s="55">
        <v>5</v>
      </c>
      <c r="AN79" s="55">
        <v>5</v>
      </c>
      <c r="AO79" s="55">
        <v>5</v>
      </c>
      <c r="AP79" s="62">
        <v>6</v>
      </c>
      <c r="AQ79" s="55">
        <f t="shared" si="23"/>
        <v>146</v>
      </c>
      <c r="AR79" s="55">
        <f t="shared" si="24"/>
        <v>6.57</v>
      </c>
      <c r="AS79" s="55"/>
    </row>
    <row r="80" spans="1:45">
      <c r="A80" s="57"/>
      <c r="B80" s="53" t="s">
        <v>110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121"/>
      <c r="AG80" s="57"/>
      <c r="AH80" s="57"/>
      <c r="AI80" s="57"/>
      <c r="AJ80" s="57"/>
      <c r="AK80" s="57"/>
      <c r="AL80" s="57"/>
      <c r="AM80" s="57"/>
      <c r="AN80" s="57"/>
      <c r="AO80" s="57"/>
      <c r="AP80" s="95"/>
      <c r="AQ80" s="55">
        <f t="shared" si="23"/>
        <v>0</v>
      </c>
      <c r="AR80" s="55">
        <f t="shared" si="24"/>
        <v>0</v>
      </c>
      <c r="AS80" s="57"/>
    </row>
    <row r="81" spans="1:45">
      <c r="A81" s="57"/>
      <c r="B81" s="57" t="s">
        <v>55</v>
      </c>
      <c r="C81" s="57">
        <v>6</v>
      </c>
      <c r="D81" s="57">
        <v>6</v>
      </c>
      <c r="E81" s="57">
        <v>6</v>
      </c>
      <c r="F81" s="57">
        <v>6</v>
      </c>
      <c r="G81" s="57">
        <v>6</v>
      </c>
      <c r="H81" s="57">
        <v>3</v>
      </c>
      <c r="I81" s="57">
        <v>6</v>
      </c>
      <c r="J81" s="57">
        <v>6</v>
      </c>
      <c r="K81" s="57">
        <v>6</v>
      </c>
      <c r="L81" s="57">
        <v>4</v>
      </c>
      <c r="M81" s="57">
        <v>3</v>
      </c>
      <c r="N81" s="57"/>
      <c r="O81" s="57">
        <v>6</v>
      </c>
      <c r="P81" s="57">
        <v>6</v>
      </c>
      <c r="Q81" s="57">
        <v>5</v>
      </c>
      <c r="R81" s="57">
        <v>6</v>
      </c>
      <c r="S81" s="57">
        <v>6</v>
      </c>
      <c r="T81" s="57">
        <v>0</v>
      </c>
      <c r="U81" s="57">
        <v>6</v>
      </c>
      <c r="V81" s="57">
        <v>6</v>
      </c>
      <c r="W81" s="57">
        <v>4</v>
      </c>
      <c r="X81" s="57">
        <v>6</v>
      </c>
      <c r="Y81" s="57">
        <v>5</v>
      </c>
      <c r="Z81" s="57">
        <v>4</v>
      </c>
      <c r="AA81" s="57">
        <v>6</v>
      </c>
      <c r="AB81" s="57">
        <v>6</v>
      </c>
      <c r="AC81" s="57">
        <v>6</v>
      </c>
      <c r="AD81" s="57">
        <v>6</v>
      </c>
      <c r="AE81" s="57">
        <v>4</v>
      </c>
      <c r="AF81" s="121">
        <v>6</v>
      </c>
      <c r="AG81" s="57">
        <v>6</v>
      </c>
      <c r="AH81" s="57">
        <v>6</v>
      </c>
      <c r="AI81" s="57">
        <v>6</v>
      </c>
      <c r="AJ81" s="57">
        <v>6</v>
      </c>
      <c r="AK81" s="57">
        <v>4</v>
      </c>
      <c r="AL81" s="57">
        <v>6</v>
      </c>
      <c r="AM81" s="57">
        <v>6</v>
      </c>
      <c r="AN81" s="57">
        <v>6</v>
      </c>
      <c r="AO81" s="57">
        <v>4</v>
      </c>
      <c r="AP81" s="95">
        <v>6</v>
      </c>
      <c r="AQ81" s="55">
        <f t="shared" si="23"/>
        <v>208</v>
      </c>
      <c r="AR81" s="55">
        <f t="shared" si="24"/>
        <v>9.3600000000000012</v>
      </c>
      <c r="AS81" s="57"/>
    </row>
    <row r="82" spans="1:45">
      <c r="A82" s="57"/>
      <c r="B82" s="57" t="s">
        <v>56</v>
      </c>
      <c r="C82" s="57">
        <v>0</v>
      </c>
      <c r="D82" s="57">
        <v>5</v>
      </c>
      <c r="E82" s="57">
        <v>3</v>
      </c>
      <c r="F82" s="57">
        <v>2</v>
      </c>
      <c r="G82" s="57">
        <v>0</v>
      </c>
      <c r="H82" s="57">
        <v>3</v>
      </c>
      <c r="I82" s="57">
        <v>6</v>
      </c>
      <c r="J82" s="57">
        <v>2</v>
      </c>
      <c r="K82" s="57">
        <v>0</v>
      </c>
      <c r="L82" s="57">
        <v>2</v>
      </c>
      <c r="M82" s="57">
        <v>6</v>
      </c>
      <c r="N82" s="57"/>
      <c r="O82" s="57"/>
      <c r="P82" s="57">
        <v>1</v>
      </c>
      <c r="Q82" s="57">
        <v>6</v>
      </c>
      <c r="R82" s="57">
        <v>5</v>
      </c>
      <c r="S82" s="57">
        <v>6</v>
      </c>
      <c r="T82" s="57">
        <v>6</v>
      </c>
      <c r="U82" s="57"/>
      <c r="V82" s="57">
        <v>6</v>
      </c>
      <c r="W82" s="57">
        <v>6</v>
      </c>
      <c r="X82" s="57">
        <v>5</v>
      </c>
      <c r="Y82" s="57">
        <v>6</v>
      </c>
      <c r="Z82" s="57">
        <v>6</v>
      </c>
      <c r="AA82" s="57">
        <v>6</v>
      </c>
      <c r="AB82" s="57">
        <v>6</v>
      </c>
      <c r="AC82" s="57">
        <v>6</v>
      </c>
      <c r="AD82" s="57">
        <v>3</v>
      </c>
      <c r="AE82" s="57">
        <v>6</v>
      </c>
      <c r="AF82" s="121">
        <v>5</v>
      </c>
      <c r="AG82" s="57">
        <v>4</v>
      </c>
      <c r="AH82" s="57">
        <v>3</v>
      </c>
      <c r="AI82" s="57">
        <v>0</v>
      </c>
      <c r="AJ82" s="57">
        <v>6</v>
      </c>
      <c r="AK82" s="57">
        <v>6</v>
      </c>
      <c r="AL82" s="57">
        <v>2</v>
      </c>
      <c r="AM82" s="57">
        <v>6</v>
      </c>
      <c r="AN82" s="57">
        <v>6</v>
      </c>
      <c r="AO82" s="57">
        <v>6</v>
      </c>
      <c r="AP82" s="95">
        <v>5</v>
      </c>
      <c r="AQ82" s="55">
        <f t="shared" si="23"/>
        <v>158</v>
      </c>
      <c r="AR82" s="55">
        <f t="shared" si="24"/>
        <v>7.11</v>
      </c>
      <c r="AS82" s="57"/>
    </row>
    <row r="83" spans="1:45">
      <c r="A83" s="58"/>
      <c r="B83" s="58" t="s">
        <v>32</v>
      </c>
      <c r="C83" s="58">
        <f t="shared" ref="C83:AP83" si="25">1.8*(C69+C72+C75+C78+C81)</f>
        <v>39.6</v>
      </c>
      <c r="D83" s="58">
        <f t="shared" si="25"/>
        <v>23.400000000000002</v>
      </c>
      <c r="E83" s="58">
        <f t="shared" si="25"/>
        <v>54</v>
      </c>
      <c r="F83" s="58">
        <f t="shared" si="25"/>
        <v>54</v>
      </c>
      <c r="G83" s="58">
        <f t="shared" si="25"/>
        <v>54</v>
      </c>
      <c r="H83" s="58">
        <f t="shared" si="25"/>
        <v>39.6</v>
      </c>
      <c r="I83" s="58">
        <f t="shared" si="25"/>
        <v>45</v>
      </c>
      <c r="J83" s="58">
        <f t="shared" si="25"/>
        <v>54</v>
      </c>
      <c r="K83" s="58">
        <f t="shared" si="25"/>
        <v>54</v>
      </c>
      <c r="L83" s="58">
        <f t="shared" si="25"/>
        <v>39.6</v>
      </c>
      <c r="M83" s="58">
        <f t="shared" si="25"/>
        <v>27</v>
      </c>
      <c r="N83" s="58">
        <f t="shared" si="25"/>
        <v>21.6</v>
      </c>
      <c r="O83" s="58">
        <f t="shared" si="25"/>
        <v>50.4</v>
      </c>
      <c r="P83" s="58">
        <f t="shared" si="25"/>
        <v>54</v>
      </c>
      <c r="Q83" s="58">
        <f t="shared" si="25"/>
        <v>45</v>
      </c>
      <c r="R83" s="58">
        <f t="shared" si="25"/>
        <v>54</v>
      </c>
      <c r="S83" s="58">
        <f t="shared" si="25"/>
        <v>52.2</v>
      </c>
      <c r="T83" s="58">
        <f t="shared" si="25"/>
        <v>28.8</v>
      </c>
      <c r="U83" s="58">
        <f t="shared" si="25"/>
        <v>52.2</v>
      </c>
      <c r="V83" s="58">
        <f t="shared" si="25"/>
        <v>21.6</v>
      </c>
      <c r="W83" s="58">
        <f t="shared" si="25"/>
        <v>30.6</v>
      </c>
      <c r="X83" s="58">
        <f t="shared" si="25"/>
        <v>54</v>
      </c>
      <c r="Y83" s="58">
        <f t="shared" si="25"/>
        <v>50.4</v>
      </c>
      <c r="Z83" s="58">
        <f t="shared" si="25"/>
        <v>50.4</v>
      </c>
      <c r="AA83" s="58">
        <f t="shared" si="25"/>
        <v>54</v>
      </c>
      <c r="AB83" s="58">
        <f t="shared" si="25"/>
        <v>50.4</v>
      </c>
      <c r="AC83" s="58">
        <f t="shared" si="25"/>
        <v>46.800000000000004</v>
      </c>
      <c r="AD83" s="58">
        <f t="shared" si="25"/>
        <v>54</v>
      </c>
      <c r="AE83" s="58">
        <f t="shared" si="25"/>
        <v>48.6</v>
      </c>
      <c r="AF83" s="58">
        <f t="shared" si="25"/>
        <v>39.6</v>
      </c>
      <c r="AG83" s="58">
        <f t="shared" si="25"/>
        <v>54</v>
      </c>
      <c r="AH83" s="58">
        <f t="shared" si="25"/>
        <v>54</v>
      </c>
      <c r="AI83" s="58">
        <f t="shared" si="25"/>
        <v>54</v>
      </c>
      <c r="AJ83" s="58">
        <f t="shared" si="25"/>
        <v>54</v>
      </c>
      <c r="AK83" s="58">
        <f t="shared" si="25"/>
        <v>48.6</v>
      </c>
      <c r="AL83" s="58">
        <f t="shared" si="25"/>
        <v>54</v>
      </c>
      <c r="AM83" s="58">
        <f t="shared" si="25"/>
        <v>48.6</v>
      </c>
      <c r="AN83" s="58">
        <f t="shared" si="25"/>
        <v>52.2</v>
      </c>
      <c r="AO83" s="58">
        <f t="shared" si="25"/>
        <v>48.6</v>
      </c>
      <c r="AP83" s="96">
        <f t="shared" si="25"/>
        <v>54</v>
      </c>
      <c r="AQ83" s="97">
        <f t="shared" ref="AQ83:AQ88" si="26">AVERAGE(C83:AP83)</f>
        <v>46.61999999999999</v>
      </c>
      <c r="AR83" s="61">
        <f t="shared" ref="AR83:AR84" si="27">AR69+AR72+AR75+AR78+AR81</f>
        <v>46.620000000000005</v>
      </c>
      <c r="AS83" s="57"/>
    </row>
    <row r="84" spans="1:45">
      <c r="A84" s="57"/>
      <c r="B84" s="57" t="s">
        <v>33</v>
      </c>
      <c r="C84" s="57">
        <f t="shared" ref="C84:AP84" si="28">1.8*(C70+C73+C76+C79+C82)</f>
        <v>10.8</v>
      </c>
      <c r="D84" s="57">
        <f t="shared" si="28"/>
        <v>28.8</v>
      </c>
      <c r="E84" s="57">
        <f t="shared" si="28"/>
        <v>27</v>
      </c>
      <c r="F84" s="57">
        <f t="shared" si="28"/>
        <v>25.2</v>
      </c>
      <c r="G84" s="57">
        <f t="shared" si="28"/>
        <v>10.8</v>
      </c>
      <c r="H84" s="57">
        <f t="shared" si="28"/>
        <v>39.6</v>
      </c>
      <c r="I84" s="57">
        <f t="shared" si="28"/>
        <v>50.4</v>
      </c>
      <c r="J84" s="57">
        <f t="shared" si="28"/>
        <v>32.4</v>
      </c>
      <c r="K84" s="57">
        <f t="shared" si="28"/>
        <v>43.2</v>
      </c>
      <c r="L84" s="57">
        <f t="shared" si="28"/>
        <v>28.8</v>
      </c>
      <c r="M84" s="57">
        <f t="shared" si="28"/>
        <v>54</v>
      </c>
      <c r="N84" s="57">
        <f t="shared" si="28"/>
        <v>21.6</v>
      </c>
      <c r="O84" s="57">
        <f t="shared" si="28"/>
        <v>18</v>
      </c>
      <c r="P84" s="57">
        <f t="shared" si="28"/>
        <v>19.8</v>
      </c>
      <c r="Q84" s="57">
        <f t="shared" si="28"/>
        <v>54</v>
      </c>
      <c r="R84" s="57">
        <f t="shared" si="28"/>
        <v>46.800000000000004</v>
      </c>
      <c r="S84" s="57">
        <f t="shared" si="28"/>
        <v>50.4</v>
      </c>
      <c r="T84" s="57">
        <f t="shared" si="28"/>
        <v>43.2</v>
      </c>
      <c r="U84" s="57">
        <f t="shared" si="28"/>
        <v>27</v>
      </c>
      <c r="V84" s="57">
        <f t="shared" si="28"/>
        <v>28.8</v>
      </c>
      <c r="W84" s="57">
        <f t="shared" si="28"/>
        <v>54</v>
      </c>
      <c r="X84" s="57">
        <f t="shared" si="28"/>
        <v>46.800000000000004</v>
      </c>
      <c r="Y84" s="57">
        <f t="shared" si="28"/>
        <v>48.6</v>
      </c>
      <c r="Z84" s="57">
        <f t="shared" si="28"/>
        <v>46.800000000000004</v>
      </c>
      <c r="AA84" s="57">
        <f t="shared" si="28"/>
        <v>43.2</v>
      </c>
      <c r="AB84" s="57">
        <f t="shared" si="28"/>
        <v>43.2</v>
      </c>
      <c r="AC84" s="57">
        <f t="shared" si="28"/>
        <v>46.800000000000004</v>
      </c>
      <c r="AD84" s="57">
        <f t="shared" si="28"/>
        <v>37.800000000000004</v>
      </c>
      <c r="AE84" s="57">
        <f t="shared" si="28"/>
        <v>50.4</v>
      </c>
      <c r="AF84" s="121">
        <f t="shared" si="28"/>
        <v>39.6</v>
      </c>
      <c r="AG84" s="57">
        <f t="shared" si="28"/>
        <v>45</v>
      </c>
      <c r="AH84" s="57">
        <f t="shared" si="28"/>
        <v>27</v>
      </c>
      <c r="AI84" s="57">
        <f t="shared" si="28"/>
        <v>21.6</v>
      </c>
      <c r="AJ84" s="57">
        <f t="shared" si="28"/>
        <v>52.2</v>
      </c>
      <c r="AK84" s="57">
        <f t="shared" si="28"/>
        <v>50.4</v>
      </c>
      <c r="AL84" s="57">
        <f t="shared" si="28"/>
        <v>32.4</v>
      </c>
      <c r="AM84" s="57">
        <f t="shared" si="28"/>
        <v>46.800000000000004</v>
      </c>
      <c r="AN84" s="57">
        <f t="shared" si="28"/>
        <v>50.4</v>
      </c>
      <c r="AO84" s="57">
        <f t="shared" si="28"/>
        <v>50.4</v>
      </c>
      <c r="AP84" s="95">
        <f t="shared" si="28"/>
        <v>50.4</v>
      </c>
      <c r="AQ84" s="98">
        <f t="shared" si="26"/>
        <v>38.610000000000007</v>
      </c>
      <c r="AR84" s="62">
        <f t="shared" si="27"/>
        <v>38.61</v>
      </c>
      <c r="AS84" s="57"/>
    </row>
    <row r="85" spans="1:45">
      <c r="A85" s="63"/>
      <c r="B85" s="63" t="s">
        <v>34</v>
      </c>
      <c r="C85" s="63">
        <f t="shared" ref="C85:AP85" si="29">C83-C84</f>
        <v>28.8</v>
      </c>
      <c r="D85" s="63">
        <f t="shared" si="29"/>
        <v>-5.3999999999999986</v>
      </c>
      <c r="E85" s="63">
        <f t="shared" si="29"/>
        <v>27</v>
      </c>
      <c r="F85" s="63">
        <f t="shared" si="29"/>
        <v>28.8</v>
      </c>
      <c r="G85" s="63">
        <f t="shared" si="29"/>
        <v>43.2</v>
      </c>
      <c r="H85" s="63">
        <f t="shared" si="29"/>
        <v>0</v>
      </c>
      <c r="I85" s="63">
        <f t="shared" si="29"/>
        <v>-5.3999999999999986</v>
      </c>
      <c r="J85" s="63">
        <f t="shared" si="29"/>
        <v>21.6</v>
      </c>
      <c r="K85" s="63">
        <f t="shared" si="29"/>
        <v>10.799999999999997</v>
      </c>
      <c r="L85" s="63">
        <f t="shared" si="29"/>
        <v>10.8</v>
      </c>
      <c r="M85" s="63">
        <f t="shared" si="29"/>
        <v>-27</v>
      </c>
      <c r="N85" s="63">
        <f t="shared" si="29"/>
        <v>0</v>
      </c>
      <c r="O85" s="63">
        <f t="shared" si="29"/>
        <v>32.4</v>
      </c>
      <c r="P85" s="63">
        <f t="shared" si="29"/>
        <v>34.200000000000003</v>
      </c>
      <c r="Q85" s="63">
        <f t="shared" si="29"/>
        <v>-9</v>
      </c>
      <c r="R85" s="63">
        <f t="shared" si="29"/>
        <v>7.1999999999999957</v>
      </c>
      <c r="S85" s="63">
        <f t="shared" si="29"/>
        <v>1.8000000000000043</v>
      </c>
      <c r="T85" s="63">
        <f t="shared" si="29"/>
        <v>-14.400000000000002</v>
      </c>
      <c r="U85" s="63">
        <f t="shared" si="29"/>
        <v>25.200000000000003</v>
      </c>
      <c r="V85" s="63">
        <f t="shared" si="29"/>
        <v>-7.1999999999999993</v>
      </c>
      <c r="W85" s="63">
        <f t="shared" si="29"/>
        <v>-23.4</v>
      </c>
      <c r="X85" s="63">
        <f t="shared" si="29"/>
        <v>7.1999999999999957</v>
      </c>
      <c r="Y85" s="63">
        <f t="shared" si="29"/>
        <v>1.7999999999999972</v>
      </c>
      <c r="Z85" s="63">
        <f t="shared" si="29"/>
        <v>3.5999999999999943</v>
      </c>
      <c r="AA85" s="63">
        <f t="shared" si="29"/>
        <v>10.799999999999997</v>
      </c>
      <c r="AB85" s="63">
        <f t="shared" si="29"/>
        <v>7.1999999999999957</v>
      </c>
      <c r="AC85" s="63">
        <f t="shared" si="29"/>
        <v>0</v>
      </c>
      <c r="AD85" s="63">
        <f t="shared" si="29"/>
        <v>16.199999999999996</v>
      </c>
      <c r="AE85" s="63">
        <f t="shared" si="29"/>
        <v>-1.7999999999999972</v>
      </c>
      <c r="AF85" s="63">
        <f t="shared" si="29"/>
        <v>0</v>
      </c>
      <c r="AG85" s="63">
        <f t="shared" si="29"/>
        <v>9</v>
      </c>
      <c r="AH85" s="63">
        <f t="shared" si="29"/>
        <v>27</v>
      </c>
      <c r="AI85" s="63">
        <f t="shared" si="29"/>
        <v>32.4</v>
      </c>
      <c r="AJ85" s="63">
        <f t="shared" si="29"/>
        <v>1.7999999999999972</v>
      </c>
      <c r="AK85" s="63">
        <f t="shared" si="29"/>
        <v>-1.7999999999999972</v>
      </c>
      <c r="AL85" s="63">
        <f t="shared" si="29"/>
        <v>21.6</v>
      </c>
      <c r="AM85" s="63">
        <f t="shared" si="29"/>
        <v>1.7999999999999972</v>
      </c>
      <c r="AN85" s="63">
        <f t="shared" si="29"/>
        <v>1.8000000000000043</v>
      </c>
      <c r="AO85" s="63">
        <f t="shared" si="29"/>
        <v>-1.7999999999999972</v>
      </c>
      <c r="AP85" s="99">
        <f t="shared" si="29"/>
        <v>3.6000000000000014</v>
      </c>
      <c r="AQ85" s="100">
        <f t="shared" si="26"/>
        <v>8.01</v>
      </c>
      <c r="AR85" s="66">
        <f>AR83-AR84</f>
        <v>8.0100000000000051</v>
      </c>
      <c r="AS85" s="57"/>
    </row>
    <row r="86" spans="1:45">
      <c r="A86" s="2"/>
      <c r="B86" s="78" t="s">
        <v>65</v>
      </c>
      <c r="C86" s="68">
        <f t="shared" ref="C86:AP86" si="30">C28+C48+C64+C83</f>
        <v>133.96</v>
      </c>
      <c r="D86" s="68">
        <f t="shared" si="30"/>
        <v>115.79000000000002</v>
      </c>
      <c r="E86" s="68">
        <f t="shared" si="30"/>
        <v>155.02000000000001</v>
      </c>
      <c r="F86" s="68">
        <f t="shared" si="30"/>
        <v>155.02000000000001</v>
      </c>
      <c r="G86" s="68">
        <f t="shared" si="30"/>
        <v>155.02000000000001</v>
      </c>
      <c r="H86" s="68">
        <f t="shared" si="30"/>
        <v>110.4</v>
      </c>
      <c r="I86" s="68">
        <f t="shared" si="30"/>
        <v>149.65</v>
      </c>
      <c r="J86" s="68">
        <f t="shared" si="30"/>
        <v>186.67000000000002</v>
      </c>
      <c r="K86" s="68">
        <f t="shared" si="30"/>
        <v>157.60000000000002</v>
      </c>
      <c r="L86" s="68">
        <f t="shared" si="30"/>
        <v>138.10999999999999</v>
      </c>
      <c r="M86" s="68">
        <f t="shared" si="30"/>
        <v>73.39</v>
      </c>
      <c r="N86" s="68">
        <f t="shared" si="30"/>
        <v>146.85000000000002</v>
      </c>
      <c r="O86" s="68">
        <f t="shared" si="30"/>
        <v>144.97</v>
      </c>
      <c r="P86" s="68">
        <f t="shared" si="30"/>
        <v>181.7</v>
      </c>
      <c r="Q86" s="68">
        <f t="shared" si="30"/>
        <v>168.41399999999999</v>
      </c>
      <c r="R86" s="68">
        <f t="shared" si="30"/>
        <v>189.58</v>
      </c>
      <c r="S86" s="68">
        <f t="shared" si="30"/>
        <v>176.04000000000002</v>
      </c>
      <c r="T86" s="68">
        <f t="shared" si="30"/>
        <v>138.87800000000001</v>
      </c>
      <c r="U86" s="68">
        <f t="shared" si="30"/>
        <v>186.89</v>
      </c>
      <c r="V86" s="68">
        <f t="shared" si="30"/>
        <v>105.47</v>
      </c>
      <c r="W86" s="68">
        <f t="shared" si="30"/>
        <v>101.30600000000001</v>
      </c>
      <c r="X86" s="68">
        <f t="shared" si="30"/>
        <v>185.57</v>
      </c>
      <c r="Y86" s="68">
        <f t="shared" si="30"/>
        <v>163.21</v>
      </c>
      <c r="Z86" s="68">
        <f t="shared" si="30"/>
        <v>167.24600000000001</v>
      </c>
      <c r="AA86" s="68">
        <f t="shared" si="30"/>
        <v>185.97000000000003</v>
      </c>
      <c r="AB86" s="68">
        <f t="shared" si="30"/>
        <v>178.79000000000002</v>
      </c>
      <c r="AC86" s="68">
        <f t="shared" si="30"/>
        <v>162.00000000000003</v>
      </c>
      <c r="AD86" s="68">
        <f t="shared" si="30"/>
        <v>184.928</v>
      </c>
      <c r="AE86" s="68">
        <f t="shared" si="30"/>
        <v>144.21</v>
      </c>
      <c r="AF86" s="122">
        <f t="shared" si="30"/>
        <v>145.95400000000001</v>
      </c>
      <c r="AG86" s="68">
        <f t="shared" si="30"/>
        <v>186.79000000000002</v>
      </c>
      <c r="AH86" s="68">
        <f t="shared" si="30"/>
        <v>191.95</v>
      </c>
      <c r="AI86" s="68">
        <f t="shared" si="30"/>
        <v>189.76999999999998</v>
      </c>
      <c r="AJ86" s="68">
        <f t="shared" si="30"/>
        <v>178.71699999999998</v>
      </c>
      <c r="AK86" s="68">
        <f t="shared" si="30"/>
        <v>167.27</v>
      </c>
      <c r="AL86" s="68">
        <f t="shared" si="30"/>
        <v>191.27</v>
      </c>
      <c r="AM86" s="68">
        <f t="shared" si="30"/>
        <v>173.01499999999999</v>
      </c>
      <c r="AN86" s="68">
        <f t="shared" si="30"/>
        <v>170.87</v>
      </c>
      <c r="AO86" s="68">
        <f t="shared" si="30"/>
        <v>167.04</v>
      </c>
      <c r="AP86" s="101">
        <f t="shared" si="30"/>
        <v>162.19</v>
      </c>
      <c r="AQ86" s="68">
        <f t="shared" si="26"/>
        <v>159.18720000000002</v>
      </c>
      <c r="AR86" s="102">
        <f t="shared" ref="AR86:AR88" si="31">AR28+AR48+AR64+AR83</f>
        <v>159.18720000000002</v>
      </c>
    </row>
    <row r="87" spans="1:45">
      <c r="A87" s="2"/>
      <c r="B87" s="78" t="s">
        <v>66</v>
      </c>
      <c r="C87" s="68">
        <f t="shared" ref="C87:AP87" si="32">C29+C49+C65+C84</f>
        <v>56.94</v>
      </c>
      <c r="D87" s="68">
        <f t="shared" si="32"/>
        <v>83.11</v>
      </c>
      <c r="E87" s="68">
        <f t="shared" si="32"/>
        <v>56.96</v>
      </c>
      <c r="F87" s="68">
        <f t="shared" si="32"/>
        <v>59.7</v>
      </c>
      <c r="G87" s="68">
        <f t="shared" si="32"/>
        <v>49.84</v>
      </c>
      <c r="H87" s="68">
        <f t="shared" si="32"/>
        <v>115.84</v>
      </c>
      <c r="I87" s="68">
        <f t="shared" si="32"/>
        <v>114.37</v>
      </c>
      <c r="J87" s="68">
        <f t="shared" si="32"/>
        <v>109.45000000000002</v>
      </c>
      <c r="K87" s="68">
        <f t="shared" si="32"/>
        <v>91.18</v>
      </c>
      <c r="L87" s="68">
        <f t="shared" si="32"/>
        <v>121.86999999999999</v>
      </c>
      <c r="M87" s="68">
        <f t="shared" si="32"/>
        <v>181.11</v>
      </c>
      <c r="N87" s="68">
        <f t="shared" si="32"/>
        <v>87.57</v>
      </c>
      <c r="O87" s="68">
        <f t="shared" si="32"/>
        <v>129.66</v>
      </c>
      <c r="P87" s="68">
        <f t="shared" si="32"/>
        <v>90.47</v>
      </c>
      <c r="Q87" s="68">
        <f t="shared" si="32"/>
        <v>129.126</v>
      </c>
      <c r="R87" s="68">
        <f t="shared" si="32"/>
        <v>129.48000000000002</v>
      </c>
      <c r="S87" s="68">
        <f t="shared" si="32"/>
        <v>134.18</v>
      </c>
      <c r="T87" s="68">
        <f t="shared" si="32"/>
        <v>138.71199999999999</v>
      </c>
      <c r="U87" s="68">
        <f t="shared" si="32"/>
        <v>101.49</v>
      </c>
      <c r="V87" s="68">
        <f t="shared" si="32"/>
        <v>126.8</v>
      </c>
      <c r="W87" s="68">
        <f t="shared" si="32"/>
        <v>179.73400000000001</v>
      </c>
      <c r="X87" s="68">
        <f t="shared" si="32"/>
        <v>132.27000000000001</v>
      </c>
      <c r="Y87" s="68">
        <f t="shared" si="32"/>
        <v>138.46</v>
      </c>
      <c r="Z87" s="68">
        <f t="shared" si="32"/>
        <v>140.35400000000001</v>
      </c>
      <c r="AA87" s="68">
        <f t="shared" si="32"/>
        <v>127.05000000000001</v>
      </c>
      <c r="AB87" s="68">
        <f t="shared" si="32"/>
        <v>144.07999999999998</v>
      </c>
      <c r="AC87" s="68">
        <f t="shared" si="32"/>
        <v>144.37</v>
      </c>
      <c r="AD87" s="68">
        <f t="shared" si="32"/>
        <v>117.71200000000002</v>
      </c>
      <c r="AE87" s="68">
        <f t="shared" si="32"/>
        <v>162.65</v>
      </c>
      <c r="AF87" s="122">
        <f t="shared" si="32"/>
        <v>139.876</v>
      </c>
      <c r="AG87" s="68">
        <f t="shared" si="32"/>
        <v>137.79</v>
      </c>
      <c r="AH87" s="68">
        <f t="shared" si="32"/>
        <v>111.58</v>
      </c>
      <c r="AI87" s="68">
        <f t="shared" si="32"/>
        <v>105.31</v>
      </c>
      <c r="AJ87" s="68">
        <f t="shared" si="32"/>
        <v>157.94299999999998</v>
      </c>
      <c r="AK87" s="68">
        <f t="shared" si="32"/>
        <v>146.87</v>
      </c>
      <c r="AL87" s="68">
        <f t="shared" si="32"/>
        <v>108.41</v>
      </c>
      <c r="AM87" s="68">
        <f t="shared" si="32"/>
        <v>129.73500000000001</v>
      </c>
      <c r="AN87" s="68">
        <f t="shared" si="32"/>
        <v>147.62</v>
      </c>
      <c r="AO87" s="68">
        <f t="shared" si="32"/>
        <v>145.51000000000002</v>
      </c>
      <c r="AP87" s="101">
        <f t="shared" si="32"/>
        <v>143.53</v>
      </c>
      <c r="AQ87" s="68">
        <f t="shared" si="26"/>
        <v>121.71779999999998</v>
      </c>
      <c r="AR87" s="102">
        <f t="shared" si="31"/>
        <v>121.7178</v>
      </c>
    </row>
    <row r="88" spans="1:45">
      <c r="A88" s="103"/>
      <c r="B88" s="104" t="s">
        <v>67</v>
      </c>
      <c r="C88" s="105">
        <f t="shared" ref="C88:AP88" si="33">C86-C87</f>
        <v>77.02000000000001</v>
      </c>
      <c r="D88" s="105">
        <f t="shared" si="33"/>
        <v>32.680000000000021</v>
      </c>
      <c r="E88" s="105">
        <f t="shared" si="33"/>
        <v>98.06</v>
      </c>
      <c r="F88" s="105">
        <f t="shared" si="33"/>
        <v>95.320000000000007</v>
      </c>
      <c r="G88" s="105">
        <f t="shared" si="33"/>
        <v>105.18</v>
      </c>
      <c r="H88" s="105">
        <f t="shared" si="33"/>
        <v>-5.4399999999999977</v>
      </c>
      <c r="I88" s="105">
        <f t="shared" si="33"/>
        <v>35.28</v>
      </c>
      <c r="J88" s="105">
        <f t="shared" si="33"/>
        <v>77.22</v>
      </c>
      <c r="K88" s="105">
        <f t="shared" si="33"/>
        <v>66.420000000000016</v>
      </c>
      <c r="L88" s="105">
        <f t="shared" si="33"/>
        <v>16.239999999999995</v>
      </c>
      <c r="M88" s="105">
        <f t="shared" si="33"/>
        <v>-107.72000000000001</v>
      </c>
      <c r="N88" s="105">
        <f t="shared" si="33"/>
        <v>59.28000000000003</v>
      </c>
      <c r="O88" s="105">
        <f t="shared" si="33"/>
        <v>15.310000000000002</v>
      </c>
      <c r="P88" s="105">
        <f t="shared" si="33"/>
        <v>91.22999999999999</v>
      </c>
      <c r="Q88" s="105">
        <f t="shared" si="33"/>
        <v>39.287999999999982</v>
      </c>
      <c r="R88" s="105">
        <f t="shared" si="33"/>
        <v>60.099999999999994</v>
      </c>
      <c r="S88" s="105">
        <f t="shared" si="33"/>
        <v>41.860000000000014</v>
      </c>
      <c r="T88" s="105">
        <f t="shared" si="33"/>
        <v>0.16600000000002524</v>
      </c>
      <c r="U88" s="105">
        <f t="shared" si="33"/>
        <v>85.399999999999991</v>
      </c>
      <c r="V88" s="105">
        <f t="shared" si="33"/>
        <v>-21.33</v>
      </c>
      <c r="W88" s="105">
        <f t="shared" si="33"/>
        <v>-78.427999999999997</v>
      </c>
      <c r="X88" s="105">
        <f t="shared" si="33"/>
        <v>53.299999999999983</v>
      </c>
      <c r="Y88" s="105">
        <f t="shared" si="33"/>
        <v>24.75</v>
      </c>
      <c r="Z88" s="105">
        <f t="shared" si="33"/>
        <v>26.891999999999996</v>
      </c>
      <c r="AA88" s="105">
        <f t="shared" si="33"/>
        <v>58.920000000000016</v>
      </c>
      <c r="AB88" s="105">
        <f t="shared" si="33"/>
        <v>34.710000000000036</v>
      </c>
      <c r="AC88" s="105">
        <f t="shared" si="33"/>
        <v>17.630000000000024</v>
      </c>
      <c r="AD88" s="105">
        <f t="shared" si="33"/>
        <v>67.21599999999998</v>
      </c>
      <c r="AE88" s="105">
        <f t="shared" si="33"/>
        <v>-18.439999999999998</v>
      </c>
      <c r="AF88" s="105">
        <f t="shared" si="33"/>
        <v>6.078000000000003</v>
      </c>
      <c r="AG88" s="105">
        <f t="shared" si="33"/>
        <v>49.000000000000028</v>
      </c>
      <c r="AH88" s="105">
        <f t="shared" si="33"/>
        <v>80.36999999999999</v>
      </c>
      <c r="AI88" s="105">
        <f t="shared" si="33"/>
        <v>84.45999999999998</v>
      </c>
      <c r="AJ88" s="105">
        <f t="shared" si="33"/>
        <v>20.774000000000001</v>
      </c>
      <c r="AK88" s="105">
        <f t="shared" si="33"/>
        <v>20.400000000000006</v>
      </c>
      <c r="AL88" s="105">
        <f t="shared" si="33"/>
        <v>82.860000000000014</v>
      </c>
      <c r="AM88" s="105">
        <f t="shared" si="33"/>
        <v>43.279999999999973</v>
      </c>
      <c r="AN88" s="105">
        <f t="shared" si="33"/>
        <v>23.25</v>
      </c>
      <c r="AO88" s="105">
        <f t="shared" si="33"/>
        <v>21.529999999999973</v>
      </c>
      <c r="AP88" s="106">
        <f t="shared" si="33"/>
        <v>18.659999999999997</v>
      </c>
      <c r="AQ88" s="68">
        <f t="shared" si="26"/>
        <v>37.4694</v>
      </c>
      <c r="AR88" s="102">
        <f t="shared" si="31"/>
        <v>37.4694</v>
      </c>
    </row>
    <row r="89" spans="1:45">
      <c r="A89" s="2"/>
      <c r="AF89" s="122"/>
      <c r="AP89" s="123"/>
    </row>
    <row r="90" spans="1:45">
      <c r="A90" s="2"/>
      <c r="B90" s="78" t="s">
        <v>68</v>
      </c>
      <c r="C90" s="68">
        <f t="shared" ref="C90:AP90" si="34">0.61*((15-ROUND(C11,0)) + (15-ROUND(C14,0)) + C17 + C20 + C23 + C26) + 0.136*(C33+C37+C41+C45) + 2.27*(C53+C56+C59+C62) + 1.8*(C69+C72+C75+C78+C81)</f>
        <v>133.96</v>
      </c>
      <c r="D90" s="68">
        <f t="shared" si="34"/>
        <v>115.79000000000002</v>
      </c>
      <c r="E90" s="68">
        <f t="shared" si="34"/>
        <v>155.02000000000001</v>
      </c>
      <c r="F90" s="68">
        <f t="shared" si="34"/>
        <v>155.02000000000001</v>
      </c>
      <c r="G90" s="68">
        <f t="shared" si="34"/>
        <v>155.02000000000001</v>
      </c>
      <c r="H90" s="68">
        <f t="shared" si="34"/>
        <v>110.4</v>
      </c>
      <c r="I90" s="68">
        <f t="shared" si="34"/>
        <v>149.65</v>
      </c>
      <c r="J90" s="68">
        <f t="shared" si="34"/>
        <v>186.67000000000002</v>
      </c>
      <c r="K90" s="68">
        <f t="shared" si="34"/>
        <v>157.60000000000002</v>
      </c>
      <c r="L90" s="68">
        <f t="shared" si="34"/>
        <v>138.10999999999999</v>
      </c>
      <c r="M90" s="68">
        <f t="shared" si="34"/>
        <v>73.39</v>
      </c>
      <c r="N90" s="68">
        <f t="shared" si="34"/>
        <v>146.85000000000002</v>
      </c>
      <c r="O90" s="68">
        <f t="shared" si="34"/>
        <v>144.97</v>
      </c>
      <c r="P90" s="68">
        <f t="shared" si="34"/>
        <v>181.7</v>
      </c>
      <c r="Q90" s="68">
        <f t="shared" si="34"/>
        <v>168.41399999999999</v>
      </c>
      <c r="R90" s="68">
        <f t="shared" si="34"/>
        <v>189.58</v>
      </c>
      <c r="S90" s="68">
        <f t="shared" si="34"/>
        <v>176.04000000000002</v>
      </c>
      <c r="T90" s="68">
        <f t="shared" si="34"/>
        <v>138.87800000000001</v>
      </c>
      <c r="U90" s="68">
        <f t="shared" si="34"/>
        <v>186.89</v>
      </c>
      <c r="V90" s="68">
        <f t="shared" si="34"/>
        <v>105.47</v>
      </c>
      <c r="W90" s="68">
        <f t="shared" si="34"/>
        <v>101.30600000000001</v>
      </c>
      <c r="X90" s="68">
        <f t="shared" si="34"/>
        <v>185.57</v>
      </c>
      <c r="Y90" s="68">
        <f t="shared" si="34"/>
        <v>163.21</v>
      </c>
      <c r="Z90" s="68">
        <f t="shared" si="34"/>
        <v>167.24600000000001</v>
      </c>
      <c r="AA90" s="68">
        <f t="shared" si="34"/>
        <v>185.97000000000003</v>
      </c>
      <c r="AB90" s="68">
        <f t="shared" si="34"/>
        <v>178.79000000000002</v>
      </c>
      <c r="AC90" s="68">
        <f t="shared" si="34"/>
        <v>162.00000000000003</v>
      </c>
      <c r="AD90" s="68">
        <f t="shared" si="34"/>
        <v>184.928</v>
      </c>
      <c r="AE90" s="68">
        <f t="shared" si="34"/>
        <v>144.21</v>
      </c>
      <c r="AF90" s="122">
        <f t="shared" si="34"/>
        <v>145.95400000000001</v>
      </c>
      <c r="AG90" s="68">
        <f t="shared" si="34"/>
        <v>186.79000000000002</v>
      </c>
      <c r="AH90" s="68">
        <f t="shared" si="34"/>
        <v>191.95</v>
      </c>
      <c r="AI90" s="68">
        <f t="shared" si="34"/>
        <v>189.76999999999998</v>
      </c>
      <c r="AJ90" s="68">
        <f t="shared" si="34"/>
        <v>178.71699999999998</v>
      </c>
      <c r="AK90" s="68">
        <f t="shared" si="34"/>
        <v>167.27</v>
      </c>
      <c r="AL90" s="68">
        <f t="shared" si="34"/>
        <v>191.27</v>
      </c>
      <c r="AM90" s="68">
        <f t="shared" si="34"/>
        <v>173.01499999999999</v>
      </c>
      <c r="AN90" s="68">
        <f t="shared" si="34"/>
        <v>170.87</v>
      </c>
      <c r="AO90" s="68">
        <f t="shared" si="34"/>
        <v>167.04</v>
      </c>
      <c r="AP90" s="101">
        <f t="shared" si="34"/>
        <v>162.19</v>
      </c>
      <c r="AQ90" s="68">
        <f t="shared" ref="AQ90:AQ92" si="35">AVERAGE(C90:AP90)</f>
        <v>159.18720000000002</v>
      </c>
    </row>
    <row r="91" spans="1:45">
      <c r="A91" s="70"/>
      <c r="B91" s="107" t="s">
        <v>69</v>
      </c>
      <c r="C91" s="70">
        <f t="shared" ref="C91:AP91" si="36">0.61*((15-ROUND(C12,0)) + (15-ROUND(C15,0)) + C18 + C21 + C24 + C27) + 0.136*(C34+C38+C42+C46) + 2.27*(C54+C57+C60+C63) + 1.8*(C70+C73+C76+C79+C82)</f>
        <v>56.94</v>
      </c>
      <c r="D91" s="70">
        <f t="shared" si="36"/>
        <v>83.11</v>
      </c>
      <c r="E91" s="70">
        <f t="shared" si="36"/>
        <v>56.96</v>
      </c>
      <c r="F91" s="70">
        <f t="shared" si="36"/>
        <v>59.7</v>
      </c>
      <c r="G91" s="70">
        <f t="shared" si="36"/>
        <v>49.84</v>
      </c>
      <c r="H91" s="70">
        <f t="shared" si="36"/>
        <v>115.84</v>
      </c>
      <c r="I91" s="70">
        <f t="shared" si="36"/>
        <v>114.37</v>
      </c>
      <c r="J91" s="70">
        <f t="shared" si="36"/>
        <v>109.45000000000002</v>
      </c>
      <c r="K91" s="70">
        <f t="shared" si="36"/>
        <v>91.18</v>
      </c>
      <c r="L91" s="70">
        <f t="shared" si="36"/>
        <v>121.86999999999999</v>
      </c>
      <c r="M91" s="70">
        <f t="shared" si="36"/>
        <v>181.11</v>
      </c>
      <c r="N91" s="70">
        <f t="shared" si="36"/>
        <v>87.57</v>
      </c>
      <c r="O91" s="70">
        <f t="shared" si="36"/>
        <v>129.66</v>
      </c>
      <c r="P91" s="70">
        <f t="shared" si="36"/>
        <v>90.47</v>
      </c>
      <c r="Q91" s="70">
        <f t="shared" si="36"/>
        <v>129.126</v>
      </c>
      <c r="R91" s="70">
        <f t="shared" si="36"/>
        <v>129.48000000000002</v>
      </c>
      <c r="S91" s="70">
        <f t="shared" si="36"/>
        <v>134.18</v>
      </c>
      <c r="T91" s="70">
        <f t="shared" si="36"/>
        <v>138.71199999999999</v>
      </c>
      <c r="U91" s="70">
        <f t="shared" si="36"/>
        <v>101.49</v>
      </c>
      <c r="V91" s="70">
        <f t="shared" si="36"/>
        <v>126.8</v>
      </c>
      <c r="W91" s="70">
        <f t="shared" si="36"/>
        <v>179.73400000000001</v>
      </c>
      <c r="X91" s="70">
        <f t="shared" si="36"/>
        <v>132.27000000000001</v>
      </c>
      <c r="Y91" s="70">
        <f t="shared" si="36"/>
        <v>138.46</v>
      </c>
      <c r="Z91" s="70">
        <f t="shared" si="36"/>
        <v>140.35400000000001</v>
      </c>
      <c r="AA91" s="70">
        <f t="shared" si="36"/>
        <v>127.05000000000001</v>
      </c>
      <c r="AB91" s="70">
        <f t="shared" si="36"/>
        <v>144.07999999999998</v>
      </c>
      <c r="AC91" s="70">
        <f t="shared" si="36"/>
        <v>144.37</v>
      </c>
      <c r="AD91" s="70">
        <f t="shared" si="36"/>
        <v>117.71200000000002</v>
      </c>
      <c r="AE91" s="70">
        <f t="shared" si="36"/>
        <v>162.65</v>
      </c>
      <c r="AF91" s="124">
        <f t="shared" si="36"/>
        <v>139.876</v>
      </c>
      <c r="AG91" s="70">
        <f t="shared" si="36"/>
        <v>137.79</v>
      </c>
      <c r="AH91" s="70">
        <f t="shared" si="36"/>
        <v>111.58</v>
      </c>
      <c r="AI91" s="70">
        <f t="shared" si="36"/>
        <v>105.31</v>
      </c>
      <c r="AJ91" s="70">
        <f t="shared" si="36"/>
        <v>157.94299999999998</v>
      </c>
      <c r="AK91" s="70">
        <f t="shared" si="36"/>
        <v>146.87</v>
      </c>
      <c r="AL91" s="70">
        <f t="shared" si="36"/>
        <v>108.41</v>
      </c>
      <c r="AM91" s="70">
        <f t="shared" si="36"/>
        <v>129.73500000000001</v>
      </c>
      <c r="AN91" s="70">
        <f t="shared" si="36"/>
        <v>147.62</v>
      </c>
      <c r="AO91" s="70">
        <f t="shared" si="36"/>
        <v>145.51000000000002</v>
      </c>
      <c r="AP91" s="108">
        <f t="shared" si="36"/>
        <v>143.53</v>
      </c>
      <c r="AQ91" s="68">
        <f t="shared" si="35"/>
        <v>121.71779999999998</v>
      </c>
      <c r="AR91" s="70"/>
      <c r="AS91" s="70"/>
    </row>
    <row r="92" spans="1:45">
      <c r="A92" s="71"/>
      <c r="B92" s="72" t="s">
        <v>70</v>
      </c>
      <c r="C92" s="72">
        <v>77.02</v>
      </c>
      <c r="D92" s="72">
        <v>32.68</v>
      </c>
      <c r="E92" s="72">
        <v>98.06</v>
      </c>
      <c r="F92" s="72">
        <v>95.32</v>
      </c>
      <c r="G92" s="72">
        <v>105.18</v>
      </c>
      <c r="H92" s="72">
        <v>-5.44</v>
      </c>
      <c r="I92" s="72">
        <v>35.28</v>
      </c>
      <c r="J92" s="72">
        <v>77.22</v>
      </c>
      <c r="K92" s="72">
        <v>66.42</v>
      </c>
      <c r="L92" s="73">
        <f>L90-L91</f>
        <v>16.239999999999995</v>
      </c>
      <c r="M92" s="72">
        <v>-107.72</v>
      </c>
      <c r="N92" s="72">
        <v>59.28</v>
      </c>
      <c r="O92" s="72">
        <v>15.31</v>
      </c>
      <c r="P92" s="72">
        <v>91.23</v>
      </c>
      <c r="Q92" s="72">
        <v>39.287999999999997</v>
      </c>
      <c r="R92" s="72">
        <v>60.1</v>
      </c>
      <c r="S92" s="72">
        <v>41.86</v>
      </c>
      <c r="T92" s="72">
        <v>0.16600000000000001</v>
      </c>
      <c r="U92" s="72">
        <v>85.4</v>
      </c>
      <c r="V92" s="72">
        <v>-21.33</v>
      </c>
      <c r="W92" s="72">
        <v>-78.427999999999997</v>
      </c>
      <c r="X92" s="72">
        <v>53.3</v>
      </c>
      <c r="Y92" s="72">
        <v>24.75</v>
      </c>
      <c r="Z92" s="72">
        <v>26.891999999999999</v>
      </c>
      <c r="AA92" s="72">
        <v>58.92</v>
      </c>
      <c r="AB92" s="72">
        <v>34.71</v>
      </c>
      <c r="AC92" s="72">
        <v>17.63</v>
      </c>
      <c r="AD92" s="72">
        <v>67.215999999999994</v>
      </c>
      <c r="AE92" s="72">
        <v>-18.440000000000001</v>
      </c>
      <c r="AF92" s="125">
        <v>6.0780000000000003</v>
      </c>
      <c r="AG92" s="72">
        <v>49</v>
      </c>
      <c r="AH92" s="72">
        <v>80.37</v>
      </c>
      <c r="AI92" s="72">
        <v>84.46</v>
      </c>
      <c r="AJ92" s="72">
        <v>20.774000000000001</v>
      </c>
      <c r="AK92" s="72">
        <v>20.399999999999999</v>
      </c>
      <c r="AL92" s="72">
        <v>82.86</v>
      </c>
      <c r="AM92" s="72">
        <v>43.28</v>
      </c>
      <c r="AN92" s="72">
        <v>23.25</v>
      </c>
      <c r="AO92" s="72">
        <v>21.53</v>
      </c>
      <c r="AP92" s="109">
        <v>18.66</v>
      </c>
      <c r="AQ92" s="68">
        <f t="shared" si="35"/>
        <v>37.469399999999993</v>
      </c>
      <c r="AR92" s="72"/>
      <c r="AS92" s="72"/>
    </row>
    <row r="93" spans="1:45">
      <c r="A93" s="2"/>
      <c r="AP93" s="101"/>
    </row>
    <row r="94" spans="1:45">
      <c r="A94" s="2"/>
      <c r="B94" s="78" t="s">
        <v>15</v>
      </c>
      <c r="C94" s="68">
        <f>AVERAGE(C92:AP92)</f>
        <v>37.469399999999993</v>
      </c>
      <c r="AP94" s="101"/>
    </row>
    <row r="95" spans="1:45">
      <c r="A95" s="2"/>
      <c r="B95" s="78" t="s">
        <v>71</v>
      </c>
      <c r="C95" s="9">
        <f>MEDIAN(C92:AP92)</f>
        <v>37.283999999999999</v>
      </c>
      <c r="AP95" s="101"/>
    </row>
    <row r="96" spans="1:45">
      <c r="A96" s="2"/>
      <c r="B96" s="78" t="s">
        <v>72</v>
      </c>
      <c r="C96" s="68">
        <f>AVERAGE(C90:AP90)</f>
        <v>159.18720000000002</v>
      </c>
      <c r="AP96" s="101"/>
    </row>
    <row r="97" spans="1:42">
      <c r="A97" s="2"/>
      <c r="B97" s="78" t="s">
        <v>73</v>
      </c>
      <c r="C97" s="68">
        <f t="shared" ref="C96:C97" si="37">AVERAGE(C91:AP91)</f>
        <v>121.71779999999998</v>
      </c>
      <c r="AP97" s="101"/>
    </row>
    <row r="98" spans="1:42">
      <c r="A98" s="2"/>
      <c r="AP98" s="101"/>
    </row>
    <row r="99" spans="1:42">
      <c r="A99" s="2"/>
      <c r="B99" s="187"/>
      <c r="C99" s="186"/>
      <c r="AP99" s="101"/>
    </row>
    <row r="100" spans="1:42">
      <c r="A100" s="2"/>
      <c r="B100" s="188"/>
      <c r="C100" s="186"/>
      <c r="AP100" s="101"/>
    </row>
    <row r="101" spans="1:42">
      <c r="A101" s="2"/>
      <c r="B101" s="187"/>
      <c r="C101" s="186"/>
      <c r="AP101" s="101"/>
    </row>
    <row r="102" spans="1:42">
      <c r="A102" s="2"/>
      <c r="B102" s="188"/>
      <c r="C102" s="186"/>
      <c r="AP102" s="101"/>
    </row>
    <row r="103" spans="1:42">
      <c r="A103" s="2"/>
      <c r="B103" s="188"/>
      <c r="C103" s="186"/>
      <c r="AP103" s="101"/>
    </row>
    <row r="104" spans="1:42">
      <c r="A104" s="2"/>
      <c r="B104" s="185"/>
      <c r="C104" s="186"/>
      <c r="AP104" s="101"/>
    </row>
    <row r="105" spans="1:42">
      <c r="A105" s="2"/>
      <c r="B105" s="185"/>
      <c r="C105" s="185"/>
      <c r="AP105" s="101"/>
    </row>
    <row r="106" spans="1:42">
      <c r="A106" s="2"/>
      <c r="B106" s="185"/>
      <c r="C106" s="185"/>
      <c r="AP106" s="101"/>
    </row>
    <row r="107" spans="1:42">
      <c r="A107" s="2"/>
      <c r="B107" s="185"/>
      <c r="C107" s="185"/>
      <c r="AP107" s="101"/>
    </row>
    <row r="108" spans="1:42">
      <c r="A108" s="2"/>
      <c r="B108" s="185"/>
      <c r="C108" s="185"/>
      <c r="AP108" s="101"/>
    </row>
    <row r="109" spans="1:42">
      <c r="A109" s="2"/>
      <c r="AP109" s="101"/>
    </row>
    <row r="110" spans="1:42">
      <c r="A110" s="2"/>
      <c r="AP110" s="101"/>
    </row>
    <row r="111" spans="1:42">
      <c r="A111" s="2"/>
      <c r="AP111" s="101"/>
    </row>
    <row r="112" spans="1:42">
      <c r="A112" s="2"/>
      <c r="AP112" s="101"/>
    </row>
    <row r="113" spans="1:42">
      <c r="A113" s="2"/>
      <c r="AP113" s="101"/>
    </row>
    <row r="114" spans="1:42">
      <c r="A114" s="2"/>
      <c r="AP114" s="101"/>
    </row>
    <row r="115" spans="1:42">
      <c r="A115" s="2"/>
      <c r="AP115" s="101"/>
    </row>
    <row r="116" spans="1:42">
      <c r="A116" s="2"/>
      <c r="AP116" s="101"/>
    </row>
    <row r="117" spans="1:42">
      <c r="A117" s="2"/>
      <c r="AP117" s="101"/>
    </row>
    <row r="118" spans="1:42">
      <c r="A118" s="2"/>
      <c r="AP118" s="101"/>
    </row>
    <row r="119" spans="1:42">
      <c r="A119" s="2"/>
      <c r="AP119" s="101"/>
    </row>
    <row r="120" spans="1:42">
      <c r="A120" s="2"/>
      <c r="AP120" s="101"/>
    </row>
    <row r="121" spans="1:42">
      <c r="A121" s="2"/>
      <c r="AP121" s="101"/>
    </row>
    <row r="122" spans="1:42">
      <c r="A122" s="2"/>
      <c r="AP122" s="101"/>
    </row>
    <row r="123" spans="1:42">
      <c r="A123" s="2"/>
      <c r="AP123" s="101"/>
    </row>
    <row r="124" spans="1:42">
      <c r="A124" s="2"/>
      <c r="AP124" s="101"/>
    </row>
    <row r="125" spans="1:42">
      <c r="A125" s="2"/>
      <c r="AP125" s="101"/>
    </row>
    <row r="126" spans="1:42">
      <c r="A126" s="2"/>
      <c r="AP126" s="101"/>
    </row>
    <row r="127" spans="1:42">
      <c r="A127" s="2"/>
      <c r="AP127" s="101"/>
    </row>
    <row r="128" spans="1:42">
      <c r="A128" s="2"/>
      <c r="AP128" s="101"/>
    </row>
    <row r="129" spans="1:42">
      <c r="A129" s="2"/>
      <c r="AP129" s="101"/>
    </row>
    <row r="130" spans="1:42">
      <c r="A130" s="2"/>
      <c r="AP130" s="101"/>
    </row>
    <row r="131" spans="1:42">
      <c r="A131" s="2"/>
      <c r="AP131" s="101"/>
    </row>
    <row r="132" spans="1:42">
      <c r="A132" s="2"/>
      <c r="AP132" s="101"/>
    </row>
    <row r="133" spans="1:42">
      <c r="A133" s="2"/>
      <c r="AP133" s="101"/>
    </row>
    <row r="134" spans="1:42">
      <c r="A134" s="2"/>
      <c r="AP134" s="101"/>
    </row>
    <row r="135" spans="1:42">
      <c r="A135" s="2"/>
      <c r="AP135" s="101"/>
    </row>
    <row r="136" spans="1:42">
      <c r="A136" s="2"/>
      <c r="AP136" s="101"/>
    </row>
    <row r="137" spans="1:42">
      <c r="A137" s="2"/>
      <c r="AP137" s="101"/>
    </row>
    <row r="138" spans="1:42">
      <c r="A138" s="2"/>
      <c r="AP138" s="101"/>
    </row>
    <row r="139" spans="1:42">
      <c r="A139" s="2"/>
      <c r="AP139" s="101"/>
    </row>
    <row r="140" spans="1:42">
      <c r="A140" s="2"/>
      <c r="AP140" s="101"/>
    </row>
    <row r="141" spans="1:42">
      <c r="A141" s="2"/>
      <c r="AP141" s="101"/>
    </row>
    <row r="142" spans="1:42">
      <c r="A142" s="2"/>
      <c r="AP142" s="101"/>
    </row>
    <row r="143" spans="1:42">
      <c r="A143" s="2"/>
      <c r="AP143" s="101"/>
    </row>
    <row r="144" spans="1:42">
      <c r="A144" s="2"/>
      <c r="AP144" s="101"/>
    </row>
    <row r="145" spans="1:42">
      <c r="A145" s="2"/>
      <c r="AP145" s="101"/>
    </row>
    <row r="146" spans="1:42">
      <c r="A146" s="2"/>
      <c r="AP146" s="101"/>
    </row>
    <row r="147" spans="1:42">
      <c r="A147" s="2"/>
      <c r="AP147" s="101"/>
    </row>
    <row r="148" spans="1:42">
      <c r="A148" s="2"/>
      <c r="AP148" s="101"/>
    </row>
    <row r="149" spans="1:42">
      <c r="A149" s="2"/>
      <c r="AP149" s="101"/>
    </row>
    <row r="150" spans="1:42">
      <c r="A150" s="2"/>
      <c r="AP150" s="101"/>
    </row>
    <row r="151" spans="1:42">
      <c r="A151" s="2"/>
      <c r="AP151" s="101"/>
    </row>
    <row r="152" spans="1:42">
      <c r="A152" s="2"/>
      <c r="AP152" s="101"/>
    </row>
    <row r="153" spans="1:42">
      <c r="A153" s="2"/>
      <c r="AP153" s="101"/>
    </row>
    <row r="154" spans="1:42">
      <c r="A154" s="2"/>
      <c r="AP154" s="101"/>
    </row>
    <row r="155" spans="1:42">
      <c r="A155" s="2"/>
      <c r="AP155" s="101"/>
    </row>
    <row r="156" spans="1:42">
      <c r="A156" s="2"/>
      <c r="AP156" s="101"/>
    </row>
    <row r="157" spans="1:42">
      <c r="A157" s="2"/>
      <c r="AP157" s="101"/>
    </row>
    <row r="158" spans="1:42">
      <c r="A158" s="2"/>
      <c r="AP158" s="101"/>
    </row>
    <row r="159" spans="1:42">
      <c r="A159" s="2"/>
      <c r="AP159" s="101"/>
    </row>
    <row r="160" spans="1:42">
      <c r="A160" s="2"/>
      <c r="AP160" s="101"/>
    </row>
    <row r="161" spans="1:42">
      <c r="A161" s="2"/>
      <c r="AP161" s="101"/>
    </row>
    <row r="162" spans="1:42">
      <c r="A162" s="2"/>
      <c r="AP162" s="101"/>
    </row>
    <row r="163" spans="1:42">
      <c r="A163" s="2"/>
      <c r="AP163" s="101"/>
    </row>
    <row r="164" spans="1:42">
      <c r="A164" s="2"/>
      <c r="AP164" s="101"/>
    </row>
    <row r="165" spans="1:42">
      <c r="A165" s="2"/>
      <c r="AP165" s="101"/>
    </row>
    <row r="166" spans="1:42">
      <c r="A166" s="2"/>
      <c r="AP166" s="101"/>
    </row>
    <row r="167" spans="1:42">
      <c r="A167" s="2"/>
      <c r="AP167" s="101"/>
    </row>
    <row r="168" spans="1:42">
      <c r="A168" s="2"/>
      <c r="AP168" s="101"/>
    </row>
    <row r="169" spans="1:42">
      <c r="A169" s="2"/>
      <c r="AP169" s="101"/>
    </row>
    <row r="170" spans="1:42">
      <c r="A170" s="2"/>
      <c r="AP170" s="101"/>
    </row>
    <row r="171" spans="1:42">
      <c r="A171" s="2"/>
      <c r="AP171" s="101"/>
    </row>
    <row r="172" spans="1:42">
      <c r="A172" s="2"/>
      <c r="AP172" s="101"/>
    </row>
    <row r="173" spans="1:42">
      <c r="A173" s="2"/>
      <c r="AP173" s="101"/>
    </row>
    <row r="174" spans="1:42">
      <c r="A174" s="2"/>
      <c r="AP174" s="101"/>
    </row>
    <row r="175" spans="1:42">
      <c r="A175" s="2"/>
      <c r="AP175" s="101"/>
    </row>
    <row r="176" spans="1:42">
      <c r="A176" s="2"/>
      <c r="AP176" s="101"/>
    </row>
    <row r="177" spans="1:42">
      <c r="A177" s="2"/>
      <c r="AP177" s="101"/>
    </row>
    <row r="178" spans="1:42">
      <c r="A178" s="2"/>
      <c r="AP178" s="101"/>
    </row>
    <row r="179" spans="1:42">
      <c r="A179" s="2"/>
      <c r="AP179" s="101"/>
    </row>
    <row r="180" spans="1:42">
      <c r="A180" s="2"/>
      <c r="AP180" s="101"/>
    </row>
    <row r="181" spans="1:42">
      <c r="A181" s="2"/>
      <c r="AP181" s="101"/>
    </row>
    <row r="182" spans="1:42">
      <c r="A182" s="2"/>
      <c r="AP182" s="101"/>
    </row>
    <row r="183" spans="1:42">
      <c r="A183" s="2"/>
      <c r="AP183" s="101"/>
    </row>
    <row r="184" spans="1:42">
      <c r="A184" s="2"/>
      <c r="AP184" s="101"/>
    </row>
    <row r="185" spans="1:42">
      <c r="A185" s="2"/>
      <c r="AP185" s="101"/>
    </row>
    <row r="186" spans="1:42">
      <c r="A186" s="2"/>
      <c r="AP186" s="101"/>
    </row>
    <row r="187" spans="1:42">
      <c r="A187" s="2"/>
      <c r="AP187" s="101"/>
    </row>
    <row r="188" spans="1:42">
      <c r="A188" s="2"/>
      <c r="AP188" s="101"/>
    </row>
    <row r="189" spans="1:42">
      <c r="A189" s="2"/>
      <c r="AP189" s="101"/>
    </row>
    <row r="190" spans="1:42">
      <c r="A190" s="2"/>
      <c r="AP190" s="101"/>
    </row>
    <row r="191" spans="1:42">
      <c r="A191" s="2"/>
      <c r="AP191" s="101"/>
    </row>
    <row r="192" spans="1:42">
      <c r="A192" s="2"/>
      <c r="AP192" s="101"/>
    </row>
    <row r="193" spans="1:42">
      <c r="A193" s="2"/>
      <c r="AP193" s="101"/>
    </row>
    <row r="194" spans="1:42">
      <c r="A194" s="2"/>
      <c r="AP194" s="101"/>
    </row>
    <row r="195" spans="1:42">
      <c r="A195" s="2"/>
      <c r="AP195" s="101"/>
    </row>
    <row r="196" spans="1:42">
      <c r="A196" s="2"/>
      <c r="AP196" s="101"/>
    </row>
    <row r="197" spans="1:42">
      <c r="A197" s="2"/>
      <c r="AP197" s="101"/>
    </row>
    <row r="198" spans="1:42">
      <c r="A198" s="2"/>
      <c r="AP198" s="101"/>
    </row>
    <row r="199" spans="1:42">
      <c r="A199" s="2"/>
      <c r="AP199" s="101"/>
    </row>
    <row r="200" spans="1:42">
      <c r="A200" s="2"/>
      <c r="AP200" s="101"/>
    </row>
    <row r="201" spans="1:42">
      <c r="A201" s="2"/>
      <c r="AP201" s="101"/>
    </row>
    <row r="202" spans="1:42">
      <c r="A202" s="2"/>
      <c r="AP202" s="101"/>
    </row>
    <row r="203" spans="1:42">
      <c r="A203" s="2"/>
      <c r="AP203" s="101"/>
    </row>
    <row r="204" spans="1:42">
      <c r="A204" s="2"/>
      <c r="AP204" s="101"/>
    </row>
    <row r="205" spans="1:42">
      <c r="A205" s="2"/>
      <c r="AP205" s="101"/>
    </row>
    <row r="206" spans="1:42">
      <c r="A206" s="2"/>
      <c r="AP206" s="101"/>
    </row>
    <row r="207" spans="1:42">
      <c r="A207" s="2"/>
      <c r="AP207" s="101"/>
    </row>
    <row r="208" spans="1:42">
      <c r="A208" s="2"/>
      <c r="AP208" s="101"/>
    </row>
    <row r="209" spans="1:42">
      <c r="A209" s="2"/>
      <c r="AP209" s="101"/>
    </row>
    <row r="210" spans="1:42">
      <c r="A210" s="2"/>
      <c r="AP210" s="101"/>
    </row>
    <row r="211" spans="1:42">
      <c r="A211" s="2"/>
      <c r="AP211" s="101"/>
    </row>
    <row r="212" spans="1:42">
      <c r="A212" s="2"/>
      <c r="AP212" s="101"/>
    </row>
    <row r="213" spans="1:42">
      <c r="A213" s="2"/>
      <c r="AP213" s="101"/>
    </row>
    <row r="214" spans="1:42">
      <c r="A214" s="2"/>
      <c r="AP214" s="101"/>
    </row>
    <row r="215" spans="1:42">
      <c r="A215" s="2"/>
      <c r="AP215" s="101"/>
    </row>
    <row r="216" spans="1:42">
      <c r="A216" s="2"/>
      <c r="AP216" s="101"/>
    </row>
    <row r="217" spans="1:42">
      <c r="A217" s="2"/>
      <c r="AP217" s="101"/>
    </row>
    <row r="218" spans="1:42">
      <c r="A218" s="2"/>
      <c r="AP218" s="101"/>
    </row>
    <row r="219" spans="1:42">
      <c r="A219" s="2"/>
      <c r="AP219" s="101"/>
    </row>
    <row r="220" spans="1:42">
      <c r="A220" s="2"/>
      <c r="AP220" s="101"/>
    </row>
    <row r="221" spans="1:42">
      <c r="A221" s="2"/>
      <c r="AP221" s="101"/>
    </row>
    <row r="222" spans="1:42">
      <c r="A222" s="2"/>
      <c r="AP222" s="101"/>
    </row>
    <row r="223" spans="1:42">
      <c r="A223" s="2"/>
      <c r="AP223" s="101"/>
    </row>
    <row r="224" spans="1:42">
      <c r="A224" s="2"/>
      <c r="AP224" s="101"/>
    </row>
    <row r="225" spans="1:42">
      <c r="A225" s="2"/>
      <c r="AP225" s="101"/>
    </row>
    <row r="226" spans="1:42">
      <c r="A226" s="2"/>
      <c r="AP226" s="101"/>
    </row>
    <row r="227" spans="1:42">
      <c r="A227" s="2"/>
      <c r="AP227" s="101"/>
    </row>
    <row r="228" spans="1:42">
      <c r="A228" s="2"/>
      <c r="AP228" s="101"/>
    </row>
    <row r="229" spans="1:42">
      <c r="A229" s="2"/>
      <c r="AP229" s="101"/>
    </row>
    <row r="230" spans="1:42">
      <c r="A230" s="2"/>
      <c r="AP230" s="101"/>
    </row>
    <row r="231" spans="1:42">
      <c r="A231" s="2"/>
      <c r="AP231" s="101"/>
    </row>
    <row r="232" spans="1:42">
      <c r="A232" s="2"/>
      <c r="AP232" s="101"/>
    </row>
    <row r="233" spans="1:42">
      <c r="A233" s="2"/>
      <c r="AP233" s="101"/>
    </row>
    <row r="234" spans="1:42">
      <c r="A234" s="2"/>
      <c r="AP234" s="101"/>
    </row>
    <row r="235" spans="1:42">
      <c r="A235" s="2"/>
      <c r="AP235" s="101"/>
    </row>
    <row r="236" spans="1:42">
      <c r="A236" s="2"/>
      <c r="AP236" s="101"/>
    </row>
    <row r="237" spans="1:42">
      <c r="A237" s="2"/>
      <c r="AP237" s="101"/>
    </row>
    <row r="238" spans="1:42">
      <c r="A238" s="2"/>
      <c r="AP238" s="101"/>
    </row>
    <row r="239" spans="1:42">
      <c r="A239" s="2"/>
      <c r="AP239" s="101"/>
    </row>
    <row r="240" spans="1:42">
      <c r="A240" s="2"/>
      <c r="AP240" s="101"/>
    </row>
    <row r="241" spans="1:42">
      <c r="A241" s="2"/>
      <c r="AP241" s="101"/>
    </row>
    <row r="242" spans="1:42">
      <c r="A242" s="2"/>
      <c r="AP242" s="101"/>
    </row>
    <row r="243" spans="1:42">
      <c r="A243" s="2"/>
      <c r="AP243" s="101"/>
    </row>
    <row r="244" spans="1:42">
      <c r="A244" s="2"/>
      <c r="AP244" s="101"/>
    </row>
    <row r="245" spans="1:42">
      <c r="A245" s="2"/>
      <c r="AP245" s="101"/>
    </row>
    <row r="246" spans="1:42">
      <c r="A246" s="2"/>
      <c r="AP246" s="101"/>
    </row>
    <row r="247" spans="1:42">
      <c r="A247" s="2"/>
      <c r="AP247" s="101"/>
    </row>
    <row r="248" spans="1:42">
      <c r="A248" s="2"/>
      <c r="AP248" s="101"/>
    </row>
    <row r="249" spans="1:42">
      <c r="A249" s="2"/>
      <c r="AP249" s="101"/>
    </row>
    <row r="250" spans="1:42">
      <c r="A250" s="2"/>
      <c r="AP250" s="101"/>
    </row>
    <row r="251" spans="1:42">
      <c r="A251" s="2"/>
      <c r="AP251" s="101"/>
    </row>
    <row r="252" spans="1:42">
      <c r="A252" s="2"/>
      <c r="AP252" s="101"/>
    </row>
    <row r="253" spans="1:42">
      <c r="A253" s="2"/>
      <c r="AP253" s="101"/>
    </row>
    <row r="254" spans="1:42">
      <c r="A254" s="2"/>
      <c r="AP254" s="101"/>
    </row>
    <row r="255" spans="1:42">
      <c r="A255" s="2"/>
      <c r="AP255" s="101"/>
    </row>
    <row r="256" spans="1:42">
      <c r="A256" s="2"/>
      <c r="AP256" s="101"/>
    </row>
    <row r="257" spans="1:42">
      <c r="A257" s="2"/>
      <c r="AP257" s="101"/>
    </row>
    <row r="258" spans="1:42">
      <c r="A258" s="2"/>
      <c r="AP258" s="101"/>
    </row>
    <row r="259" spans="1:42">
      <c r="A259" s="2"/>
      <c r="AP259" s="101"/>
    </row>
    <row r="260" spans="1:42">
      <c r="A260" s="2"/>
      <c r="AP260" s="101"/>
    </row>
    <row r="261" spans="1:42">
      <c r="A261" s="2"/>
      <c r="AP261" s="101"/>
    </row>
    <row r="262" spans="1:42">
      <c r="A262" s="2"/>
      <c r="AP262" s="101"/>
    </row>
    <row r="263" spans="1:42">
      <c r="A263" s="2"/>
      <c r="AP263" s="101"/>
    </row>
    <row r="264" spans="1:42">
      <c r="A264" s="2"/>
      <c r="AP264" s="101"/>
    </row>
    <row r="265" spans="1:42">
      <c r="A265" s="2"/>
      <c r="AP265" s="101"/>
    </row>
    <row r="266" spans="1:42">
      <c r="A266" s="2"/>
      <c r="AP266" s="101"/>
    </row>
    <row r="267" spans="1:42">
      <c r="A267" s="2"/>
      <c r="AP267" s="101"/>
    </row>
    <row r="268" spans="1:42">
      <c r="A268" s="2"/>
      <c r="AP268" s="101"/>
    </row>
    <row r="269" spans="1:42">
      <c r="A269" s="2"/>
      <c r="AP269" s="101"/>
    </row>
    <row r="270" spans="1:42">
      <c r="A270" s="2"/>
      <c r="AP270" s="101"/>
    </row>
    <row r="271" spans="1:42">
      <c r="A271" s="2"/>
      <c r="AP271" s="101"/>
    </row>
    <row r="272" spans="1:42">
      <c r="A272" s="2"/>
      <c r="AP272" s="101"/>
    </row>
    <row r="273" spans="1:42">
      <c r="A273" s="2"/>
      <c r="AP273" s="101"/>
    </row>
    <row r="274" spans="1:42">
      <c r="A274" s="2"/>
      <c r="AP274" s="101"/>
    </row>
    <row r="275" spans="1:42">
      <c r="A275" s="2"/>
      <c r="AP275" s="101"/>
    </row>
    <row r="276" spans="1:42">
      <c r="A276" s="2"/>
      <c r="AP276" s="101"/>
    </row>
    <row r="277" spans="1:42">
      <c r="A277" s="2"/>
      <c r="AP277" s="101"/>
    </row>
    <row r="278" spans="1:42">
      <c r="A278" s="2"/>
      <c r="AP278" s="101"/>
    </row>
    <row r="279" spans="1:42">
      <c r="A279" s="2"/>
      <c r="AP279" s="101"/>
    </row>
    <row r="280" spans="1:42">
      <c r="A280" s="2"/>
      <c r="AP280" s="101"/>
    </row>
    <row r="281" spans="1:42">
      <c r="A281" s="2"/>
      <c r="AP281" s="101"/>
    </row>
    <row r="282" spans="1:42">
      <c r="A282" s="2"/>
      <c r="AP282" s="101"/>
    </row>
    <row r="283" spans="1:42">
      <c r="A283" s="2"/>
      <c r="AP283" s="101"/>
    </row>
    <row r="284" spans="1:42">
      <c r="A284" s="2"/>
      <c r="AP284" s="101"/>
    </row>
    <row r="285" spans="1:42">
      <c r="A285" s="2"/>
      <c r="AP285" s="101"/>
    </row>
    <row r="286" spans="1:42">
      <c r="A286" s="2"/>
      <c r="AP286" s="101"/>
    </row>
    <row r="287" spans="1:42">
      <c r="A287" s="2"/>
      <c r="AP287" s="101"/>
    </row>
    <row r="288" spans="1:42">
      <c r="A288" s="2"/>
      <c r="AP288" s="101"/>
    </row>
    <row r="289" spans="1:42">
      <c r="A289" s="2"/>
      <c r="AP289" s="101"/>
    </row>
    <row r="290" spans="1:42">
      <c r="A290" s="2"/>
      <c r="AP290" s="101"/>
    </row>
    <row r="291" spans="1:42">
      <c r="A291" s="2"/>
      <c r="AP291" s="101"/>
    </row>
    <row r="292" spans="1:42">
      <c r="A292" s="2"/>
      <c r="AP292" s="101"/>
    </row>
    <row r="293" spans="1:42">
      <c r="A293" s="2"/>
      <c r="AP293" s="101"/>
    </row>
    <row r="294" spans="1:42">
      <c r="A294" s="2"/>
      <c r="AP294" s="101"/>
    </row>
    <row r="295" spans="1:42">
      <c r="A295" s="2"/>
      <c r="AP295" s="101"/>
    </row>
    <row r="296" spans="1:42">
      <c r="A296" s="2"/>
      <c r="AP296" s="101"/>
    </row>
    <row r="297" spans="1:42">
      <c r="A297" s="2"/>
      <c r="AP297" s="101"/>
    </row>
    <row r="298" spans="1:42">
      <c r="A298" s="2"/>
      <c r="AP298" s="101"/>
    </row>
    <row r="299" spans="1:42">
      <c r="A299" s="2"/>
      <c r="AP299" s="101"/>
    </row>
    <row r="300" spans="1:42">
      <c r="A300" s="2"/>
      <c r="AP300" s="101"/>
    </row>
    <row r="301" spans="1:42">
      <c r="A301" s="2"/>
      <c r="AP301" s="101"/>
    </row>
    <row r="302" spans="1:42">
      <c r="A302" s="2"/>
      <c r="AP302" s="101"/>
    </row>
    <row r="303" spans="1:42">
      <c r="A303" s="2"/>
      <c r="AP303" s="101"/>
    </row>
    <row r="304" spans="1:42">
      <c r="A304" s="2"/>
      <c r="AP304" s="101"/>
    </row>
    <row r="305" spans="1:42">
      <c r="A305" s="2"/>
      <c r="AP305" s="101"/>
    </row>
    <row r="306" spans="1:42">
      <c r="A306" s="2"/>
      <c r="AP306" s="101"/>
    </row>
    <row r="307" spans="1:42">
      <c r="A307" s="2"/>
      <c r="AP307" s="101"/>
    </row>
    <row r="308" spans="1:42">
      <c r="A308" s="2"/>
      <c r="AP308" s="101"/>
    </row>
    <row r="309" spans="1:42">
      <c r="A309" s="2"/>
      <c r="AP309" s="101"/>
    </row>
    <row r="310" spans="1:42">
      <c r="A310" s="2"/>
      <c r="AP310" s="101"/>
    </row>
    <row r="311" spans="1:42">
      <c r="A311" s="2"/>
      <c r="AP311" s="101"/>
    </row>
    <row r="312" spans="1:42">
      <c r="A312" s="2"/>
      <c r="AP312" s="101"/>
    </row>
    <row r="313" spans="1:42">
      <c r="A313" s="2"/>
      <c r="AP313" s="101"/>
    </row>
    <row r="314" spans="1:42">
      <c r="A314" s="2"/>
      <c r="AP314" s="101"/>
    </row>
    <row r="315" spans="1:42">
      <c r="A315" s="2"/>
      <c r="AP315" s="101"/>
    </row>
    <row r="316" spans="1:42">
      <c r="A316" s="2"/>
      <c r="AP316" s="101"/>
    </row>
    <row r="317" spans="1:42">
      <c r="A317" s="2"/>
      <c r="AP317" s="101"/>
    </row>
    <row r="318" spans="1:42">
      <c r="A318" s="2"/>
      <c r="AP318" s="101"/>
    </row>
    <row r="319" spans="1:42">
      <c r="A319" s="2"/>
      <c r="AP319" s="101"/>
    </row>
    <row r="320" spans="1:42">
      <c r="A320" s="2"/>
      <c r="AP320" s="101"/>
    </row>
    <row r="321" spans="1:42">
      <c r="A321" s="2"/>
      <c r="AP321" s="101"/>
    </row>
    <row r="322" spans="1:42">
      <c r="A322" s="2"/>
      <c r="AP322" s="101"/>
    </row>
    <row r="323" spans="1:42">
      <c r="A323" s="2"/>
      <c r="AP323" s="101"/>
    </row>
    <row r="324" spans="1:42">
      <c r="A324" s="2"/>
      <c r="AP324" s="101"/>
    </row>
    <row r="325" spans="1:42">
      <c r="A325" s="2"/>
      <c r="AP325" s="101"/>
    </row>
    <row r="326" spans="1:42">
      <c r="A326" s="2"/>
      <c r="AP326" s="101"/>
    </row>
    <row r="327" spans="1:42">
      <c r="A327" s="2"/>
      <c r="AP327" s="101"/>
    </row>
    <row r="328" spans="1:42">
      <c r="A328" s="2"/>
      <c r="AP328" s="101"/>
    </row>
    <row r="329" spans="1:42">
      <c r="A329" s="2"/>
      <c r="AP329" s="101"/>
    </row>
    <row r="330" spans="1:42">
      <c r="A330" s="2"/>
      <c r="AP330" s="101"/>
    </row>
    <row r="331" spans="1:42">
      <c r="A331" s="2"/>
      <c r="AP331" s="101"/>
    </row>
    <row r="332" spans="1:42">
      <c r="A332" s="2"/>
      <c r="AP332" s="101"/>
    </row>
    <row r="333" spans="1:42">
      <c r="A333" s="2"/>
      <c r="AP333" s="101"/>
    </row>
    <row r="334" spans="1:42">
      <c r="A334" s="2"/>
      <c r="AP334" s="101"/>
    </row>
    <row r="335" spans="1:42">
      <c r="A335" s="2"/>
      <c r="AP335" s="101"/>
    </row>
    <row r="336" spans="1:42">
      <c r="A336" s="2"/>
      <c r="AP336" s="101"/>
    </row>
    <row r="337" spans="1:42">
      <c r="A337" s="2"/>
      <c r="AP337" s="101"/>
    </row>
    <row r="338" spans="1:42">
      <c r="A338" s="2"/>
      <c r="AP338" s="101"/>
    </row>
    <row r="339" spans="1:42">
      <c r="A339" s="2"/>
      <c r="AP339" s="101"/>
    </row>
    <row r="340" spans="1:42">
      <c r="A340" s="2"/>
      <c r="AP340" s="101"/>
    </row>
    <row r="341" spans="1:42">
      <c r="A341" s="2"/>
      <c r="AP341" s="101"/>
    </row>
    <row r="342" spans="1:42">
      <c r="A342" s="2"/>
      <c r="AP342" s="101"/>
    </row>
    <row r="343" spans="1:42">
      <c r="A343" s="2"/>
      <c r="AP343" s="101"/>
    </row>
    <row r="344" spans="1:42">
      <c r="A344" s="2"/>
      <c r="AP344" s="101"/>
    </row>
    <row r="345" spans="1:42">
      <c r="A345" s="2"/>
      <c r="AP345" s="101"/>
    </row>
    <row r="346" spans="1:42">
      <c r="A346" s="2"/>
      <c r="AP346" s="101"/>
    </row>
    <row r="347" spans="1:42">
      <c r="A347" s="2"/>
      <c r="AP347" s="101"/>
    </row>
    <row r="348" spans="1:42">
      <c r="A348" s="2"/>
      <c r="AP348" s="101"/>
    </row>
    <row r="349" spans="1:42">
      <c r="A349" s="2"/>
      <c r="AP349" s="101"/>
    </row>
    <row r="350" spans="1:42">
      <c r="A350" s="2"/>
      <c r="AP350" s="101"/>
    </row>
    <row r="351" spans="1:42">
      <c r="A351" s="2"/>
      <c r="AP351" s="101"/>
    </row>
    <row r="352" spans="1:42">
      <c r="A352" s="2"/>
      <c r="AP352" s="101"/>
    </row>
    <row r="353" spans="1:42">
      <c r="A353" s="2"/>
      <c r="AP353" s="101"/>
    </row>
    <row r="354" spans="1:42">
      <c r="A354" s="2"/>
      <c r="AP354" s="101"/>
    </row>
    <row r="355" spans="1:42">
      <c r="A355" s="2"/>
      <c r="AP355" s="101"/>
    </row>
    <row r="356" spans="1:42">
      <c r="A356" s="2"/>
      <c r="AP356" s="101"/>
    </row>
    <row r="357" spans="1:42">
      <c r="A357" s="2"/>
      <c r="AP357" s="101"/>
    </row>
    <row r="358" spans="1:42">
      <c r="A358" s="2"/>
      <c r="AP358" s="101"/>
    </row>
    <row r="359" spans="1:42">
      <c r="A359" s="2"/>
      <c r="AP359" s="101"/>
    </row>
    <row r="360" spans="1:42">
      <c r="A360" s="2"/>
      <c r="AP360" s="101"/>
    </row>
    <row r="361" spans="1:42">
      <c r="A361" s="2"/>
      <c r="AP361" s="101"/>
    </row>
    <row r="362" spans="1:42">
      <c r="A362" s="2"/>
      <c r="AP362" s="101"/>
    </row>
    <row r="363" spans="1:42">
      <c r="A363" s="2"/>
      <c r="AP363" s="101"/>
    </row>
    <row r="364" spans="1:42">
      <c r="A364" s="2"/>
      <c r="AP364" s="101"/>
    </row>
    <row r="365" spans="1:42">
      <c r="A365" s="2"/>
      <c r="AP365" s="101"/>
    </row>
    <row r="366" spans="1:42">
      <c r="A366" s="2"/>
      <c r="AP366" s="101"/>
    </row>
    <row r="367" spans="1:42">
      <c r="A367" s="2"/>
      <c r="AP367" s="101"/>
    </row>
    <row r="368" spans="1:42">
      <c r="A368" s="2"/>
      <c r="AP368" s="101"/>
    </row>
    <row r="369" spans="1:42">
      <c r="A369" s="2"/>
      <c r="AP369" s="101"/>
    </row>
    <row r="370" spans="1:42">
      <c r="A370" s="2"/>
      <c r="AP370" s="101"/>
    </row>
    <row r="371" spans="1:42">
      <c r="A371" s="2"/>
      <c r="AP371" s="101"/>
    </row>
    <row r="372" spans="1:42">
      <c r="A372" s="2"/>
      <c r="AP372" s="101"/>
    </row>
    <row r="373" spans="1:42">
      <c r="A373" s="2"/>
      <c r="AP373" s="101"/>
    </row>
    <row r="374" spans="1:42">
      <c r="A374" s="2"/>
      <c r="AP374" s="101"/>
    </row>
    <row r="375" spans="1:42">
      <c r="A375" s="2"/>
      <c r="AP375" s="101"/>
    </row>
    <row r="376" spans="1:42">
      <c r="A376" s="2"/>
      <c r="AP376" s="101"/>
    </row>
    <row r="377" spans="1:42">
      <c r="A377" s="2"/>
      <c r="AP377" s="101"/>
    </row>
    <row r="378" spans="1:42">
      <c r="A378" s="2"/>
      <c r="AP378" s="101"/>
    </row>
    <row r="379" spans="1:42">
      <c r="A379" s="2"/>
      <c r="AP379" s="101"/>
    </row>
    <row r="380" spans="1:42">
      <c r="A380" s="2"/>
      <c r="AP380" s="101"/>
    </row>
    <row r="381" spans="1:42">
      <c r="A381" s="2"/>
      <c r="AP381" s="101"/>
    </row>
    <row r="382" spans="1:42">
      <c r="A382" s="2"/>
      <c r="AP382" s="101"/>
    </row>
    <row r="383" spans="1:42">
      <c r="A383" s="2"/>
      <c r="AP383" s="101"/>
    </row>
    <row r="384" spans="1:42">
      <c r="A384" s="2"/>
      <c r="AP384" s="101"/>
    </row>
    <row r="385" spans="1:42">
      <c r="A385" s="2"/>
      <c r="AP385" s="101"/>
    </row>
    <row r="386" spans="1:42">
      <c r="A386" s="2"/>
      <c r="AP386" s="101"/>
    </row>
    <row r="387" spans="1:42">
      <c r="A387" s="2"/>
      <c r="AP387" s="101"/>
    </row>
    <row r="388" spans="1:42">
      <c r="A388" s="2"/>
      <c r="AP388" s="101"/>
    </row>
    <row r="389" spans="1:42">
      <c r="A389" s="2"/>
      <c r="AP389" s="101"/>
    </row>
    <row r="390" spans="1:42">
      <c r="A390" s="2"/>
      <c r="AP390" s="101"/>
    </row>
    <row r="391" spans="1:42">
      <c r="A391" s="2"/>
      <c r="AP391" s="101"/>
    </row>
    <row r="392" spans="1:42">
      <c r="A392" s="2"/>
      <c r="AP392" s="101"/>
    </row>
    <row r="393" spans="1:42">
      <c r="A393" s="2"/>
      <c r="AP393" s="101"/>
    </row>
    <row r="394" spans="1:42">
      <c r="A394" s="2"/>
      <c r="AP394" s="101"/>
    </row>
    <row r="395" spans="1:42">
      <c r="A395" s="2"/>
      <c r="AP395" s="101"/>
    </row>
    <row r="396" spans="1:42">
      <c r="A396" s="2"/>
      <c r="AP396" s="101"/>
    </row>
    <row r="397" spans="1:42">
      <c r="A397" s="2"/>
      <c r="AP397" s="101"/>
    </row>
    <row r="398" spans="1:42">
      <c r="A398" s="2"/>
      <c r="AP398" s="101"/>
    </row>
    <row r="399" spans="1:42">
      <c r="A399" s="2"/>
      <c r="AP399" s="101"/>
    </row>
    <row r="400" spans="1:42">
      <c r="A400" s="2"/>
      <c r="AP400" s="101"/>
    </row>
    <row r="401" spans="1:42">
      <c r="A401" s="2"/>
      <c r="AP401" s="101"/>
    </row>
    <row r="402" spans="1:42">
      <c r="A402" s="2"/>
      <c r="AP402" s="101"/>
    </row>
    <row r="403" spans="1:42">
      <c r="A403" s="2"/>
      <c r="AP403" s="101"/>
    </row>
    <row r="404" spans="1:42">
      <c r="A404" s="2"/>
      <c r="AP404" s="101"/>
    </row>
    <row r="405" spans="1:42">
      <c r="A405" s="2"/>
      <c r="AP405" s="101"/>
    </row>
    <row r="406" spans="1:42">
      <c r="A406" s="2"/>
      <c r="AP406" s="101"/>
    </row>
    <row r="407" spans="1:42">
      <c r="A407" s="2"/>
      <c r="AP407" s="101"/>
    </row>
    <row r="408" spans="1:42">
      <c r="A408" s="2"/>
      <c r="AP408" s="101"/>
    </row>
    <row r="409" spans="1:42">
      <c r="A409" s="2"/>
      <c r="AP409" s="101"/>
    </row>
    <row r="410" spans="1:42">
      <c r="A410" s="2"/>
      <c r="AP410" s="101"/>
    </row>
    <row r="411" spans="1:42">
      <c r="A411" s="2"/>
      <c r="AP411" s="101"/>
    </row>
    <row r="412" spans="1:42">
      <c r="A412" s="2"/>
      <c r="AP412" s="101"/>
    </row>
    <row r="413" spans="1:42">
      <c r="A413" s="2"/>
      <c r="AP413" s="101"/>
    </row>
    <row r="414" spans="1:42">
      <c r="A414" s="2"/>
      <c r="AP414" s="101"/>
    </row>
    <row r="415" spans="1:42">
      <c r="A415" s="2"/>
      <c r="AP415" s="101"/>
    </row>
    <row r="416" spans="1:42">
      <c r="A416" s="2"/>
      <c r="AP416" s="101"/>
    </row>
    <row r="417" spans="1:42">
      <c r="A417" s="2"/>
      <c r="AP417" s="101"/>
    </row>
    <row r="418" spans="1:42">
      <c r="A418" s="2"/>
      <c r="AP418" s="101"/>
    </row>
    <row r="419" spans="1:42">
      <c r="A419" s="2"/>
      <c r="AP419" s="101"/>
    </row>
    <row r="420" spans="1:42">
      <c r="A420" s="2"/>
      <c r="AP420" s="101"/>
    </row>
    <row r="421" spans="1:42">
      <c r="A421" s="2"/>
      <c r="AP421" s="101"/>
    </row>
    <row r="422" spans="1:42">
      <c r="A422" s="2"/>
      <c r="AP422" s="101"/>
    </row>
    <row r="423" spans="1:42">
      <c r="A423" s="2"/>
      <c r="AP423" s="101"/>
    </row>
    <row r="424" spans="1:42">
      <c r="A424" s="2"/>
      <c r="AP424" s="101"/>
    </row>
    <row r="425" spans="1:42">
      <c r="A425" s="2"/>
      <c r="AP425" s="101"/>
    </row>
    <row r="426" spans="1:42">
      <c r="A426" s="2"/>
      <c r="AP426" s="101"/>
    </row>
    <row r="427" spans="1:42">
      <c r="A427" s="2"/>
      <c r="AP427" s="101"/>
    </row>
    <row r="428" spans="1:42">
      <c r="A428" s="2"/>
      <c r="AP428" s="101"/>
    </row>
    <row r="429" spans="1:42">
      <c r="A429" s="2"/>
      <c r="AP429" s="101"/>
    </row>
    <row r="430" spans="1:42">
      <c r="A430" s="2"/>
      <c r="AP430" s="101"/>
    </row>
    <row r="431" spans="1:42">
      <c r="A431" s="2"/>
      <c r="AP431" s="101"/>
    </row>
    <row r="432" spans="1:42">
      <c r="A432" s="2"/>
      <c r="AP432" s="101"/>
    </row>
    <row r="433" spans="1:42">
      <c r="A433" s="2"/>
      <c r="AP433" s="101"/>
    </row>
    <row r="434" spans="1:42">
      <c r="A434" s="2"/>
      <c r="AP434" s="101"/>
    </row>
    <row r="435" spans="1:42">
      <c r="A435" s="2"/>
      <c r="AP435" s="101"/>
    </row>
    <row r="436" spans="1:42">
      <c r="A436" s="2"/>
      <c r="AP436" s="101"/>
    </row>
    <row r="437" spans="1:42">
      <c r="A437" s="2"/>
      <c r="AP437" s="101"/>
    </row>
    <row r="438" spans="1:42">
      <c r="A438" s="2"/>
      <c r="AP438" s="101"/>
    </row>
    <row r="439" spans="1:42">
      <c r="A439" s="2"/>
      <c r="AP439" s="101"/>
    </row>
    <row r="440" spans="1:42">
      <c r="A440" s="2"/>
      <c r="AP440" s="101"/>
    </row>
    <row r="441" spans="1:42">
      <c r="A441" s="2"/>
      <c r="AP441" s="101"/>
    </row>
    <row r="442" spans="1:42">
      <c r="A442" s="2"/>
      <c r="AP442" s="101"/>
    </row>
    <row r="443" spans="1:42">
      <c r="A443" s="2"/>
      <c r="AP443" s="101"/>
    </row>
    <row r="444" spans="1:42">
      <c r="A444" s="2"/>
      <c r="AP444" s="101"/>
    </row>
    <row r="445" spans="1:42">
      <c r="A445" s="2"/>
      <c r="AP445" s="101"/>
    </row>
    <row r="446" spans="1:42">
      <c r="A446" s="2"/>
      <c r="AP446" s="101"/>
    </row>
    <row r="447" spans="1:42">
      <c r="A447" s="2"/>
      <c r="AP447" s="101"/>
    </row>
    <row r="448" spans="1:42">
      <c r="A448" s="2"/>
      <c r="AP448" s="101"/>
    </row>
    <row r="449" spans="1:42">
      <c r="A449" s="2"/>
      <c r="AP449" s="101"/>
    </row>
    <row r="450" spans="1:42">
      <c r="A450" s="2"/>
      <c r="AP450" s="101"/>
    </row>
    <row r="451" spans="1:42">
      <c r="A451" s="2"/>
      <c r="AP451" s="101"/>
    </row>
    <row r="452" spans="1:42">
      <c r="A452" s="2"/>
      <c r="AP452" s="101"/>
    </row>
    <row r="453" spans="1:42">
      <c r="A453" s="2"/>
      <c r="AP453" s="101"/>
    </row>
    <row r="454" spans="1:42">
      <c r="A454" s="2"/>
      <c r="AP454" s="101"/>
    </row>
    <row r="455" spans="1:42">
      <c r="A455" s="2"/>
      <c r="AP455" s="101"/>
    </row>
    <row r="456" spans="1:42">
      <c r="A456" s="2"/>
      <c r="AP456" s="101"/>
    </row>
    <row r="457" spans="1:42">
      <c r="A457" s="2"/>
      <c r="AP457" s="101"/>
    </row>
    <row r="458" spans="1:42">
      <c r="A458" s="2"/>
      <c r="AP458" s="101"/>
    </row>
    <row r="459" spans="1:42">
      <c r="A459" s="2"/>
      <c r="AP459" s="101"/>
    </row>
    <row r="460" spans="1:42">
      <c r="A460" s="2"/>
      <c r="AP460" s="101"/>
    </row>
    <row r="461" spans="1:42">
      <c r="A461" s="2"/>
      <c r="AP461" s="101"/>
    </row>
    <row r="462" spans="1:42">
      <c r="A462" s="2"/>
      <c r="AP462" s="101"/>
    </row>
    <row r="463" spans="1:42">
      <c r="A463" s="2"/>
      <c r="AP463" s="101"/>
    </row>
    <row r="464" spans="1:42">
      <c r="A464" s="2"/>
      <c r="AP464" s="101"/>
    </row>
    <row r="465" spans="1:42">
      <c r="A465" s="2"/>
      <c r="AP465" s="101"/>
    </row>
    <row r="466" spans="1:42">
      <c r="A466" s="2"/>
      <c r="AP466" s="101"/>
    </row>
    <row r="467" spans="1:42">
      <c r="A467" s="2"/>
      <c r="AP467" s="101"/>
    </row>
    <row r="468" spans="1:42">
      <c r="A468" s="2"/>
      <c r="AP468" s="101"/>
    </row>
    <row r="469" spans="1:42">
      <c r="A469" s="2"/>
      <c r="AP469" s="101"/>
    </row>
    <row r="470" spans="1:42">
      <c r="A470" s="2"/>
      <c r="AP470" s="101"/>
    </row>
    <row r="471" spans="1:42">
      <c r="A471" s="2"/>
      <c r="AP471" s="101"/>
    </row>
    <row r="472" spans="1:42">
      <c r="A472" s="2"/>
      <c r="AP472" s="101"/>
    </row>
    <row r="473" spans="1:42">
      <c r="A473" s="2"/>
      <c r="AP473" s="101"/>
    </row>
    <row r="474" spans="1:42">
      <c r="A474" s="2"/>
      <c r="AP474" s="101"/>
    </row>
    <row r="475" spans="1:42">
      <c r="A475" s="2"/>
      <c r="AP475" s="101"/>
    </row>
    <row r="476" spans="1:42">
      <c r="A476" s="2"/>
      <c r="AP476" s="101"/>
    </row>
    <row r="477" spans="1:42">
      <c r="A477" s="2"/>
      <c r="AP477" s="101"/>
    </row>
    <row r="478" spans="1:42">
      <c r="A478" s="2"/>
      <c r="AP478" s="101"/>
    </row>
    <row r="479" spans="1:42">
      <c r="A479" s="2"/>
      <c r="AP479" s="101"/>
    </row>
    <row r="480" spans="1:42">
      <c r="A480" s="2"/>
      <c r="AP480" s="101"/>
    </row>
    <row r="481" spans="1:42">
      <c r="A481" s="2"/>
      <c r="AP481" s="101"/>
    </row>
    <row r="482" spans="1:42">
      <c r="A482" s="2"/>
      <c r="AP482" s="101"/>
    </row>
    <row r="483" spans="1:42">
      <c r="A483" s="2"/>
      <c r="AP483" s="101"/>
    </row>
    <row r="484" spans="1:42">
      <c r="A484" s="2"/>
      <c r="AP484" s="101"/>
    </row>
    <row r="485" spans="1:42">
      <c r="A485" s="2"/>
      <c r="AP485" s="101"/>
    </row>
    <row r="486" spans="1:42">
      <c r="A486" s="2"/>
      <c r="AP486" s="101"/>
    </row>
    <row r="487" spans="1:42">
      <c r="A487" s="2"/>
      <c r="AP487" s="101"/>
    </row>
    <row r="488" spans="1:42">
      <c r="A488" s="2"/>
      <c r="AP488" s="101"/>
    </row>
    <row r="489" spans="1:42">
      <c r="A489" s="2"/>
      <c r="AP489" s="101"/>
    </row>
    <row r="490" spans="1:42">
      <c r="A490" s="2"/>
      <c r="AP490" s="101"/>
    </row>
    <row r="491" spans="1:42">
      <c r="A491" s="2"/>
      <c r="AP491" s="101"/>
    </row>
    <row r="492" spans="1:42">
      <c r="A492" s="2"/>
      <c r="AP492" s="101"/>
    </row>
    <row r="493" spans="1:42">
      <c r="A493" s="2"/>
      <c r="AP493" s="101"/>
    </row>
    <row r="494" spans="1:42">
      <c r="A494" s="2"/>
      <c r="AP494" s="101"/>
    </row>
    <row r="495" spans="1:42">
      <c r="A495" s="2"/>
      <c r="AP495" s="101"/>
    </row>
    <row r="496" spans="1:42">
      <c r="A496" s="2"/>
      <c r="AP496" s="101"/>
    </row>
    <row r="497" spans="1:42">
      <c r="A497" s="2"/>
      <c r="AP497" s="101"/>
    </row>
    <row r="498" spans="1:42">
      <c r="A498" s="2"/>
      <c r="AP498" s="101"/>
    </row>
    <row r="499" spans="1:42">
      <c r="A499" s="2"/>
      <c r="AP499" s="101"/>
    </row>
    <row r="500" spans="1:42">
      <c r="A500" s="2"/>
      <c r="AP500" s="101"/>
    </row>
    <row r="501" spans="1:42">
      <c r="A501" s="2"/>
      <c r="AP501" s="101"/>
    </row>
    <row r="502" spans="1:42">
      <c r="A502" s="2"/>
      <c r="AP502" s="101"/>
    </row>
    <row r="503" spans="1:42">
      <c r="A503" s="2"/>
      <c r="AP503" s="101"/>
    </row>
    <row r="504" spans="1:42">
      <c r="A504" s="2"/>
      <c r="AP504" s="101"/>
    </row>
    <row r="505" spans="1:42">
      <c r="A505" s="2"/>
      <c r="AP505" s="101"/>
    </row>
    <row r="506" spans="1:42">
      <c r="A506" s="2"/>
      <c r="AP506" s="101"/>
    </row>
    <row r="507" spans="1:42">
      <c r="A507" s="2"/>
      <c r="AP507" s="101"/>
    </row>
    <row r="508" spans="1:42">
      <c r="A508" s="2"/>
      <c r="AP508" s="101"/>
    </row>
    <row r="509" spans="1:42">
      <c r="A509" s="2"/>
      <c r="AP509" s="101"/>
    </row>
    <row r="510" spans="1:42">
      <c r="A510" s="2"/>
      <c r="AP510" s="101"/>
    </row>
    <row r="511" spans="1:42">
      <c r="A511" s="2"/>
      <c r="AP511" s="101"/>
    </row>
    <row r="512" spans="1:42">
      <c r="A512" s="2"/>
      <c r="AP512" s="101"/>
    </row>
    <row r="513" spans="1:42">
      <c r="A513" s="2"/>
      <c r="AP513" s="101"/>
    </row>
    <row r="514" spans="1:42">
      <c r="A514" s="2"/>
      <c r="AP514" s="101"/>
    </row>
    <row r="515" spans="1:42">
      <c r="A515" s="2"/>
      <c r="AP515" s="101"/>
    </row>
    <row r="516" spans="1:42">
      <c r="A516" s="2"/>
      <c r="AP516" s="101"/>
    </row>
    <row r="517" spans="1:42">
      <c r="A517" s="2"/>
      <c r="AP517" s="101"/>
    </row>
    <row r="518" spans="1:42">
      <c r="A518" s="2"/>
      <c r="AP518" s="101"/>
    </row>
    <row r="519" spans="1:42">
      <c r="A519" s="2"/>
      <c r="AP519" s="101"/>
    </row>
    <row r="520" spans="1:42">
      <c r="A520" s="2"/>
      <c r="AP520" s="101"/>
    </row>
    <row r="521" spans="1:42">
      <c r="A521" s="2"/>
      <c r="AP521" s="101"/>
    </row>
    <row r="522" spans="1:42">
      <c r="A522" s="2"/>
      <c r="AP522" s="101"/>
    </row>
    <row r="523" spans="1:42">
      <c r="A523" s="2"/>
      <c r="AP523" s="101"/>
    </row>
    <row r="524" spans="1:42">
      <c r="A524" s="2"/>
      <c r="AP524" s="101"/>
    </row>
    <row r="525" spans="1:42">
      <c r="A525" s="2"/>
      <c r="AP525" s="101"/>
    </row>
    <row r="526" spans="1:42">
      <c r="A526" s="2"/>
      <c r="AP526" s="101"/>
    </row>
    <row r="527" spans="1:42">
      <c r="A527" s="2"/>
      <c r="AP527" s="101"/>
    </row>
    <row r="528" spans="1:42">
      <c r="A528" s="2"/>
      <c r="AP528" s="101"/>
    </row>
    <row r="529" spans="1:42">
      <c r="A529" s="2"/>
      <c r="AP529" s="101"/>
    </row>
    <row r="530" spans="1:42">
      <c r="A530" s="2"/>
      <c r="AP530" s="101"/>
    </row>
    <row r="531" spans="1:42">
      <c r="A531" s="2"/>
      <c r="AP531" s="101"/>
    </row>
    <row r="532" spans="1:42">
      <c r="A532" s="2"/>
      <c r="AP532" s="101"/>
    </row>
    <row r="533" spans="1:42">
      <c r="A533" s="2"/>
      <c r="AP533" s="101"/>
    </row>
    <row r="534" spans="1:42">
      <c r="A534" s="2"/>
      <c r="AP534" s="101"/>
    </row>
    <row r="535" spans="1:42">
      <c r="A535" s="2"/>
      <c r="AP535" s="101"/>
    </row>
    <row r="536" spans="1:42">
      <c r="A536" s="2"/>
      <c r="AP536" s="101"/>
    </row>
    <row r="537" spans="1:42">
      <c r="A537" s="2"/>
      <c r="AP537" s="101"/>
    </row>
    <row r="538" spans="1:42">
      <c r="A538" s="2"/>
      <c r="AP538" s="101"/>
    </row>
    <row r="539" spans="1:42">
      <c r="A539" s="2"/>
      <c r="AP539" s="101"/>
    </row>
    <row r="540" spans="1:42">
      <c r="A540" s="2"/>
      <c r="AP540" s="101"/>
    </row>
    <row r="541" spans="1:42">
      <c r="A541" s="2"/>
      <c r="AP541" s="101"/>
    </row>
    <row r="542" spans="1:42">
      <c r="A542" s="2"/>
      <c r="AP542" s="101"/>
    </row>
    <row r="543" spans="1:42">
      <c r="A543" s="2"/>
      <c r="AP543" s="101"/>
    </row>
    <row r="544" spans="1:42">
      <c r="A544" s="2"/>
      <c r="AP544" s="101"/>
    </row>
    <row r="545" spans="1:42">
      <c r="A545" s="2"/>
      <c r="AP545" s="101"/>
    </row>
    <row r="546" spans="1:42">
      <c r="A546" s="2"/>
      <c r="AP546" s="101"/>
    </row>
    <row r="547" spans="1:42">
      <c r="A547" s="2"/>
      <c r="AP547" s="101"/>
    </row>
    <row r="548" spans="1:42">
      <c r="A548" s="2"/>
      <c r="AP548" s="101"/>
    </row>
    <row r="549" spans="1:42">
      <c r="A549" s="2"/>
      <c r="AP549" s="101"/>
    </row>
    <row r="550" spans="1:42">
      <c r="A550" s="2"/>
      <c r="AP550" s="101"/>
    </row>
    <row r="551" spans="1:42">
      <c r="A551" s="2"/>
      <c r="AP551" s="101"/>
    </row>
    <row r="552" spans="1:42">
      <c r="A552" s="2"/>
      <c r="AP552" s="101"/>
    </row>
    <row r="553" spans="1:42">
      <c r="A553" s="2"/>
      <c r="AP553" s="101"/>
    </row>
    <row r="554" spans="1:42">
      <c r="A554" s="2"/>
      <c r="AP554" s="101"/>
    </row>
    <row r="555" spans="1:42">
      <c r="A555" s="2"/>
      <c r="AP555" s="101"/>
    </row>
    <row r="556" spans="1:42">
      <c r="A556" s="2"/>
      <c r="AP556" s="101"/>
    </row>
    <row r="557" spans="1:42">
      <c r="A557" s="2"/>
      <c r="AP557" s="101"/>
    </row>
    <row r="558" spans="1:42">
      <c r="A558" s="2"/>
      <c r="AP558" s="101"/>
    </row>
    <row r="559" spans="1:42">
      <c r="A559" s="2"/>
      <c r="AP559" s="101"/>
    </row>
    <row r="560" spans="1:42">
      <c r="A560" s="2"/>
      <c r="AP560" s="101"/>
    </row>
    <row r="561" spans="1:42">
      <c r="A561" s="2"/>
      <c r="AP561" s="101"/>
    </row>
    <row r="562" spans="1:42">
      <c r="A562" s="2"/>
      <c r="AP562" s="101"/>
    </row>
    <row r="563" spans="1:42">
      <c r="A563" s="2"/>
      <c r="AP563" s="101"/>
    </row>
    <row r="564" spans="1:42">
      <c r="A564" s="2"/>
      <c r="AP564" s="101"/>
    </row>
    <row r="565" spans="1:42">
      <c r="A565" s="2"/>
      <c r="AP565" s="101"/>
    </row>
    <row r="566" spans="1:42">
      <c r="A566" s="2"/>
      <c r="AP566" s="101"/>
    </row>
    <row r="567" spans="1:42">
      <c r="A567" s="2"/>
      <c r="AP567" s="101"/>
    </row>
    <row r="568" spans="1:42">
      <c r="A568" s="2"/>
      <c r="AP568" s="101"/>
    </row>
    <row r="569" spans="1:42">
      <c r="A569" s="2"/>
      <c r="AP569" s="101"/>
    </row>
    <row r="570" spans="1:42">
      <c r="A570" s="2"/>
      <c r="AP570" s="101"/>
    </row>
    <row r="571" spans="1:42">
      <c r="A571" s="2"/>
      <c r="AP571" s="101"/>
    </row>
    <row r="572" spans="1:42">
      <c r="A572" s="2"/>
      <c r="AP572" s="101"/>
    </row>
    <row r="573" spans="1:42">
      <c r="A573" s="2"/>
      <c r="AP573" s="101"/>
    </row>
    <row r="574" spans="1:42">
      <c r="A574" s="2"/>
      <c r="AP574" s="101"/>
    </row>
    <row r="575" spans="1:42">
      <c r="A575" s="2"/>
      <c r="AP575" s="101"/>
    </row>
    <row r="576" spans="1:42">
      <c r="A576" s="2"/>
      <c r="AP576" s="101"/>
    </row>
    <row r="577" spans="1:42">
      <c r="A577" s="2"/>
      <c r="AP577" s="101"/>
    </row>
    <row r="578" spans="1:42">
      <c r="A578" s="2"/>
      <c r="AP578" s="101"/>
    </row>
    <row r="579" spans="1:42">
      <c r="A579" s="2"/>
      <c r="AP579" s="101"/>
    </row>
    <row r="580" spans="1:42">
      <c r="A580" s="2"/>
      <c r="AP580" s="101"/>
    </row>
    <row r="581" spans="1:42">
      <c r="A581" s="2"/>
      <c r="AP581" s="101"/>
    </row>
    <row r="582" spans="1:42">
      <c r="A582" s="2"/>
      <c r="AP582" s="101"/>
    </row>
    <row r="583" spans="1:42">
      <c r="A583" s="2"/>
      <c r="AP583" s="101"/>
    </row>
    <row r="584" spans="1:42">
      <c r="A584" s="2"/>
      <c r="AP584" s="101"/>
    </row>
    <row r="585" spans="1:42">
      <c r="A585" s="2"/>
      <c r="AP585" s="101"/>
    </row>
    <row r="586" spans="1:42">
      <c r="A586" s="2"/>
      <c r="AP586" s="101"/>
    </row>
    <row r="587" spans="1:42">
      <c r="A587" s="2"/>
      <c r="AP587" s="101"/>
    </row>
    <row r="588" spans="1:42">
      <c r="A588" s="2"/>
      <c r="AP588" s="101"/>
    </row>
    <row r="589" spans="1:42">
      <c r="A589" s="2"/>
      <c r="AP589" s="101"/>
    </row>
    <row r="590" spans="1:42">
      <c r="A590" s="2"/>
      <c r="AP590" s="101"/>
    </row>
    <row r="591" spans="1:42">
      <c r="A591" s="2"/>
      <c r="AP591" s="101"/>
    </row>
    <row r="592" spans="1:42">
      <c r="A592" s="2"/>
      <c r="AP592" s="101"/>
    </row>
    <row r="593" spans="1:42">
      <c r="A593" s="2"/>
      <c r="AP593" s="101"/>
    </row>
    <row r="594" spans="1:42">
      <c r="A594" s="2"/>
      <c r="AP594" s="101"/>
    </row>
    <row r="595" spans="1:42">
      <c r="A595" s="2"/>
      <c r="AP595" s="101"/>
    </row>
    <row r="596" spans="1:42">
      <c r="A596" s="2"/>
      <c r="AP596" s="101"/>
    </row>
    <row r="597" spans="1:42">
      <c r="A597" s="2"/>
      <c r="AP597" s="101"/>
    </row>
    <row r="598" spans="1:42">
      <c r="A598" s="2"/>
      <c r="AP598" s="101"/>
    </row>
    <row r="599" spans="1:42">
      <c r="A599" s="2"/>
      <c r="AP599" s="101"/>
    </row>
    <row r="600" spans="1:42">
      <c r="A600" s="2"/>
      <c r="AP600" s="101"/>
    </row>
    <row r="601" spans="1:42">
      <c r="A601" s="2"/>
      <c r="AP601" s="101"/>
    </row>
    <row r="602" spans="1:42">
      <c r="A602" s="2"/>
      <c r="AP602" s="101"/>
    </row>
    <row r="603" spans="1:42">
      <c r="A603" s="2"/>
      <c r="AP603" s="101"/>
    </row>
    <row r="604" spans="1:42">
      <c r="A604" s="2"/>
      <c r="AP604" s="101"/>
    </row>
    <row r="605" spans="1:42">
      <c r="A605" s="2"/>
      <c r="AP605" s="101"/>
    </row>
    <row r="606" spans="1:42">
      <c r="A606" s="2"/>
      <c r="AP606" s="101"/>
    </row>
    <row r="607" spans="1:42">
      <c r="A607" s="2"/>
      <c r="AP607" s="101"/>
    </row>
    <row r="608" spans="1:42">
      <c r="A608" s="2"/>
      <c r="AP608" s="101"/>
    </row>
    <row r="609" spans="1:42">
      <c r="A609" s="2"/>
      <c r="AP609" s="101"/>
    </row>
    <row r="610" spans="1:42">
      <c r="A610" s="2"/>
      <c r="AP610" s="101"/>
    </row>
    <row r="611" spans="1:42">
      <c r="A611" s="2"/>
      <c r="AP611" s="101"/>
    </row>
    <row r="612" spans="1:42">
      <c r="A612" s="2"/>
      <c r="AP612" s="101"/>
    </row>
    <row r="613" spans="1:42">
      <c r="A613" s="2"/>
      <c r="AP613" s="101"/>
    </row>
    <row r="614" spans="1:42">
      <c r="A614" s="2"/>
      <c r="AP614" s="101"/>
    </row>
    <row r="615" spans="1:42">
      <c r="A615" s="2"/>
      <c r="AP615" s="101"/>
    </row>
    <row r="616" spans="1:42">
      <c r="A616" s="2"/>
      <c r="AP616" s="101"/>
    </row>
    <row r="617" spans="1:42">
      <c r="A617" s="2"/>
      <c r="AP617" s="101"/>
    </row>
    <row r="618" spans="1:42">
      <c r="A618" s="2"/>
      <c r="AP618" s="101"/>
    </row>
    <row r="619" spans="1:42">
      <c r="A619" s="2"/>
      <c r="AP619" s="101"/>
    </row>
    <row r="620" spans="1:42">
      <c r="A620" s="2"/>
      <c r="AP620" s="101"/>
    </row>
    <row r="621" spans="1:42">
      <c r="A621" s="2"/>
      <c r="AP621" s="101"/>
    </row>
    <row r="622" spans="1:42">
      <c r="A622" s="2"/>
      <c r="AP622" s="101"/>
    </row>
    <row r="623" spans="1:42">
      <c r="A623" s="2"/>
      <c r="AP623" s="101"/>
    </row>
    <row r="624" spans="1:42">
      <c r="A624" s="2"/>
      <c r="AP624" s="101"/>
    </row>
    <row r="625" spans="1:42">
      <c r="A625" s="2"/>
      <c r="AP625" s="101"/>
    </row>
    <row r="626" spans="1:42">
      <c r="A626" s="2"/>
      <c r="AP626" s="101"/>
    </row>
    <row r="627" spans="1:42">
      <c r="A627" s="2"/>
      <c r="AP627" s="101"/>
    </row>
    <row r="628" spans="1:42">
      <c r="A628" s="2"/>
      <c r="AP628" s="101"/>
    </row>
    <row r="629" spans="1:42">
      <c r="A629" s="2"/>
      <c r="AP629" s="101"/>
    </row>
    <row r="630" spans="1:42">
      <c r="A630" s="2"/>
      <c r="AP630" s="101"/>
    </row>
    <row r="631" spans="1:42">
      <c r="A631" s="2"/>
      <c r="AP631" s="101"/>
    </row>
    <row r="632" spans="1:42">
      <c r="A632" s="2"/>
      <c r="AP632" s="101"/>
    </row>
    <row r="633" spans="1:42">
      <c r="A633" s="2"/>
      <c r="AP633" s="101"/>
    </row>
    <row r="634" spans="1:42">
      <c r="A634" s="2"/>
      <c r="AP634" s="101"/>
    </row>
    <row r="635" spans="1:42">
      <c r="A635" s="2"/>
      <c r="AP635" s="101"/>
    </row>
    <row r="636" spans="1:42">
      <c r="A636" s="2"/>
      <c r="AP636" s="101"/>
    </row>
    <row r="637" spans="1:42">
      <c r="A637" s="2"/>
      <c r="AP637" s="101"/>
    </row>
    <row r="638" spans="1:42">
      <c r="A638" s="2"/>
      <c r="AP638" s="101"/>
    </row>
    <row r="639" spans="1:42">
      <c r="A639" s="2"/>
      <c r="AP639" s="101"/>
    </row>
    <row r="640" spans="1:42">
      <c r="A640" s="2"/>
      <c r="AP640" s="101"/>
    </row>
    <row r="641" spans="1:42">
      <c r="A641" s="2"/>
      <c r="AP641" s="101"/>
    </row>
    <row r="642" spans="1:42">
      <c r="A642" s="2"/>
      <c r="AP642" s="101"/>
    </row>
    <row r="643" spans="1:42">
      <c r="A643" s="2"/>
      <c r="AP643" s="101"/>
    </row>
    <row r="644" spans="1:42">
      <c r="A644" s="2"/>
      <c r="AP644" s="101"/>
    </row>
    <row r="645" spans="1:42">
      <c r="A645" s="2"/>
      <c r="AP645" s="101"/>
    </row>
    <row r="646" spans="1:42">
      <c r="A646" s="2"/>
      <c r="AP646" s="101"/>
    </row>
    <row r="647" spans="1:42">
      <c r="A647" s="2"/>
      <c r="AP647" s="101"/>
    </row>
    <row r="648" spans="1:42">
      <c r="A648" s="2"/>
      <c r="AP648" s="101"/>
    </row>
    <row r="649" spans="1:42">
      <c r="A649" s="2"/>
      <c r="AP649" s="101"/>
    </row>
    <row r="650" spans="1:42">
      <c r="A650" s="2"/>
      <c r="AP650" s="101"/>
    </row>
    <row r="651" spans="1:42">
      <c r="A651" s="2"/>
      <c r="AP651" s="101"/>
    </row>
    <row r="652" spans="1:42">
      <c r="A652" s="2"/>
      <c r="AP652" s="101"/>
    </row>
    <row r="653" spans="1:42">
      <c r="A653" s="2"/>
      <c r="AP653" s="101"/>
    </row>
    <row r="654" spans="1:42">
      <c r="A654" s="2"/>
      <c r="AP654" s="101"/>
    </row>
    <row r="655" spans="1:42">
      <c r="A655" s="2"/>
      <c r="AP655" s="101"/>
    </row>
    <row r="656" spans="1:42">
      <c r="A656" s="2"/>
      <c r="AP656" s="101"/>
    </row>
    <row r="657" spans="1:42">
      <c r="A657" s="2"/>
      <c r="AP657" s="101"/>
    </row>
    <row r="658" spans="1:42">
      <c r="A658" s="2"/>
      <c r="AP658" s="101"/>
    </row>
    <row r="659" spans="1:42">
      <c r="A659" s="2"/>
      <c r="AP659" s="101"/>
    </row>
    <row r="660" spans="1:42">
      <c r="A660" s="2"/>
      <c r="AP660" s="101"/>
    </row>
    <row r="661" spans="1:42">
      <c r="A661" s="2"/>
      <c r="AP661" s="101"/>
    </row>
    <row r="662" spans="1:42">
      <c r="A662" s="2"/>
      <c r="AP662" s="101"/>
    </row>
    <row r="663" spans="1:42">
      <c r="A663" s="2"/>
      <c r="AP663" s="101"/>
    </row>
    <row r="664" spans="1:42">
      <c r="A664" s="2"/>
      <c r="AP664" s="101"/>
    </row>
    <row r="665" spans="1:42">
      <c r="A665" s="2"/>
      <c r="AP665" s="101"/>
    </row>
    <row r="666" spans="1:42">
      <c r="A666" s="2"/>
      <c r="AP666" s="101"/>
    </row>
    <row r="667" spans="1:42">
      <c r="A667" s="2"/>
      <c r="AP667" s="101"/>
    </row>
    <row r="668" spans="1:42">
      <c r="A668" s="2"/>
      <c r="AP668" s="101"/>
    </row>
    <row r="669" spans="1:42">
      <c r="A669" s="2"/>
      <c r="AP669" s="101"/>
    </row>
    <row r="670" spans="1:42">
      <c r="A670" s="2"/>
      <c r="AP670" s="101"/>
    </row>
    <row r="671" spans="1:42">
      <c r="A671" s="2"/>
      <c r="AP671" s="101"/>
    </row>
    <row r="672" spans="1:42">
      <c r="A672" s="2"/>
      <c r="AP672" s="101"/>
    </row>
    <row r="673" spans="1:42">
      <c r="A673" s="2"/>
      <c r="AP673" s="101"/>
    </row>
    <row r="674" spans="1:42">
      <c r="A674" s="2"/>
      <c r="AP674" s="101"/>
    </row>
    <row r="675" spans="1:42">
      <c r="A675" s="2"/>
      <c r="AP675" s="101"/>
    </row>
    <row r="676" spans="1:42">
      <c r="A676" s="2"/>
      <c r="AP676" s="101"/>
    </row>
    <row r="677" spans="1:42">
      <c r="A677" s="2"/>
      <c r="AP677" s="101"/>
    </row>
    <row r="678" spans="1:42">
      <c r="A678" s="2"/>
      <c r="AP678" s="101"/>
    </row>
    <row r="679" spans="1:42">
      <c r="A679" s="2"/>
      <c r="AP679" s="101"/>
    </row>
    <row r="680" spans="1:42">
      <c r="A680" s="2"/>
      <c r="AP680" s="101"/>
    </row>
    <row r="681" spans="1:42">
      <c r="A681" s="2"/>
      <c r="AP681" s="101"/>
    </row>
    <row r="682" spans="1:42">
      <c r="A682" s="2"/>
      <c r="AP682" s="101"/>
    </row>
    <row r="683" spans="1:42">
      <c r="A683" s="2"/>
      <c r="AP683" s="101"/>
    </row>
    <row r="684" spans="1:42">
      <c r="A684" s="2"/>
      <c r="AP684" s="101"/>
    </row>
    <row r="685" spans="1:42">
      <c r="A685" s="2"/>
      <c r="AP685" s="101"/>
    </row>
    <row r="686" spans="1:42">
      <c r="A686" s="2"/>
      <c r="AP686" s="101"/>
    </row>
    <row r="687" spans="1:42">
      <c r="A687" s="2"/>
      <c r="AP687" s="101"/>
    </row>
    <row r="688" spans="1:42">
      <c r="A688" s="2"/>
      <c r="AP688" s="101"/>
    </row>
    <row r="689" spans="1:42">
      <c r="A689" s="2"/>
      <c r="AP689" s="101"/>
    </row>
    <row r="690" spans="1:42">
      <c r="A690" s="2"/>
      <c r="AP690" s="101"/>
    </row>
    <row r="691" spans="1:42">
      <c r="A691" s="2"/>
      <c r="AP691" s="101"/>
    </row>
    <row r="692" spans="1:42">
      <c r="A692" s="2"/>
      <c r="AP692" s="101"/>
    </row>
    <row r="693" spans="1:42">
      <c r="A693" s="2"/>
      <c r="AP693" s="101"/>
    </row>
    <row r="694" spans="1:42">
      <c r="A694" s="2"/>
      <c r="AP694" s="101"/>
    </row>
    <row r="695" spans="1:42">
      <c r="A695" s="2"/>
      <c r="AP695" s="101"/>
    </row>
    <row r="696" spans="1:42">
      <c r="A696" s="2"/>
      <c r="AP696" s="101"/>
    </row>
    <row r="697" spans="1:42">
      <c r="A697" s="2"/>
      <c r="AP697" s="101"/>
    </row>
    <row r="698" spans="1:42">
      <c r="A698" s="2"/>
      <c r="AP698" s="101"/>
    </row>
    <row r="699" spans="1:42">
      <c r="A699" s="2"/>
      <c r="AP699" s="101"/>
    </row>
    <row r="700" spans="1:42">
      <c r="A700" s="2"/>
      <c r="AP700" s="101"/>
    </row>
    <row r="701" spans="1:42">
      <c r="A701" s="2"/>
      <c r="AP701" s="101"/>
    </row>
    <row r="702" spans="1:42">
      <c r="A702" s="2"/>
      <c r="AP702" s="101"/>
    </row>
    <row r="703" spans="1:42">
      <c r="A703" s="2"/>
      <c r="AP703" s="101"/>
    </row>
    <row r="704" spans="1:42">
      <c r="A704" s="2"/>
      <c r="AP704" s="101"/>
    </row>
    <row r="705" spans="1:42">
      <c r="A705" s="2"/>
      <c r="AP705" s="101"/>
    </row>
    <row r="706" spans="1:42">
      <c r="A706" s="2"/>
      <c r="AP706" s="101"/>
    </row>
    <row r="707" spans="1:42">
      <c r="A707" s="2"/>
      <c r="AP707" s="101"/>
    </row>
    <row r="708" spans="1:42">
      <c r="A708" s="2"/>
      <c r="AP708" s="101"/>
    </row>
    <row r="709" spans="1:42">
      <c r="A709" s="2"/>
      <c r="AP709" s="101"/>
    </row>
    <row r="710" spans="1:42">
      <c r="A710" s="2"/>
      <c r="AP710" s="101"/>
    </row>
    <row r="711" spans="1:42">
      <c r="A711" s="2"/>
      <c r="AP711" s="101"/>
    </row>
    <row r="712" spans="1:42">
      <c r="A712" s="2"/>
      <c r="AP712" s="101"/>
    </row>
    <row r="713" spans="1:42">
      <c r="A713" s="2"/>
      <c r="AP713" s="101"/>
    </row>
    <row r="714" spans="1:42">
      <c r="A714" s="2"/>
      <c r="AP714" s="101"/>
    </row>
    <row r="715" spans="1:42">
      <c r="A715" s="2"/>
      <c r="AP715" s="101"/>
    </row>
    <row r="716" spans="1:42">
      <c r="A716" s="2"/>
      <c r="AP716" s="101"/>
    </row>
    <row r="717" spans="1:42">
      <c r="A717" s="2"/>
      <c r="AP717" s="101"/>
    </row>
    <row r="718" spans="1:42">
      <c r="A718" s="2"/>
      <c r="AP718" s="101"/>
    </row>
    <row r="719" spans="1:42">
      <c r="A719" s="2"/>
      <c r="AP719" s="101"/>
    </row>
    <row r="720" spans="1:42">
      <c r="A720" s="2"/>
      <c r="AP720" s="101"/>
    </row>
    <row r="721" spans="1:42">
      <c r="A721" s="2"/>
      <c r="AP721" s="101"/>
    </row>
    <row r="722" spans="1:42">
      <c r="A722" s="2"/>
      <c r="AP722" s="101"/>
    </row>
    <row r="723" spans="1:42">
      <c r="A723" s="2"/>
      <c r="AP723" s="101"/>
    </row>
    <row r="724" spans="1:42">
      <c r="A724" s="2"/>
      <c r="AP724" s="101"/>
    </row>
    <row r="725" spans="1:42">
      <c r="A725" s="2"/>
      <c r="AP725" s="101"/>
    </row>
    <row r="726" spans="1:42">
      <c r="A726" s="2"/>
      <c r="AP726" s="101"/>
    </row>
    <row r="727" spans="1:42">
      <c r="A727" s="2"/>
      <c r="AP727" s="101"/>
    </row>
    <row r="728" spans="1:42">
      <c r="A728" s="2"/>
      <c r="AP728" s="101"/>
    </row>
    <row r="729" spans="1:42">
      <c r="A729" s="2"/>
      <c r="AP729" s="101"/>
    </row>
    <row r="730" spans="1:42">
      <c r="A730" s="2"/>
      <c r="AP730" s="101"/>
    </row>
    <row r="731" spans="1:42">
      <c r="A731" s="2"/>
      <c r="AP731" s="101"/>
    </row>
    <row r="732" spans="1:42">
      <c r="A732" s="2"/>
      <c r="AP732" s="101"/>
    </row>
    <row r="733" spans="1:42">
      <c r="A733" s="2"/>
      <c r="AP733" s="101"/>
    </row>
    <row r="734" spans="1:42">
      <c r="A734" s="2"/>
      <c r="AP734" s="101"/>
    </row>
    <row r="735" spans="1:42">
      <c r="A735" s="2"/>
      <c r="AP735" s="101"/>
    </row>
    <row r="736" spans="1:42">
      <c r="A736" s="2"/>
      <c r="AP736" s="101"/>
    </row>
    <row r="737" spans="1:42">
      <c r="A737" s="2"/>
      <c r="AP737" s="101"/>
    </row>
    <row r="738" spans="1:42">
      <c r="A738" s="2"/>
      <c r="AP738" s="101"/>
    </row>
    <row r="739" spans="1:42">
      <c r="A739" s="2"/>
      <c r="AP739" s="101"/>
    </row>
    <row r="740" spans="1:42">
      <c r="A740" s="2"/>
      <c r="AP740" s="101"/>
    </row>
    <row r="741" spans="1:42">
      <c r="A741" s="2"/>
      <c r="AP741" s="101"/>
    </row>
    <row r="742" spans="1:42">
      <c r="A742" s="2"/>
      <c r="AP742" s="101"/>
    </row>
    <row r="743" spans="1:42">
      <c r="A743" s="2"/>
      <c r="AP743" s="101"/>
    </row>
    <row r="744" spans="1:42">
      <c r="A744" s="2"/>
      <c r="AP744" s="101"/>
    </row>
    <row r="745" spans="1:42">
      <c r="A745" s="2"/>
      <c r="AP745" s="101"/>
    </row>
    <row r="746" spans="1:42">
      <c r="A746" s="2"/>
      <c r="AP746" s="101"/>
    </row>
    <row r="747" spans="1:42">
      <c r="A747" s="2"/>
      <c r="AP747" s="101"/>
    </row>
    <row r="748" spans="1:42">
      <c r="A748" s="2"/>
      <c r="AP748" s="101"/>
    </row>
    <row r="749" spans="1:42">
      <c r="A749" s="2"/>
      <c r="AP749" s="101"/>
    </row>
    <row r="750" spans="1:42">
      <c r="A750" s="2"/>
      <c r="AP750" s="101"/>
    </row>
    <row r="751" spans="1:42">
      <c r="A751" s="2"/>
      <c r="AP751" s="101"/>
    </row>
    <row r="752" spans="1:42">
      <c r="A752" s="2"/>
      <c r="AP752" s="101"/>
    </row>
    <row r="753" spans="1:42">
      <c r="A753" s="2"/>
      <c r="AP753" s="101"/>
    </row>
    <row r="754" spans="1:42">
      <c r="A754" s="2"/>
      <c r="AP754" s="101"/>
    </row>
    <row r="755" spans="1:42">
      <c r="A755" s="2"/>
      <c r="AP755" s="101"/>
    </row>
    <row r="756" spans="1:42">
      <c r="A756" s="2"/>
      <c r="AP756" s="101"/>
    </row>
    <row r="757" spans="1:42">
      <c r="A757" s="2"/>
      <c r="AP757" s="101"/>
    </row>
    <row r="758" spans="1:42">
      <c r="A758" s="2"/>
      <c r="AP758" s="101"/>
    </row>
    <row r="759" spans="1:42">
      <c r="A759" s="2"/>
      <c r="AP759" s="101"/>
    </row>
    <row r="760" spans="1:42">
      <c r="A760" s="2"/>
      <c r="AP760" s="101"/>
    </row>
    <row r="761" spans="1:42">
      <c r="A761" s="2"/>
      <c r="AP761" s="101"/>
    </row>
    <row r="762" spans="1:42">
      <c r="A762" s="2"/>
      <c r="AP762" s="101"/>
    </row>
    <row r="763" spans="1:42">
      <c r="A763" s="2"/>
      <c r="AP763" s="101"/>
    </row>
    <row r="764" spans="1:42">
      <c r="A764" s="2"/>
      <c r="AP764" s="101"/>
    </row>
    <row r="765" spans="1:42">
      <c r="A765" s="2"/>
      <c r="AP765" s="101"/>
    </row>
    <row r="766" spans="1:42">
      <c r="A766" s="2"/>
      <c r="AP766" s="101"/>
    </row>
    <row r="767" spans="1:42">
      <c r="A767" s="2"/>
      <c r="AP767" s="101"/>
    </row>
    <row r="768" spans="1:42">
      <c r="A768" s="2"/>
      <c r="AP768" s="101"/>
    </row>
    <row r="769" spans="1:42">
      <c r="A769" s="2"/>
      <c r="AP769" s="101"/>
    </row>
    <row r="770" spans="1:42">
      <c r="A770" s="2"/>
      <c r="AP770" s="101"/>
    </row>
    <row r="771" spans="1:42">
      <c r="A771" s="2"/>
      <c r="AP771" s="101"/>
    </row>
    <row r="772" spans="1:42">
      <c r="A772" s="2"/>
      <c r="AP772" s="101"/>
    </row>
    <row r="773" spans="1:42">
      <c r="A773" s="2"/>
      <c r="AP773" s="101"/>
    </row>
    <row r="774" spans="1:42">
      <c r="A774" s="2"/>
      <c r="AP774" s="101"/>
    </row>
    <row r="775" spans="1:42">
      <c r="A775" s="2"/>
      <c r="AP775" s="101"/>
    </row>
    <row r="776" spans="1:42">
      <c r="A776" s="2"/>
      <c r="AP776" s="101"/>
    </row>
    <row r="777" spans="1:42">
      <c r="A777" s="2"/>
      <c r="AP777" s="101"/>
    </row>
    <row r="778" spans="1:42">
      <c r="A778" s="2"/>
      <c r="AP778" s="101"/>
    </row>
    <row r="779" spans="1:42">
      <c r="A779" s="2"/>
      <c r="AP779" s="101"/>
    </row>
    <row r="780" spans="1:42">
      <c r="A780" s="2"/>
      <c r="AP780" s="101"/>
    </row>
    <row r="781" spans="1:42">
      <c r="A781" s="2"/>
      <c r="AP781" s="101"/>
    </row>
    <row r="782" spans="1:42">
      <c r="A782" s="2"/>
      <c r="AP782" s="101"/>
    </row>
    <row r="783" spans="1:42">
      <c r="A783" s="2"/>
      <c r="AP783" s="101"/>
    </row>
    <row r="784" spans="1:42">
      <c r="A784" s="2"/>
      <c r="AP784" s="101"/>
    </row>
    <row r="785" spans="1:42">
      <c r="A785" s="2"/>
      <c r="AP785" s="101"/>
    </row>
    <row r="786" spans="1:42">
      <c r="A786" s="2"/>
      <c r="AP786" s="101"/>
    </row>
    <row r="787" spans="1:42">
      <c r="A787" s="2"/>
      <c r="AP787" s="101"/>
    </row>
    <row r="788" spans="1:42">
      <c r="A788" s="2"/>
      <c r="AP788" s="101"/>
    </row>
    <row r="789" spans="1:42">
      <c r="A789" s="2"/>
      <c r="AP789" s="101"/>
    </row>
    <row r="790" spans="1:42">
      <c r="A790" s="2"/>
      <c r="AP790" s="101"/>
    </row>
    <row r="791" spans="1:42">
      <c r="A791" s="2"/>
      <c r="AP791" s="101"/>
    </row>
    <row r="792" spans="1:42">
      <c r="A792" s="2"/>
      <c r="AP792" s="101"/>
    </row>
    <row r="793" spans="1:42">
      <c r="A793" s="2"/>
      <c r="AP793" s="101"/>
    </row>
    <row r="794" spans="1:42">
      <c r="A794" s="2"/>
      <c r="AP794" s="101"/>
    </row>
    <row r="795" spans="1:42">
      <c r="A795" s="2"/>
      <c r="AP795" s="101"/>
    </row>
    <row r="796" spans="1:42">
      <c r="A796" s="2"/>
      <c r="AP796" s="101"/>
    </row>
    <row r="797" spans="1:42">
      <c r="A797" s="2"/>
      <c r="AP797" s="101"/>
    </row>
    <row r="798" spans="1:42">
      <c r="A798" s="2"/>
      <c r="AP798" s="101"/>
    </row>
    <row r="799" spans="1:42">
      <c r="A799" s="2"/>
      <c r="AP799" s="101"/>
    </row>
    <row r="800" spans="1:42">
      <c r="A800" s="2"/>
      <c r="AP800" s="101"/>
    </row>
    <row r="801" spans="1:42">
      <c r="A801" s="2"/>
      <c r="AP801" s="101"/>
    </row>
    <row r="802" spans="1:42">
      <c r="A802" s="2"/>
      <c r="AP802" s="101"/>
    </row>
    <row r="803" spans="1:42">
      <c r="A803" s="2"/>
      <c r="AP803" s="101"/>
    </row>
    <row r="804" spans="1:42">
      <c r="A804" s="2"/>
      <c r="AP804" s="101"/>
    </row>
    <row r="805" spans="1:42">
      <c r="A805" s="2"/>
      <c r="AP805" s="101"/>
    </row>
    <row r="806" spans="1:42">
      <c r="A806" s="2"/>
      <c r="AP806" s="101"/>
    </row>
    <row r="807" spans="1:42">
      <c r="A807" s="2"/>
      <c r="AP807" s="101"/>
    </row>
    <row r="808" spans="1:42">
      <c r="A808" s="2"/>
      <c r="AP808" s="101"/>
    </row>
    <row r="809" spans="1:42">
      <c r="A809" s="2"/>
      <c r="AP809" s="101"/>
    </row>
    <row r="810" spans="1:42">
      <c r="A810" s="2"/>
      <c r="AP810" s="101"/>
    </row>
    <row r="811" spans="1:42">
      <c r="A811" s="2"/>
      <c r="AP811" s="101"/>
    </row>
    <row r="812" spans="1:42">
      <c r="A812" s="2"/>
      <c r="AP812" s="101"/>
    </row>
    <row r="813" spans="1:42">
      <c r="A813" s="2"/>
      <c r="AP813" s="101"/>
    </row>
    <row r="814" spans="1:42">
      <c r="A814" s="2"/>
      <c r="AP814" s="101"/>
    </row>
    <row r="815" spans="1:42">
      <c r="A815" s="2"/>
      <c r="AP815" s="101"/>
    </row>
    <row r="816" spans="1:42">
      <c r="A816" s="2"/>
      <c r="AP816" s="101"/>
    </row>
    <row r="817" spans="1:42">
      <c r="A817" s="2"/>
      <c r="AP817" s="101"/>
    </row>
    <row r="818" spans="1:42">
      <c r="A818" s="2"/>
      <c r="AP818" s="101"/>
    </row>
    <row r="819" spans="1:42">
      <c r="A819" s="2"/>
      <c r="AP819" s="101"/>
    </row>
    <row r="820" spans="1:42">
      <c r="A820" s="2"/>
      <c r="AP820" s="101"/>
    </row>
    <row r="821" spans="1:42">
      <c r="A821" s="2"/>
      <c r="AP821" s="101"/>
    </row>
    <row r="822" spans="1:42">
      <c r="A822" s="2"/>
      <c r="AP822" s="101"/>
    </row>
    <row r="823" spans="1:42">
      <c r="A823" s="2"/>
      <c r="AP823" s="101"/>
    </row>
    <row r="824" spans="1:42">
      <c r="A824" s="2"/>
      <c r="AP824" s="101"/>
    </row>
    <row r="825" spans="1:42">
      <c r="A825" s="2"/>
      <c r="AP825" s="101"/>
    </row>
    <row r="826" spans="1:42">
      <c r="A826" s="2"/>
      <c r="AP826" s="101"/>
    </row>
    <row r="827" spans="1:42">
      <c r="A827" s="2"/>
      <c r="AP827" s="101"/>
    </row>
    <row r="828" spans="1:42">
      <c r="A828" s="2"/>
      <c r="AP828" s="101"/>
    </row>
    <row r="829" spans="1:42">
      <c r="A829" s="2"/>
      <c r="AP829" s="101"/>
    </row>
    <row r="830" spans="1:42">
      <c r="A830" s="2"/>
      <c r="AP830" s="101"/>
    </row>
    <row r="831" spans="1:42">
      <c r="A831" s="2"/>
      <c r="AP831" s="101"/>
    </row>
    <row r="832" spans="1:42">
      <c r="A832" s="2"/>
      <c r="AP832" s="101"/>
    </row>
    <row r="833" spans="1:42">
      <c r="A833" s="2"/>
      <c r="AP833" s="101"/>
    </row>
    <row r="834" spans="1:42">
      <c r="A834" s="2"/>
      <c r="AP834" s="101"/>
    </row>
    <row r="835" spans="1:42">
      <c r="A835" s="2"/>
      <c r="AP835" s="101"/>
    </row>
    <row r="836" spans="1:42">
      <c r="A836" s="2"/>
      <c r="AP836" s="101"/>
    </row>
    <row r="837" spans="1:42">
      <c r="A837" s="2"/>
      <c r="AP837" s="101"/>
    </row>
    <row r="838" spans="1:42">
      <c r="A838" s="2"/>
      <c r="AP838" s="101"/>
    </row>
    <row r="839" spans="1:42">
      <c r="A839" s="2"/>
      <c r="AP839" s="101"/>
    </row>
    <row r="840" spans="1:42">
      <c r="A840" s="2"/>
      <c r="AP840" s="101"/>
    </row>
    <row r="841" spans="1:42">
      <c r="A841" s="2"/>
      <c r="AP841" s="101"/>
    </row>
    <row r="842" spans="1:42">
      <c r="A842" s="2"/>
      <c r="AP842" s="101"/>
    </row>
    <row r="843" spans="1:42">
      <c r="A843" s="2"/>
      <c r="AP843" s="101"/>
    </row>
    <row r="844" spans="1:42">
      <c r="A844" s="2"/>
      <c r="AP844" s="101"/>
    </row>
    <row r="845" spans="1:42">
      <c r="A845" s="2"/>
      <c r="AP845" s="101"/>
    </row>
    <row r="846" spans="1:42">
      <c r="A846" s="2"/>
      <c r="AP846" s="101"/>
    </row>
    <row r="847" spans="1:42">
      <c r="A847" s="2"/>
      <c r="AP847" s="101"/>
    </row>
    <row r="848" spans="1:42">
      <c r="A848" s="2"/>
      <c r="AP848" s="101"/>
    </row>
    <row r="849" spans="1:42">
      <c r="A849" s="2"/>
      <c r="AP849" s="101"/>
    </row>
    <row r="850" spans="1:42">
      <c r="A850" s="2"/>
      <c r="AP850" s="101"/>
    </row>
    <row r="851" spans="1:42">
      <c r="A851" s="2"/>
      <c r="AP851" s="101"/>
    </row>
    <row r="852" spans="1:42">
      <c r="A852" s="2"/>
      <c r="AP852" s="101"/>
    </row>
    <row r="853" spans="1:42">
      <c r="A853" s="2"/>
      <c r="AP853" s="101"/>
    </row>
    <row r="854" spans="1:42">
      <c r="A854" s="2"/>
      <c r="AP854" s="101"/>
    </row>
    <row r="855" spans="1:42">
      <c r="A855" s="2"/>
      <c r="AP855" s="101"/>
    </row>
    <row r="856" spans="1:42">
      <c r="A856" s="2"/>
      <c r="AP856" s="101"/>
    </row>
    <row r="857" spans="1:42">
      <c r="A857" s="2"/>
      <c r="AP857" s="101"/>
    </row>
    <row r="858" spans="1:42">
      <c r="A858" s="2"/>
      <c r="AP858" s="101"/>
    </row>
    <row r="859" spans="1:42">
      <c r="A859" s="2"/>
      <c r="AP859" s="101"/>
    </row>
    <row r="860" spans="1:42">
      <c r="A860" s="2"/>
      <c r="AP860" s="101"/>
    </row>
    <row r="861" spans="1:42">
      <c r="A861" s="2"/>
      <c r="AP861" s="101"/>
    </row>
    <row r="862" spans="1:42">
      <c r="A862" s="2"/>
      <c r="AP862" s="101"/>
    </row>
    <row r="863" spans="1:42">
      <c r="A863" s="2"/>
      <c r="AP863" s="101"/>
    </row>
    <row r="864" spans="1:42">
      <c r="A864" s="2"/>
      <c r="AP864" s="101"/>
    </row>
    <row r="865" spans="1:42">
      <c r="A865" s="2"/>
      <c r="AP865" s="101"/>
    </row>
    <row r="866" spans="1:42">
      <c r="A866" s="2"/>
      <c r="AP866" s="101"/>
    </row>
    <row r="867" spans="1:42">
      <c r="A867" s="2"/>
      <c r="AP867" s="101"/>
    </row>
    <row r="868" spans="1:42">
      <c r="A868" s="2"/>
      <c r="AP868" s="101"/>
    </row>
    <row r="869" spans="1:42">
      <c r="A869" s="2"/>
      <c r="AP869" s="101"/>
    </row>
    <row r="870" spans="1:42">
      <c r="A870" s="2"/>
      <c r="AP870" s="101"/>
    </row>
    <row r="871" spans="1:42">
      <c r="A871" s="2"/>
      <c r="AP871" s="101"/>
    </row>
    <row r="872" spans="1:42">
      <c r="A872" s="2"/>
      <c r="AP872" s="101"/>
    </row>
    <row r="873" spans="1:42">
      <c r="A873" s="2"/>
      <c r="AP873" s="101"/>
    </row>
    <row r="874" spans="1:42">
      <c r="A874" s="2"/>
      <c r="AP874" s="101"/>
    </row>
    <row r="875" spans="1:42">
      <c r="A875" s="2"/>
      <c r="AP875" s="101"/>
    </row>
    <row r="876" spans="1:42">
      <c r="A876" s="2"/>
      <c r="AP876" s="101"/>
    </row>
    <row r="877" spans="1:42">
      <c r="A877" s="2"/>
      <c r="AP877" s="101"/>
    </row>
    <row r="878" spans="1:42">
      <c r="A878" s="2"/>
      <c r="AP878" s="101"/>
    </row>
    <row r="879" spans="1:42">
      <c r="A879" s="2"/>
      <c r="AP879" s="101"/>
    </row>
    <row r="880" spans="1:42">
      <c r="A880" s="2"/>
      <c r="AP880" s="101"/>
    </row>
    <row r="881" spans="1:42">
      <c r="A881" s="2"/>
      <c r="AP881" s="101"/>
    </row>
    <row r="882" spans="1:42">
      <c r="A882" s="2"/>
      <c r="AP882" s="101"/>
    </row>
    <row r="883" spans="1:42">
      <c r="A883" s="2"/>
      <c r="AP883" s="101"/>
    </row>
    <row r="884" spans="1:42">
      <c r="A884" s="2"/>
      <c r="AP884" s="101"/>
    </row>
    <row r="885" spans="1:42">
      <c r="A885" s="2"/>
      <c r="AP885" s="101"/>
    </row>
    <row r="886" spans="1:42">
      <c r="A886" s="2"/>
      <c r="AP886" s="101"/>
    </row>
    <row r="887" spans="1:42">
      <c r="A887" s="2"/>
      <c r="AP887" s="101"/>
    </row>
    <row r="888" spans="1:42">
      <c r="A888" s="2"/>
      <c r="AP888" s="101"/>
    </row>
    <row r="889" spans="1:42">
      <c r="A889" s="2"/>
      <c r="AP889" s="101"/>
    </row>
    <row r="890" spans="1:42">
      <c r="A890" s="2"/>
      <c r="AP890" s="101"/>
    </row>
    <row r="891" spans="1:42">
      <c r="A891" s="2"/>
      <c r="AP891" s="101"/>
    </row>
    <row r="892" spans="1:42">
      <c r="A892" s="2"/>
      <c r="AP892" s="101"/>
    </row>
    <row r="893" spans="1:42">
      <c r="A893" s="2"/>
      <c r="AP893" s="101"/>
    </row>
    <row r="894" spans="1:42">
      <c r="A894" s="2"/>
      <c r="AP894" s="101"/>
    </row>
    <row r="895" spans="1:42">
      <c r="A895" s="2"/>
      <c r="AP895" s="101"/>
    </row>
    <row r="896" spans="1:42">
      <c r="A896" s="2"/>
      <c r="AP896" s="101"/>
    </row>
    <row r="897" spans="1:42">
      <c r="A897" s="2"/>
      <c r="AP897" s="101"/>
    </row>
    <row r="898" spans="1:42">
      <c r="A898" s="2"/>
      <c r="AP898" s="101"/>
    </row>
    <row r="899" spans="1:42">
      <c r="A899" s="2"/>
      <c r="AP899" s="101"/>
    </row>
    <row r="900" spans="1:42">
      <c r="A900" s="2"/>
      <c r="AP900" s="101"/>
    </row>
    <row r="901" spans="1:42">
      <c r="A901" s="2"/>
      <c r="AP901" s="101"/>
    </row>
    <row r="902" spans="1:42">
      <c r="A902" s="2"/>
      <c r="AP902" s="101"/>
    </row>
    <row r="903" spans="1:42">
      <c r="A903" s="2"/>
      <c r="AP903" s="101"/>
    </row>
    <row r="904" spans="1:42">
      <c r="A904" s="2"/>
      <c r="AP904" s="101"/>
    </row>
    <row r="905" spans="1:42">
      <c r="A905" s="2"/>
      <c r="AP905" s="101"/>
    </row>
    <row r="906" spans="1:42">
      <c r="A906" s="2"/>
      <c r="AP906" s="101"/>
    </row>
    <row r="907" spans="1:42">
      <c r="A907" s="2"/>
      <c r="AP907" s="101"/>
    </row>
    <row r="908" spans="1:42">
      <c r="A908" s="2"/>
      <c r="AP908" s="101"/>
    </row>
    <row r="909" spans="1:42">
      <c r="A909" s="2"/>
      <c r="AP909" s="101"/>
    </row>
    <row r="910" spans="1:42">
      <c r="A910" s="2"/>
      <c r="AP910" s="101"/>
    </row>
    <row r="911" spans="1:42">
      <c r="A911" s="2"/>
      <c r="AP911" s="101"/>
    </row>
    <row r="912" spans="1:42">
      <c r="A912" s="2"/>
      <c r="AP912" s="101"/>
    </row>
    <row r="913" spans="1:42">
      <c r="A913" s="2"/>
      <c r="AP913" s="101"/>
    </row>
    <row r="914" spans="1:42">
      <c r="A914" s="2"/>
      <c r="AP914" s="101"/>
    </row>
    <row r="915" spans="1:42">
      <c r="A915" s="2"/>
      <c r="AP915" s="101"/>
    </row>
    <row r="916" spans="1:42">
      <c r="A916" s="2"/>
      <c r="AP916" s="101"/>
    </row>
    <row r="917" spans="1:42">
      <c r="A917" s="2"/>
      <c r="AP917" s="101"/>
    </row>
    <row r="918" spans="1:42">
      <c r="A918" s="2"/>
      <c r="AP918" s="101"/>
    </row>
    <row r="919" spans="1:42">
      <c r="A919" s="2"/>
      <c r="AP919" s="101"/>
    </row>
    <row r="920" spans="1:42">
      <c r="A920" s="2"/>
      <c r="AP920" s="101"/>
    </row>
    <row r="921" spans="1:42">
      <c r="A921" s="2"/>
      <c r="AP921" s="101"/>
    </row>
    <row r="922" spans="1:42">
      <c r="A922" s="2"/>
      <c r="AP922" s="101"/>
    </row>
    <row r="923" spans="1:42">
      <c r="A923" s="2"/>
      <c r="AP923" s="101"/>
    </row>
    <row r="924" spans="1:42">
      <c r="A924" s="2"/>
      <c r="AP924" s="101"/>
    </row>
    <row r="925" spans="1:42">
      <c r="A925" s="2"/>
      <c r="AP925" s="101"/>
    </row>
    <row r="926" spans="1:42">
      <c r="A926" s="2"/>
      <c r="AP926" s="101"/>
    </row>
    <row r="927" spans="1:42">
      <c r="A927" s="2"/>
      <c r="AP927" s="101"/>
    </row>
    <row r="928" spans="1:42">
      <c r="A928" s="2"/>
      <c r="AP928" s="101"/>
    </row>
    <row r="929" spans="1:42">
      <c r="A929" s="2"/>
      <c r="AP929" s="101"/>
    </row>
    <row r="930" spans="1:42">
      <c r="A930" s="2"/>
      <c r="AP930" s="101"/>
    </row>
    <row r="931" spans="1:42">
      <c r="A931" s="2"/>
      <c r="AP931" s="101"/>
    </row>
    <row r="932" spans="1:42">
      <c r="A932" s="2"/>
      <c r="AP932" s="101"/>
    </row>
    <row r="933" spans="1:42">
      <c r="A933" s="2"/>
      <c r="AP933" s="101"/>
    </row>
    <row r="934" spans="1:42">
      <c r="A934" s="2"/>
      <c r="AP934" s="101"/>
    </row>
    <row r="935" spans="1:42">
      <c r="A935" s="2"/>
      <c r="AP935" s="101"/>
    </row>
    <row r="936" spans="1:42">
      <c r="A936" s="2"/>
      <c r="AP936" s="101"/>
    </row>
    <row r="937" spans="1:42">
      <c r="A937" s="2"/>
      <c r="AP937" s="101"/>
    </row>
    <row r="938" spans="1:42">
      <c r="A938" s="2"/>
      <c r="AP938" s="101"/>
    </row>
    <row r="939" spans="1:42">
      <c r="A939" s="2"/>
      <c r="AP939" s="101"/>
    </row>
    <row r="940" spans="1:42">
      <c r="A940" s="2"/>
      <c r="AP940" s="101"/>
    </row>
    <row r="941" spans="1:42">
      <c r="A941" s="2"/>
      <c r="AP941" s="101"/>
    </row>
    <row r="942" spans="1:42">
      <c r="A942" s="2"/>
      <c r="AP942" s="101"/>
    </row>
    <row r="943" spans="1:42">
      <c r="A943" s="2"/>
      <c r="AP943" s="101"/>
    </row>
    <row r="944" spans="1:42">
      <c r="A944" s="2"/>
      <c r="AP944" s="101"/>
    </row>
    <row r="945" spans="1:42">
      <c r="A945" s="2"/>
      <c r="AP945" s="101"/>
    </row>
    <row r="946" spans="1:42">
      <c r="A946" s="2"/>
      <c r="AP946" s="101"/>
    </row>
    <row r="947" spans="1:42">
      <c r="A947" s="2"/>
      <c r="AP947" s="101"/>
    </row>
    <row r="948" spans="1:42">
      <c r="A948" s="2"/>
      <c r="AP948" s="101"/>
    </row>
    <row r="949" spans="1:42">
      <c r="A949" s="2"/>
      <c r="AP949" s="101"/>
    </row>
    <row r="950" spans="1:42">
      <c r="A950" s="2"/>
      <c r="AP950" s="101"/>
    </row>
    <row r="951" spans="1:42">
      <c r="A951" s="2"/>
      <c r="AP951" s="101"/>
    </row>
    <row r="952" spans="1:42">
      <c r="A952" s="2"/>
      <c r="AP952" s="101"/>
    </row>
    <row r="953" spans="1:42">
      <c r="A953" s="2"/>
      <c r="AP953" s="101"/>
    </row>
    <row r="954" spans="1:42">
      <c r="A954" s="2"/>
      <c r="AP954" s="101"/>
    </row>
    <row r="955" spans="1:42">
      <c r="A955" s="2"/>
      <c r="AP955" s="101"/>
    </row>
    <row r="956" spans="1:42">
      <c r="A956" s="2"/>
      <c r="AP956" s="101"/>
    </row>
    <row r="957" spans="1:42">
      <c r="A957" s="2"/>
      <c r="AP957" s="101"/>
    </row>
    <row r="958" spans="1:42">
      <c r="A958" s="2"/>
      <c r="AP958" s="101"/>
    </row>
    <row r="959" spans="1:42">
      <c r="A959" s="2"/>
      <c r="AP959" s="101"/>
    </row>
    <row r="960" spans="1:42">
      <c r="A960" s="2"/>
      <c r="AP960" s="101"/>
    </row>
    <row r="961" spans="1:42">
      <c r="A961" s="2"/>
      <c r="AP961" s="101"/>
    </row>
    <row r="962" spans="1:42">
      <c r="A962" s="2"/>
      <c r="AP962" s="101"/>
    </row>
    <row r="963" spans="1:42">
      <c r="A963" s="2"/>
      <c r="AP963" s="101"/>
    </row>
    <row r="964" spans="1:42">
      <c r="A964" s="2"/>
      <c r="AP964" s="101"/>
    </row>
    <row r="965" spans="1:42">
      <c r="A965" s="2"/>
      <c r="AP965" s="101"/>
    </row>
    <row r="966" spans="1:42">
      <c r="A966" s="2"/>
      <c r="AP966" s="101"/>
    </row>
    <row r="967" spans="1:42">
      <c r="A967" s="2"/>
      <c r="AP967" s="101"/>
    </row>
    <row r="968" spans="1:42">
      <c r="A968" s="2"/>
      <c r="AP968" s="101"/>
    </row>
    <row r="969" spans="1:42">
      <c r="A969" s="2"/>
      <c r="AP969" s="101"/>
    </row>
    <row r="970" spans="1:42">
      <c r="A970" s="2"/>
      <c r="AP970" s="101"/>
    </row>
    <row r="971" spans="1:42">
      <c r="A971" s="2"/>
      <c r="AP971" s="101"/>
    </row>
    <row r="972" spans="1:42">
      <c r="A972" s="2"/>
      <c r="AP972" s="101"/>
    </row>
    <row r="973" spans="1:42">
      <c r="A973" s="2"/>
      <c r="AP973" s="101"/>
    </row>
    <row r="974" spans="1:42">
      <c r="A974" s="2"/>
      <c r="AP974" s="101"/>
    </row>
    <row r="975" spans="1:42">
      <c r="A975" s="2"/>
      <c r="AP975" s="101"/>
    </row>
    <row r="976" spans="1:42">
      <c r="A976" s="2"/>
      <c r="AP976" s="101"/>
    </row>
    <row r="977" spans="1:42">
      <c r="A977" s="2"/>
      <c r="AP977" s="101"/>
    </row>
    <row r="978" spans="1:42">
      <c r="A978" s="2"/>
      <c r="AP978" s="101"/>
    </row>
    <row r="979" spans="1:42">
      <c r="A979" s="2"/>
      <c r="AP979" s="101"/>
    </row>
    <row r="980" spans="1:42">
      <c r="A980" s="2"/>
      <c r="AP980" s="101"/>
    </row>
    <row r="981" spans="1:42">
      <c r="A981" s="2"/>
      <c r="AP981" s="101"/>
    </row>
    <row r="982" spans="1:42">
      <c r="A982" s="2"/>
      <c r="AP982" s="101"/>
    </row>
    <row r="983" spans="1:42">
      <c r="A983" s="2"/>
      <c r="AP983" s="101"/>
    </row>
    <row r="984" spans="1:42">
      <c r="A984" s="2"/>
      <c r="AP984" s="101"/>
    </row>
    <row r="985" spans="1:42">
      <c r="A985" s="2"/>
      <c r="AP985" s="101"/>
    </row>
    <row r="986" spans="1:42">
      <c r="A986" s="2"/>
      <c r="AP986" s="101"/>
    </row>
    <row r="987" spans="1:42">
      <c r="A987" s="2"/>
      <c r="AP987" s="101"/>
    </row>
    <row r="988" spans="1:42">
      <c r="A988" s="2"/>
      <c r="AP988" s="101"/>
    </row>
    <row r="989" spans="1:42">
      <c r="A989" s="2"/>
      <c r="AP989" s="101"/>
    </row>
    <row r="990" spans="1:42">
      <c r="A990" s="2"/>
      <c r="AP990" s="101"/>
    </row>
    <row r="991" spans="1:42">
      <c r="A991" s="2"/>
      <c r="AP991" s="101"/>
    </row>
    <row r="992" spans="1:42">
      <c r="A992" s="2"/>
      <c r="AP992" s="101"/>
    </row>
    <row r="993" spans="1:42">
      <c r="A993" s="2"/>
      <c r="AP993" s="101"/>
    </row>
    <row r="994" spans="1:42">
      <c r="A994" s="2"/>
      <c r="AP994" s="101"/>
    </row>
    <row r="995" spans="1:42">
      <c r="A995" s="2"/>
      <c r="AP995" s="101"/>
    </row>
    <row r="996" spans="1:42">
      <c r="A996" s="2"/>
      <c r="AP996" s="101"/>
    </row>
    <row r="997" spans="1:42">
      <c r="A997" s="2"/>
      <c r="AP997" s="101"/>
    </row>
    <row r="998" spans="1:42">
      <c r="A998" s="2"/>
      <c r="AP998" s="101"/>
    </row>
    <row r="999" spans="1:42">
      <c r="A999" s="2"/>
      <c r="AP999" s="101"/>
    </row>
    <row r="1000" spans="1:42">
      <c r="A1000" s="2"/>
      <c r="AP1000" s="101"/>
    </row>
    <row r="1001" spans="1:42">
      <c r="A1001" s="2"/>
      <c r="AP1001" s="101"/>
    </row>
    <row r="1002" spans="1:42">
      <c r="A1002" s="2"/>
      <c r="AP1002" s="101"/>
    </row>
    <row r="1003" spans="1:42">
      <c r="A1003" s="2"/>
      <c r="AP1003" s="101"/>
    </row>
    <row r="1004" spans="1:42">
      <c r="A1004" s="2"/>
      <c r="AP1004" s="101"/>
    </row>
    <row r="1005" spans="1:42">
      <c r="A1005" s="2"/>
      <c r="AP1005" s="101"/>
    </row>
    <row r="1006" spans="1:42">
      <c r="A1006" s="2"/>
      <c r="AP1006" s="101"/>
    </row>
    <row r="1007" spans="1:42">
      <c r="A1007" s="2"/>
      <c r="AP1007" s="101"/>
    </row>
    <row r="1008" spans="1:42">
      <c r="A1008" s="2"/>
      <c r="AP1008" s="101"/>
    </row>
    <row r="1009" spans="1:42">
      <c r="A1009" s="2"/>
      <c r="AP1009" s="101"/>
    </row>
    <row r="1010" spans="1:42">
      <c r="A1010" s="2"/>
      <c r="AP1010" s="101"/>
    </row>
    <row r="1011" spans="1:42">
      <c r="A1011" s="2"/>
      <c r="AP1011" s="101"/>
    </row>
    <row r="1012" spans="1:42">
      <c r="A1012" s="2"/>
      <c r="AP1012" s="101"/>
    </row>
    <row r="1013" spans="1:42">
      <c r="A1013" s="2"/>
      <c r="AP1013" s="101"/>
    </row>
    <row r="1014" spans="1:42">
      <c r="A1014" s="2"/>
      <c r="AP1014" s="101"/>
    </row>
    <row r="1015" spans="1:42">
      <c r="A1015" s="2"/>
      <c r="AP1015" s="101"/>
    </row>
    <row r="1016" spans="1:42">
      <c r="A1016" s="2"/>
      <c r="AP1016" s="101"/>
    </row>
    <row r="1017" spans="1:42">
      <c r="A1017" s="2"/>
      <c r="AP1017" s="101"/>
    </row>
    <row r="1018" spans="1:42">
      <c r="A1018" s="2"/>
      <c r="AP1018" s="101"/>
    </row>
    <row r="1019" spans="1:42">
      <c r="A1019" s="2"/>
      <c r="AP1019" s="101"/>
    </row>
    <row r="1020" spans="1:42">
      <c r="A1020" s="2"/>
      <c r="AP1020" s="101"/>
    </row>
    <row r="1021" spans="1:42">
      <c r="A1021" s="2"/>
      <c r="AP1021" s="101"/>
    </row>
    <row r="1022" spans="1:42">
      <c r="A1022" s="2"/>
      <c r="AP1022" s="101"/>
    </row>
    <row r="1023" spans="1:42">
      <c r="A1023" s="2"/>
      <c r="AP1023" s="101"/>
    </row>
    <row r="1024" spans="1:42">
      <c r="A1024" s="2"/>
      <c r="AP1024" s="101"/>
    </row>
    <row r="1025" spans="1:42">
      <c r="A1025" s="2"/>
      <c r="AP1025" s="101"/>
    </row>
    <row r="1026" spans="1:42">
      <c r="A1026" s="2"/>
      <c r="AP1026" s="101"/>
    </row>
    <row r="1027" spans="1:42">
      <c r="A1027" s="2"/>
      <c r="AP1027" s="101"/>
    </row>
    <row r="1028" spans="1:42">
      <c r="A1028" s="2"/>
      <c r="AP1028" s="101"/>
    </row>
    <row r="1029" spans="1:42">
      <c r="A1029" s="2"/>
      <c r="AP1029" s="101"/>
    </row>
    <row r="1030" spans="1:42">
      <c r="A1030" s="2"/>
      <c r="AP1030" s="101"/>
    </row>
    <row r="1031" spans="1:42">
      <c r="A1031" s="2"/>
      <c r="AP1031" s="101"/>
    </row>
    <row r="1032" spans="1:42">
      <c r="A1032" s="2"/>
      <c r="AP1032" s="101"/>
    </row>
    <row r="1033" spans="1:42">
      <c r="A1033" s="2"/>
      <c r="AP1033" s="101"/>
    </row>
    <row r="1034" spans="1:42">
      <c r="A1034" s="2"/>
      <c r="AP1034" s="101"/>
    </row>
    <row r="1035" spans="1:42">
      <c r="A1035" s="2"/>
      <c r="AP1035" s="101"/>
    </row>
    <row r="1036" spans="1:42">
      <c r="A1036" s="2"/>
      <c r="AP1036" s="101"/>
    </row>
    <row r="1037" spans="1:42">
      <c r="A1037" s="2"/>
      <c r="AP1037" s="101"/>
    </row>
    <row r="1038" spans="1:42">
      <c r="A1038" s="2"/>
      <c r="AP1038" s="101"/>
    </row>
    <row r="1039" spans="1:42">
      <c r="A1039" s="2"/>
      <c r="AP1039" s="101"/>
    </row>
    <row r="1040" spans="1:42">
      <c r="A1040" s="2"/>
      <c r="AP1040" s="101"/>
    </row>
    <row r="1041" spans="42:42">
      <c r="AP1041" s="101"/>
    </row>
    <row r="1042" spans="42:42">
      <c r="AP1042" s="101"/>
    </row>
    <row r="1043" spans="42:42">
      <c r="AP1043" s="101"/>
    </row>
    <row r="1044" spans="42:42">
      <c r="AP1044" s="101"/>
    </row>
  </sheetData>
  <sortState xmlns:xlrd2="http://schemas.microsoft.com/office/spreadsheetml/2017/richdata2" columnSort="1" ref="C1:AP92">
    <sortCondition ref="C3:AP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S1044"/>
  <sheetViews>
    <sheetView zoomScale="87" workbookViewId="0">
      <pane xSplit="2" ySplit="2" topLeftCell="H80" activePane="bottomRight" state="frozen"/>
      <selection pane="topRight" activeCell="C1" sqref="C1"/>
      <selection pane="bottomLeft" activeCell="A3" sqref="A3"/>
      <selection pane="bottomRight" activeCell="Q34" sqref="Q34"/>
    </sheetView>
  </sheetViews>
  <sheetFormatPr defaultColWidth="12.6640625" defaultRowHeight="15.75" customHeight="1"/>
  <cols>
    <col min="1" max="1" width="19.88671875" customWidth="1"/>
    <col min="2" max="2" width="56.44140625" customWidth="1"/>
  </cols>
  <sheetData>
    <row r="1" spans="1:45">
      <c r="A1" s="1" t="s">
        <v>0</v>
      </c>
      <c r="B1" s="79" t="s">
        <v>5</v>
      </c>
      <c r="C1" s="67">
        <v>21</v>
      </c>
      <c r="D1" s="67">
        <v>39</v>
      </c>
      <c r="E1" s="67">
        <v>11</v>
      </c>
      <c r="F1" s="67">
        <v>12</v>
      </c>
      <c r="G1" s="67">
        <v>13</v>
      </c>
      <c r="H1" s="67">
        <v>2</v>
      </c>
      <c r="I1" s="67">
        <v>9</v>
      </c>
      <c r="J1" s="67">
        <v>14</v>
      </c>
      <c r="K1" s="67">
        <v>23</v>
      </c>
      <c r="L1" s="78">
        <v>1</v>
      </c>
      <c r="M1" s="78">
        <v>22</v>
      </c>
      <c r="N1" s="130">
        <v>33</v>
      </c>
      <c r="O1" s="67" t="s">
        <v>2</v>
      </c>
      <c r="P1" s="67" t="s">
        <v>3</v>
      </c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59"/>
      <c r="AS1" s="67"/>
    </row>
    <row r="2" spans="1:45">
      <c r="A2" s="5" t="s">
        <v>4</v>
      </c>
      <c r="B2" s="5" t="s">
        <v>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31"/>
      <c r="O2" s="5"/>
      <c r="P2" s="5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59"/>
      <c r="AS2" s="5"/>
    </row>
    <row r="3" spans="1:45">
      <c r="A3" s="5"/>
      <c r="B3" s="5" t="s">
        <v>74</v>
      </c>
      <c r="C3" s="5">
        <v>3</v>
      </c>
      <c r="D3" s="5">
        <v>3</v>
      </c>
      <c r="E3" s="5">
        <v>4</v>
      </c>
      <c r="F3" s="5">
        <v>4</v>
      </c>
      <c r="G3" s="5">
        <v>4</v>
      </c>
      <c r="H3" s="5">
        <v>6</v>
      </c>
      <c r="I3" s="5">
        <v>6</v>
      </c>
      <c r="J3" s="5">
        <v>6</v>
      </c>
      <c r="K3" s="5">
        <v>7</v>
      </c>
      <c r="L3" s="5">
        <v>8</v>
      </c>
      <c r="M3" s="5">
        <v>8</v>
      </c>
      <c r="N3" s="131">
        <v>8</v>
      </c>
      <c r="O3" s="5"/>
      <c r="P3" s="5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59"/>
      <c r="AS3" s="5"/>
    </row>
    <row r="4" spans="1:45">
      <c r="A4" s="5"/>
      <c r="B4" s="5" t="s">
        <v>8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10</v>
      </c>
      <c r="H4" s="5" t="s">
        <v>10</v>
      </c>
      <c r="I4" s="5" t="s">
        <v>9</v>
      </c>
      <c r="J4" s="5" t="s">
        <v>10</v>
      </c>
      <c r="K4" s="5" t="s">
        <v>10</v>
      </c>
      <c r="L4" s="5" t="s">
        <v>9</v>
      </c>
      <c r="M4" s="5" t="s">
        <v>9</v>
      </c>
      <c r="N4" s="131" t="s">
        <v>10</v>
      </c>
      <c r="O4" s="5"/>
      <c r="P4" s="5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59"/>
      <c r="AS4" s="5"/>
    </row>
    <row r="5" spans="1:45">
      <c r="A5" s="5"/>
      <c r="B5" s="5" t="s">
        <v>11</v>
      </c>
      <c r="C5" s="5"/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  <c r="M5" s="5"/>
      <c r="N5" s="131" t="s">
        <v>12</v>
      </c>
      <c r="O5" s="5"/>
      <c r="P5" s="5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59"/>
      <c r="AS5" s="5"/>
    </row>
    <row r="6" spans="1:45">
      <c r="A6" s="5"/>
      <c r="B6" s="5" t="s">
        <v>76</v>
      </c>
      <c r="C6" s="5" t="s">
        <v>59</v>
      </c>
      <c r="D6" s="5" t="s">
        <v>59</v>
      </c>
      <c r="E6" s="5" t="s">
        <v>59</v>
      </c>
      <c r="F6" s="5" t="s">
        <v>59</v>
      </c>
      <c r="G6" s="5" t="s">
        <v>59</v>
      </c>
      <c r="H6" s="5" t="s">
        <v>59</v>
      </c>
      <c r="I6" s="5" t="s">
        <v>59</v>
      </c>
      <c r="J6" s="5" t="s">
        <v>59</v>
      </c>
      <c r="K6" s="5" t="s">
        <v>59</v>
      </c>
      <c r="L6" s="5" t="s">
        <v>59</v>
      </c>
      <c r="M6" s="5" t="s">
        <v>59</v>
      </c>
      <c r="N6" s="132"/>
      <c r="O6" s="5"/>
      <c r="P6" s="5"/>
      <c r="R6" s="160"/>
      <c r="S6" s="160"/>
      <c r="T6" s="160"/>
      <c r="U6" s="161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1"/>
      <c r="AM6" s="160"/>
      <c r="AN6" s="160"/>
      <c r="AO6" s="160"/>
      <c r="AP6" s="160"/>
      <c r="AQ6" s="159"/>
      <c r="AS6" s="5"/>
    </row>
    <row r="7" spans="1:45">
      <c r="A7" s="5"/>
      <c r="B7" s="82" t="s">
        <v>80</v>
      </c>
      <c r="C7" s="7"/>
      <c r="D7" s="5" t="s">
        <v>81</v>
      </c>
      <c r="E7" s="5" t="s">
        <v>81</v>
      </c>
      <c r="F7" s="5" t="s">
        <v>81</v>
      </c>
      <c r="G7" s="5" t="s">
        <v>81</v>
      </c>
      <c r="H7" s="5" t="s">
        <v>81</v>
      </c>
      <c r="I7" s="5" t="s">
        <v>81</v>
      </c>
      <c r="J7" s="5" t="s">
        <v>81</v>
      </c>
      <c r="K7" s="7"/>
      <c r="L7" s="5" t="s">
        <v>81</v>
      </c>
      <c r="M7" s="7"/>
      <c r="N7" s="131" t="s">
        <v>81</v>
      </c>
      <c r="O7" s="7"/>
      <c r="P7" s="7"/>
      <c r="R7" s="160"/>
      <c r="S7" s="161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1"/>
      <c r="AG7" s="160"/>
      <c r="AH7" s="160"/>
      <c r="AI7" s="161"/>
      <c r="AJ7" s="161"/>
      <c r="AK7" s="160"/>
      <c r="AL7" s="160"/>
      <c r="AM7" s="160"/>
      <c r="AN7" s="160"/>
      <c r="AO7" s="160"/>
      <c r="AP7" s="160"/>
      <c r="AQ7" s="159"/>
      <c r="AS7" s="7"/>
    </row>
    <row r="8" spans="1:45">
      <c r="A8" s="5"/>
      <c r="B8" s="82" t="s">
        <v>85</v>
      </c>
      <c r="C8" s="7"/>
      <c r="D8" s="5" t="s">
        <v>81</v>
      </c>
      <c r="E8" s="5" t="s">
        <v>81</v>
      </c>
      <c r="F8" s="5" t="s">
        <v>81</v>
      </c>
      <c r="G8" s="5" t="s">
        <v>81</v>
      </c>
      <c r="H8" s="5" t="s">
        <v>81</v>
      </c>
      <c r="I8" s="5" t="s">
        <v>81</v>
      </c>
      <c r="J8" s="5" t="s">
        <v>81</v>
      </c>
      <c r="K8" s="7"/>
      <c r="L8" s="5" t="s">
        <v>81</v>
      </c>
      <c r="M8" s="7"/>
      <c r="N8" s="131" t="s">
        <v>81</v>
      </c>
      <c r="O8" s="7"/>
      <c r="P8" s="7"/>
      <c r="R8" s="160"/>
      <c r="S8" s="161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1"/>
      <c r="AG8" s="160"/>
      <c r="AH8" s="160"/>
      <c r="AI8" s="161"/>
      <c r="AJ8" s="161"/>
      <c r="AK8" s="160"/>
      <c r="AL8" s="160"/>
      <c r="AM8" s="160"/>
      <c r="AN8" s="160"/>
      <c r="AO8" s="160"/>
      <c r="AP8" s="160"/>
      <c r="AQ8" s="159"/>
      <c r="AS8" s="7"/>
    </row>
    <row r="9" spans="1:45">
      <c r="A9" s="8" t="s">
        <v>87</v>
      </c>
      <c r="B9" s="83" t="s">
        <v>19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33"/>
      <c r="O9" s="9"/>
      <c r="P9" s="9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59"/>
      <c r="AS9" s="9"/>
    </row>
    <row r="10" spans="1:45">
      <c r="A10" s="8" t="s">
        <v>88</v>
      </c>
      <c r="B10" s="11" t="s">
        <v>89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3"/>
      <c r="O10" s="9"/>
      <c r="P10" s="9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59"/>
      <c r="AS10" s="9"/>
    </row>
    <row r="11" spans="1:45">
      <c r="A11" s="8"/>
      <c r="B11" s="12" t="s">
        <v>23</v>
      </c>
      <c r="C11" s="11">
        <v>1</v>
      </c>
      <c r="D11" s="11">
        <v>1</v>
      </c>
      <c r="E11" s="11">
        <v>1</v>
      </c>
      <c r="F11" s="11">
        <v>1</v>
      </c>
      <c r="G11" s="11">
        <v>1</v>
      </c>
      <c r="H11" s="11">
        <v>2.5</v>
      </c>
      <c r="I11" s="11">
        <v>2</v>
      </c>
      <c r="J11" s="11">
        <v>1</v>
      </c>
      <c r="K11" s="11">
        <v>1</v>
      </c>
      <c r="L11" s="75">
        <v>1</v>
      </c>
      <c r="M11" s="75">
        <v>1.5</v>
      </c>
      <c r="N11" s="134">
        <v>1.3</v>
      </c>
      <c r="O11" s="11" cm="1">
        <f t="array" ref="O11">SUM(15-ROUND(C11:N11,0))</f>
        <v>164</v>
      </c>
      <c r="P11" s="11">
        <f>0.61*(O11/COLUMNS(C11:N11))</f>
        <v>8.336666666666666</v>
      </c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59"/>
      <c r="AS11" s="11"/>
    </row>
    <row r="12" spans="1:45">
      <c r="A12" s="8"/>
      <c r="B12" s="12" t="s">
        <v>24</v>
      </c>
      <c r="C12" s="11">
        <v>3</v>
      </c>
      <c r="D12" s="11">
        <v>0.75</v>
      </c>
      <c r="E12" s="11">
        <v>2</v>
      </c>
      <c r="F12" s="11">
        <v>2</v>
      </c>
      <c r="G12" s="11">
        <v>2</v>
      </c>
      <c r="H12" s="11">
        <v>2.5</v>
      </c>
      <c r="I12" s="11">
        <v>6</v>
      </c>
      <c r="J12" s="11">
        <v>2</v>
      </c>
      <c r="K12" s="11">
        <v>2</v>
      </c>
      <c r="L12" s="75">
        <v>3</v>
      </c>
      <c r="M12" s="75">
        <v>4</v>
      </c>
      <c r="N12" s="134">
        <v>1.5</v>
      </c>
      <c r="O12" s="11" cm="1">
        <f t="array" ref="O12">SUM(15-ROUND(C12:N12,0))</f>
        <v>148</v>
      </c>
      <c r="P12" s="11">
        <f>0.61*(O12/COLUMNS(C12:N12))</f>
        <v>7.5233333333333334</v>
      </c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59"/>
      <c r="AS12" s="11"/>
    </row>
    <row r="13" spans="1:45">
      <c r="A13" s="8" t="s">
        <v>88</v>
      </c>
      <c r="B13" s="11" t="s">
        <v>90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33"/>
      <c r="O13" s="11"/>
      <c r="P13" s="1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59"/>
      <c r="AS13" s="9"/>
    </row>
    <row r="14" spans="1:45">
      <c r="A14" s="8"/>
      <c r="B14" s="12" t="s">
        <v>23</v>
      </c>
      <c r="C14" s="11">
        <v>2</v>
      </c>
      <c r="D14" s="11">
        <v>2</v>
      </c>
      <c r="E14" s="11">
        <v>1</v>
      </c>
      <c r="F14" s="11">
        <v>1</v>
      </c>
      <c r="G14" s="11">
        <v>1</v>
      </c>
      <c r="H14" s="11">
        <v>3</v>
      </c>
      <c r="I14" s="11">
        <v>5</v>
      </c>
      <c r="J14" s="11">
        <v>1</v>
      </c>
      <c r="K14" s="11">
        <v>3</v>
      </c>
      <c r="L14" s="75">
        <v>3</v>
      </c>
      <c r="M14" s="75">
        <v>2</v>
      </c>
      <c r="N14" s="134">
        <v>3</v>
      </c>
      <c r="O14" s="11" cm="1">
        <f t="array" ref="O14">SUM(15-ROUND(C14:N14,0))</f>
        <v>153</v>
      </c>
      <c r="P14" s="11">
        <f>0.61*(O14/COLUMNS(C14:N14))</f>
        <v>7.7774999999999999</v>
      </c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59"/>
      <c r="AS14" s="11"/>
    </row>
    <row r="15" spans="1:45">
      <c r="A15" s="8"/>
      <c r="B15" s="12" t="s">
        <v>24</v>
      </c>
      <c r="C15" s="11"/>
      <c r="D15" s="11">
        <v>2</v>
      </c>
      <c r="E15" s="11">
        <v>2</v>
      </c>
      <c r="F15" s="11">
        <v>2</v>
      </c>
      <c r="G15" s="11">
        <v>2</v>
      </c>
      <c r="H15" s="11">
        <v>3</v>
      </c>
      <c r="I15" s="11">
        <v>6</v>
      </c>
      <c r="J15" s="11">
        <v>2</v>
      </c>
      <c r="K15" s="11">
        <v>4</v>
      </c>
      <c r="L15" s="75">
        <v>3</v>
      </c>
      <c r="M15" s="75">
        <v>8</v>
      </c>
      <c r="N15" s="134">
        <v>3</v>
      </c>
      <c r="O15" s="11" cm="1">
        <f t="array" ref="O15">SUM(15-ROUND(C15:N15,0))</f>
        <v>143</v>
      </c>
      <c r="P15" s="11">
        <f>0.61*(O15/COLUMNS(C15:N15))</f>
        <v>7.2691666666666661</v>
      </c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59"/>
      <c r="AS15" s="11"/>
    </row>
    <row r="16" spans="1:45">
      <c r="A16" s="8" t="s">
        <v>26</v>
      </c>
      <c r="B16" s="11" t="s">
        <v>91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33"/>
      <c r="O16" s="9"/>
      <c r="P16" s="1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59"/>
      <c r="AS16" s="9"/>
    </row>
    <row r="17" spans="1:45">
      <c r="A17" s="8"/>
      <c r="B17" s="12" t="s">
        <v>23</v>
      </c>
      <c r="C17" s="11">
        <v>3</v>
      </c>
      <c r="D17" s="11">
        <v>3</v>
      </c>
      <c r="E17" s="11">
        <v>4</v>
      </c>
      <c r="F17" s="11">
        <v>4</v>
      </c>
      <c r="G17" s="11">
        <v>4</v>
      </c>
      <c r="H17" s="11">
        <v>6</v>
      </c>
      <c r="I17" s="11">
        <v>6</v>
      </c>
      <c r="J17" s="11">
        <v>6</v>
      </c>
      <c r="K17" s="11">
        <v>7</v>
      </c>
      <c r="L17" s="75">
        <v>8</v>
      </c>
      <c r="M17" s="75">
        <v>8</v>
      </c>
      <c r="N17" s="134">
        <v>8</v>
      </c>
      <c r="O17" s="11">
        <f>SUM(C17:N17,0)</f>
        <v>67</v>
      </c>
      <c r="P17" s="11">
        <f>0.61*(O17/COLUMNS(C17:N17))</f>
        <v>3.4058333333333333</v>
      </c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59"/>
      <c r="AS17" s="11"/>
    </row>
    <row r="18" spans="1:45">
      <c r="A18" s="8"/>
      <c r="B18" s="12" t="s">
        <v>24</v>
      </c>
      <c r="C18" s="11">
        <v>3</v>
      </c>
      <c r="D18" s="11">
        <v>3</v>
      </c>
      <c r="E18" s="11">
        <v>4</v>
      </c>
      <c r="F18" s="11">
        <v>4</v>
      </c>
      <c r="G18" s="11">
        <v>4</v>
      </c>
      <c r="H18" s="11">
        <v>6</v>
      </c>
      <c r="I18" s="11">
        <v>6</v>
      </c>
      <c r="J18" s="11">
        <v>6</v>
      </c>
      <c r="K18" s="11">
        <v>7</v>
      </c>
      <c r="L18" s="75">
        <v>8</v>
      </c>
      <c r="M18" s="75">
        <v>8</v>
      </c>
      <c r="N18" s="134">
        <v>8</v>
      </c>
      <c r="O18" s="11">
        <f>SUM(C18:N18,0)</f>
        <v>67</v>
      </c>
      <c r="P18" s="11">
        <f>0.61*(O18/COLUMNS(C18:N18))</f>
        <v>3.4058333333333333</v>
      </c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59"/>
      <c r="AS18" s="11"/>
    </row>
    <row r="19" spans="1:45">
      <c r="A19" s="8" t="s">
        <v>26</v>
      </c>
      <c r="B19" s="11" t="s">
        <v>92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33"/>
      <c r="O19" s="75">
        <f>SUM(C19:N19,0)</f>
        <v>0</v>
      </c>
      <c r="P19" s="11">
        <f>0.61*(O19/COLUMNS(C19:AP19))</f>
        <v>0</v>
      </c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59"/>
      <c r="AS19" s="9"/>
    </row>
    <row r="20" spans="1:45">
      <c r="A20" s="8"/>
      <c r="B20" s="12" t="s">
        <v>23</v>
      </c>
      <c r="C20" s="75">
        <v>2</v>
      </c>
      <c r="D20" s="9"/>
      <c r="E20" s="9"/>
      <c r="F20" s="9"/>
      <c r="G20" s="9"/>
      <c r="H20" s="9"/>
      <c r="I20" s="9"/>
      <c r="J20" s="9"/>
      <c r="K20" s="75">
        <v>1</v>
      </c>
      <c r="L20" s="9"/>
      <c r="M20" s="75"/>
      <c r="N20" s="133"/>
      <c r="O20" s="75">
        <f>SUM(C20:N20,0)</f>
        <v>3</v>
      </c>
      <c r="P20" s="11">
        <f>0.61*(O20/COLUMNS(C20:N20))</f>
        <v>0.1525</v>
      </c>
      <c r="R20" s="161"/>
      <c r="S20" s="160"/>
      <c r="T20" s="160"/>
      <c r="U20" s="161"/>
      <c r="V20" s="160"/>
      <c r="W20" s="161"/>
      <c r="X20" s="161"/>
      <c r="Y20" s="160"/>
      <c r="Z20" s="160"/>
      <c r="AA20" s="160"/>
      <c r="AB20" s="160"/>
      <c r="AC20" s="161"/>
      <c r="AD20" s="161"/>
      <c r="AE20" s="160"/>
      <c r="AF20" s="160"/>
      <c r="AG20" s="161"/>
      <c r="AH20" s="161"/>
      <c r="AI20" s="161"/>
      <c r="AJ20" s="160"/>
      <c r="AK20" s="160"/>
      <c r="AL20" s="160"/>
      <c r="AM20" s="160"/>
      <c r="AN20" s="160"/>
      <c r="AO20" s="160"/>
      <c r="AP20" s="161"/>
      <c r="AQ20" s="159"/>
      <c r="AS20" s="11"/>
    </row>
    <row r="21" spans="1:45">
      <c r="A21" s="8"/>
      <c r="B21" s="12" t="s">
        <v>24</v>
      </c>
      <c r="C21" s="75">
        <v>1</v>
      </c>
      <c r="D21" s="9"/>
      <c r="E21" s="9"/>
      <c r="F21" s="9"/>
      <c r="G21" s="9"/>
      <c r="H21" s="9"/>
      <c r="I21" s="9"/>
      <c r="J21" s="9"/>
      <c r="K21" s="75">
        <v>1</v>
      </c>
      <c r="L21" s="9"/>
      <c r="M21" s="9"/>
      <c r="N21" s="133"/>
      <c r="O21" s="75">
        <f>SUM(C21:N21,0)</f>
        <v>2</v>
      </c>
      <c r="P21" s="75">
        <f>0.61*(O21/COLUMNS(C21:N21))</f>
        <v>0.10166666666666666</v>
      </c>
      <c r="R21" s="160"/>
      <c r="S21" s="160"/>
      <c r="T21" s="160"/>
      <c r="U21" s="161"/>
      <c r="V21" s="160"/>
      <c r="W21" s="161"/>
      <c r="X21" s="161"/>
      <c r="Y21" s="160"/>
      <c r="Z21" s="160"/>
      <c r="AA21" s="160"/>
      <c r="AB21" s="160"/>
      <c r="AC21" s="161"/>
      <c r="AD21" s="160"/>
      <c r="AE21" s="160"/>
      <c r="AF21" s="160"/>
      <c r="AG21" s="161"/>
      <c r="AH21" s="161"/>
      <c r="AI21" s="161"/>
      <c r="AJ21" s="160"/>
      <c r="AK21" s="160"/>
      <c r="AL21" s="160"/>
      <c r="AM21" s="160"/>
      <c r="AN21" s="160"/>
      <c r="AO21" s="160"/>
      <c r="AP21" s="161"/>
      <c r="AQ21" s="159"/>
      <c r="AS21" s="11"/>
    </row>
    <row r="22" spans="1:45">
      <c r="A22" s="8" t="s">
        <v>26</v>
      </c>
      <c r="B22" s="11" t="s">
        <v>93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33"/>
      <c r="O22" s="75">
        <f>SUM(C22:N22,0)</f>
        <v>0</v>
      </c>
      <c r="P22" s="75">
        <f>0.61*(O22/COLUMNS(C22:N22))</f>
        <v>0</v>
      </c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59"/>
      <c r="AS22" s="9"/>
    </row>
    <row r="23" spans="1:45">
      <c r="A23" s="8"/>
      <c r="B23" s="12" t="s">
        <v>23</v>
      </c>
      <c r="C23" s="11"/>
      <c r="D23" s="11">
        <v>1</v>
      </c>
      <c r="E23" s="11">
        <v>2</v>
      </c>
      <c r="F23" s="11">
        <v>2</v>
      </c>
      <c r="G23" s="11">
        <v>2</v>
      </c>
      <c r="H23" s="11">
        <v>5</v>
      </c>
      <c r="I23" s="11">
        <v>2</v>
      </c>
      <c r="J23" s="75">
        <v>4</v>
      </c>
      <c r="K23" s="11">
        <v>2</v>
      </c>
      <c r="L23" s="75">
        <v>4</v>
      </c>
      <c r="M23" s="75">
        <v>3</v>
      </c>
      <c r="N23" s="133"/>
      <c r="O23" s="75">
        <f>SUM(C23:N23,0)</f>
        <v>27</v>
      </c>
      <c r="P23" s="75">
        <f>0.61*(O23/COLUMNS(C23:N23))</f>
        <v>1.3725000000000001</v>
      </c>
      <c r="R23" s="160"/>
      <c r="S23" s="160"/>
      <c r="T23" s="160"/>
      <c r="U23" s="160"/>
      <c r="V23" s="160"/>
      <c r="W23" s="161"/>
      <c r="X23" s="160"/>
      <c r="Y23" s="160"/>
      <c r="Z23" s="160"/>
      <c r="AA23" s="160"/>
      <c r="AB23" s="160"/>
      <c r="AC23" s="161"/>
      <c r="AD23" s="161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59"/>
      <c r="AS23" s="11"/>
    </row>
    <row r="24" spans="1:45">
      <c r="A24" s="8"/>
      <c r="B24" s="12" t="s">
        <v>24</v>
      </c>
      <c r="C24" s="11"/>
      <c r="D24" s="11">
        <v>1</v>
      </c>
      <c r="E24" s="11">
        <v>2</v>
      </c>
      <c r="F24" s="11">
        <v>2</v>
      </c>
      <c r="G24" s="11">
        <v>2</v>
      </c>
      <c r="H24" s="11">
        <v>5</v>
      </c>
      <c r="I24" s="11">
        <v>2</v>
      </c>
      <c r="J24" s="75">
        <v>4</v>
      </c>
      <c r="K24" s="11">
        <v>2</v>
      </c>
      <c r="L24" s="75">
        <v>4</v>
      </c>
      <c r="M24" s="75">
        <v>3</v>
      </c>
      <c r="N24" s="134">
        <v>3</v>
      </c>
      <c r="O24" s="75">
        <f>SUM(C24:N24,0)</f>
        <v>30</v>
      </c>
      <c r="P24" s="75">
        <f>0.61*(O24/COLUMNS(C24:N24))</f>
        <v>1.5249999999999999</v>
      </c>
      <c r="R24" s="160"/>
      <c r="S24" s="160"/>
      <c r="T24" s="160"/>
      <c r="U24" s="160"/>
      <c r="V24" s="160"/>
      <c r="W24" s="161"/>
      <c r="X24" s="160"/>
      <c r="Y24" s="160"/>
      <c r="Z24" s="160"/>
      <c r="AA24" s="160"/>
      <c r="AB24" s="160"/>
      <c r="AC24" s="161"/>
      <c r="AD24" s="161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59"/>
      <c r="AS24" s="11"/>
    </row>
    <row r="25" spans="1:45">
      <c r="A25" s="8" t="s">
        <v>26</v>
      </c>
      <c r="B25" s="11" t="s">
        <v>94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33"/>
      <c r="O25" s="75">
        <f>SUM(C25:N25,0)</f>
        <v>0</v>
      </c>
      <c r="P25" s="75">
        <f>0.61*(O25/COLUMNS(C25:N25))</f>
        <v>0</v>
      </c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59"/>
      <c r="AS25" s="9"/>
    </row>
    <row r="26" spans="1:45">
      <c r="A26" s="8"/>
      <c r="B26" s="12" t="s">
        <v>23</v>
      </c>
      <c r="C26" s="9"/>
      <c r="D26" s="11"/>
      <c r="E26" s="9"/>
      <c r="F26" s="9"/>
      <c r="G26" s="9"/>
      <c r="H26" s="11"/>
      <c r="I26" s="11"/>
      <c r="J26" s="11">
        <v>1</v>
      </c>
      <c r="K26" s="11"/>
      <c r="L26" s="9"/>
      <c r="M26" s="75">
        <v>1</v>
      </c>
      <c r="N26" s="134">
        <v>2</v>
      </c>
      <c r="O26" s="75">
        <f>SUM(C26:N26,0)</f>
        <v>4</v>
      </c>
      <c r="P26" s="75">
        <f>0.61*(O26/COLUMNS(C26:N26))</f>
        <v>0.20333333333333331</v>
      </c>
      <c r="R26" s="160"/>
      <c r="S26" s="160"/>
      <c r="T26" s="160"/>
      <c r="U26" s="160"/>
      <c r="V26" s="160"/>
      <c r="W26" s="160"/>
      <c r="X26" s="161"/>
      <c r="Y26" s="160"/>
      <c r="Z26" s="160"/>
      <c r="AA26" s="160"/>
      <c r="AB26" s="160"/>
      <c r="AC26" s="160"/>
      <c r="AD26" s="160"/>
      <c r="AE26" s="160"/>
      <c r="AF26" s="160"/>
      <c r="AG26" s="161"/>
      <c r="AH26" s="160"/>
      <c r="AI26" s="160"/>
      <c r="AJ26" s="160"/>
      <c r="AK26" s="160"/>
      <c r="AL26" s="160"/>
      <c r="AM26" s="160"/>
      <c r="AN26" s="160"/>
      <c r="AO26" s="160"/>
      <c r="AP26" s="160"/>
      <c r="AQ26" s="159"/>
      <c r="AS26" s="11"/>
    </row>
    <row r="27" spans="1:45">
      <c r="A27" s="12"/>
      <c r="B27" s="12" t="s">
        <v>24</v>
      </c>
      <c r="C27" s="9"/>
      <c r="D27" s="11"/>
      <c r="E27" s="9"/>
      <c r="F27" s="9"/>
      <c r="G27" s="9"/>
      <c r="H27" s="11"/>
      <c r="I27" s="11"/>
      <c r="J27" s="11">
        <v>1</v>
      </c>
      <c r="K27" s="11"/>
      <c r="L27" s="75">
        <v>2</v>
      </c>
      <c r="M27" s="75">
        <v>1</v>
      </c>
      <c r="N27" s="134">
        <v>2</v>
      </c>
      <c r="O27" s="75">
        <f>SUM(C27:N27,0)</f>
        <v>6</v>
      </c>
      <c r="P27" s="75">
        <f>0.61*(O27/COLUMNS(C27:N27))</f>
        <v>0.30499999999999999</v>
      </c>
      <c r="R27" s="160"/>
      <c r="S27" s="160"/>
      <c r="T27" s="160"/>
      <c r="U27" s="160"/>
      <c r="V27" s="160"/>
      <c r="W27" s="160"/>
      <c r="X27" s="161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59"/>
      <c r="AS27" s="11"/>
    </row>
    <row r="28" spans="1:45">
      <c r="A28" s="14"/>
      <c r="B28" s="14" t="s">
        <v>32</v>
      </c>
      <c r="C28" s="15">
        <f t="shared" ref="C28:L28" si="0">0.61*((15-ROUND(C11,0))+(15-ROUND(C14,0))+C17+C20+C23+C26)</f>
        <v>19.52</v>
      </c>
      <c r="D28" s="15">
        <f t="shared" si="0"/>
        <v>18.91</v>
      </c>
      <c r="E28" s="15">
        <f t="shared" si="0"/>
        <v>20.74</v>
      </c>
      <c r="F28" s="15">
        <f t="shared" si="0"/>
        <v>20.74</v>
      </c>
      <c r="G28" s="15">
        <f t="shared" si="0"/>
        <v>20.74</v>
      </c>
      <c r="H28" s="15">
        <f t="shared" si="0"/>
        <v>21.349999999999998</v>
      </c>
      <c r="I28" s="15">
        <f t="shared" si="0"/>
        <v>18.91</v>
      </c>
      <c r="J28" s="15">
        <f t="shared" si="0"/>
        <v>23.79</v>
      </c>
      <c r="K28" s="15">
        <f t="shared" si="0"/>
        <v>21.96</v>
      </c>
      <c r="L28" s="15">
        <f t="shared" si="0"/>
        <v>23.18</v>
      </c>
      <c r="M28" s="15">
        <f>0.61*((15-ROUND(M11,0))+(15-ROUND(M14,0))+M17+M20+M23+M26)</f>
        <v>23.18</v>
      </c>
      <c r="N28" s="135">
        <f>0.61*((15-ROUND(N11,0))+(15-ROUND(N14,0))+N17+N20+N23+N26)</f>
        <v>21.96</v>
      </c>
      <c r="O28" s="15">
        <f>AVERAGE(C28:N28)</f>
        <v>21.248333333333335</v>
      </c>
      <c r="P28" s="15">
        <f>P11+P14+P17+P20+P23+P26</f>
        <v>21.248333333333331</v>
      </c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59"/>
      <c r="AS28" s="11"/>
    </row>
    <row r="29" spans="1:45">
      <c r="A29" s="12"/>
      <c r="B29" s="12" t="s">
        <v>33</v>
      </c>
      <c r="C29" s="11">
        <f t="shared" ref="C29:L29" si="1">0.61*((15-ROUND(C12,0))+(15-ROUND(C15,0))+C18+C21+C24+C27)</f>
        <v>18.91</v>
      </c>
      <c r="D29" s="11">
        <f t="shared" si="1"/>
        <v>18.91</v>
      </c>
      <c r="E29" s="11">
        <f t="shared" si="1"/>
        <v>19.52</v>
      </c>
      <c r="F29" s="11">
        <f t="shared" si="1"/>
        <v>19.52</v>
      </c>
      <c r="G29" s="11">
        <f t="shared" si="1"/>
        <v>19.52</v>
      </c>
      <c r="H29" s="11">
        <f t="shared" si="1"/>
        <v>21.349999999999998</v>
      </c>
      <c r="I29" s="11">
        <f t="shared" si="1"/>
        <v>15.86</v>
      </c>
      <c r="J29" s="11">
        <f t="shared" si="1"/>
        <v>22.57</v>
      </c>
      <c r="K29" s="11">
        <f t="shared" si="1"/>
        <v>20.74</v>
      </c>
      <c r="L29" s="75">
        <f t="shared" si="1"/>
        <v>23.18</v>
      </c>
      <c r="M29" s="75">
        <f>0.61*((15-ROUND(M12,0))+(15-ROUND(M15,0))+M18+M21+M24+M27)</f>
        <v>18.3</v>
      </c>
      <c r="N29" s="134">
        <f>0.61*((15-ROUND(N12,0))+(15-ROUND(N15,0))+N18+N21+N24+N27)</f>
        <v>23.18</v>
      </c>
      <c r="O29" s="114">
        <f>AVERAGE(C29:N29)</f>
        <v>20.13</v>
      </c>
      <c r="P29" s="114">
        <f>P12+P15+P18+P21+P24+P27</f>
        <v>20.13</v>
      </c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59"/>
      <c r="AS29" s="11"/>
    </row>
    <row r="30" spans="1:45">
      <c r="A30" s="19"/>
      <c r="B30" s="19" t="s">
        <v>34</v>
      </c>
      <c r="C30" s="20">
        <f t="shared" ref="C30:L30" si="2">C28-C29</f>
        <v>0.60999999999999943</v>
      </c>
      <c r="D30" s="20">
        <f t="shared" si="2"/>
        <v>0</v>
      </c>
      <c r="E30" s="20">
        <f t="shared" si="2"/>
        <v>1.2199999999999989</v>
      </c>
      <c r="F30" s="20">
        <f t="shared" si="2"/>
        <v>1.2199999999999989</v>
      </c>
      <c r="G30" s="20">
        <f t="shared" si="2"/>
        <v>1.2199999999999989</v>
      </c>
      <c r="H30" s="20">
        <f t="shared" si="2"/>
        <v>0</v>
      </c>
      <c r="I30" s="20">
        <f t="shared" si="2"/>
        <v>3.0500000000000007</v>
      </c>
      <c r="J30" s="20">
        <f t="shared" si="2"/>
        <v>1.2199999999999989</v>
      </c>
      <c r="K30" s="20">
        <f t="shared" si="2"/>
        <v>1.2200000000000024</v>
      </c>
      <c r="L30" s="20">
        <f t="shared" si="2"/>
        <v>0</v>
      </c>
      <c r="M30" s="20">
        <f>M28-M29</f>
        <v>4.879999999999999</v>
      </c>
      <c r="N30" s="136">
        <f>N28-N29</f>
        <v>-1.2199999999999989</v>
      </c>
      <c r="O30" s="20">
        <f>AVERAGE(C30:N30)</f>
        <v>1.1183333333333332</v>
      </c>
      <c r="P30" s="20">
        <f>P28-P29</f>
        <v>1.1183333333333323</v>
      </c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59"/>
      <c r="AS30" s="11"/>
    </row>
    <row r="31" spans="1:45">
      <c r="A31" s="23" t="s">
        <v>95</v>
      </c>
      <c r="B31" s="85" t="s">
        <v>36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137"/>
      <c r="O31" s="24"/>
      <c r="P31" s="26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59"/>
      <c r="AS31" s="24"/>
    </row>
    <row r="32" spans="1:45">
      <c r="A32" s="26"/>
      <c r="B32" s="26" t="s">
        <v>96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137"/>
      <c r="O32" s="24"/>
      <c r="P32" s="26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59"/>
      <c r="AS32" s="24"/>
    </row>
    <row r="33" spans="1:45">
      <c r="A33" s="27"/>
      <c r="B33" s="27" t="s">
        <v>23</v>
      </c>
      <c r="C33" s="26">
        <v>100</v>
      </c>
      <c r="D33" s="26">
        <v>80</v>
      </c>
      <c r="E33" s="26">
        <v>100</v>
      </c>
      <c r="F33" s="26">
        <v>100</v>
      </c>
      <c r="G33" s="26">
        <v>100</v>
      </c>
      <c r="H33" s="26">
        <v>50</v>
      </c>
      <c r="I33" s="26">
        <v>80</v>
      </c>
      <c r="J33" s="26">
        <v>100</v>
      </c>
      <c r="K33" s="26">
        <v>100</v>
      </c>
      <c r="L33" s="76">
        <v>70</v>
      </c>
      <c r="M33" s="76">
        <v>100</v>
      </c>
      <c r="N33" s="138">
        <v>20</v>
      </c>
      <c r="O33" s="26">
        <f>SUM(C33:N33)</f>
        <v>1000</v>
      </c>
      <c r="P33" s="26">
        <f>0.136*(O33/COLUMNS(C33:N33))</f>
        <v>11.333333333333334</v>
      </c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59"/>
      <c r="AS33" s="26"/>
    </row>
    <row r="34" spans="1:45">
      <c r="A34" s="27"/>
      <c r="B34" s="27" t="s">
        <v>24</v>
      </c>
      <c r="C34" s="24"/>
      <c r="D34" s="26">
        <v>20</v>
      </c>
      <c r="E34" s="26"/>
      <c r="F34" s="26"/>
      <c r="G34" s="26"/>
      <c r="H34" s="26">
        <v>50</v>
      </c>
      <c r="I34" s="26">
        <v>20</v>
      </c>
      <c r="J34" s="26"/>
      <c r="K34" s="26"/>
      <c r="L34" s="76">
        <v>30</v>
      </c>
      <c r="M34" s="76"/>
      <c r="N34" s="138">
        <v>80</v>
      </c>
      <c r="O34" s="76">
        <f>SUM(C34:N34)</f>
        <v>200</v>
      </c>
      <c r="P34" s="76">
        <f>0.136*(O34/COLUMNS(C34:N34))</f>
        <v>2.2666666666666671</v>
      </c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1"/>
      <c r="AM34" s="160"/>
      <c r="AN34" s="160"/>
      <c r="AO34" s="160"/>
      <c r="AP34" s="160"/>
      <c r="AQ34" s="159"/>
      <c r="AS34" s="26"/>
    </row>
    <row r="35" spans="1:45">
      <c r="A35" s="27"/>
      <c r="B35" s="27" t="s">
        <v>38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137"/>
      <c r="O35" s="76">
        <f>SUM(C35:N35)</f>
        <v>0</v>
      </c>
      <c r="P35" s="76">
        <f>0.136*(O35/COLUMNS(C35:N35))</f>
        <v>0</v>
      </c>
      <c r="R35" s="161"/>
      <c r="S35" s="161"/>
      <c r="T35" s="161"/>
      <c r="U35" s="161"/>
      <c r="V35" s="161"/>
      <c r="W35" s="161"/>
      <c r="X35" s="161"/>
      <c r="Y35" s="160"/>
      <c r="Z35" s="161"/>
      <c r="AA35" s="160"/>
      <c r="AB35" s="161"/>
      <c r="AC35" s="161"/>
      <c r="AD35" s="161"/>
      <c r="AE35" s="161"/>
      <c r="AF35" s="160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59"/>
      <c r="AS35" s="26"/>
    </row>
    <row r="36" spans="1:45">
      <c r="A36" s="26"/>
      <c r="B36" s="26" t="s">
        <v>97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137"/>
      <c r="O36" s="76">
        <f>SUM(C36:N36)</f>
        <v>0</v>
      </c>
      <c r="P36" s="76">
        <f>0.136*(O36/COLUMNS(C36:N36))</f>
        <v>0</v>
      </c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59"/>
      <c r="AS36" s="24"/>
    </row>
    <row r="37" spans="1:45">
      <c r="A37" s="27"/>
      <c r="B37" s="27" t="s">
        <v>23</v>
      </c>
      <c r="C37" s="26">
        <v>50</v>
      </c>
      <c r="D37" s="26">
        <v>90</v>
      </c>
      <c r="E37" s="26">
        <v>100</v>
      </c>
      <c r="F37" s="26">
        <v>100</v>
      </c>
      <c r="G37" s="26">
        <v>100</v>
      </c>
      <c r="H37" s="26">
        <v>50</v>
      </c>
      <c r="I37" s="26">
        <v>80</v>
      </c>
      <c r="J37" s="26">
        <v>100</v>
      </c>
      <c r="K37" s="26">
        <v>100</v>
      </c>
      <c r="L37" s="76">
        <v>70</v>
      </c>
      <c r="M37" s="76">
        <v>100</v>
      </c>
      <c r="N37" s="138">
        <v>20</v>
      </c>
      <c r="O37" s="76">
        <f>SUM(C37:N37)</f>
        <v>960</v>
      </c>
      <c r="P37" s="76">
        <f>0.136*(O37/COLUMNS(C37:N37))</f>
        <v>10.88</v>
      </c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59"/>
      <c r="AS37" s="26"/>
    </row>
    <row r="38" spans="1:45">
      <c r="A38" s="27"/>
      <c r="B38" s="27" t="s">
        <v>24</v>
      </c>
      <c r="C38" s="26">
        <v>50</v>
      </c>
      <c r="D38" s="26">
        <v>10</v>
      </c>
      <c r="E38" s="26"/>
      <c r="F38" s="26"/>
      <c r="G38" s="26"/>
      <c r="H38" s="26">
        <v>50</v>
      </c>
      <c r="I38" s="26">
        <v>20</v>
      </c>
      <c r="J38" s="26"/>
      <c r="K38" s="26"/>
      <c r="L38" s="76">
        <v>30</v>
      </c>
      <c r="M38" s="76"/>
      <c r="N38" s="138">
        <v>80</v>
      </c>
      <c r="O38" s="76">
        <f>SUM(C38:N38)</f>
        <v>240</v>
      </c>
      <c r="P38" s="76">
        <f>0.136*(O38/COLUMNS(C38:N38))</f>
        <v>2.72</v>
      </c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59"/>
      <c r="AS38" s="26"/>
    </row>
    <row r="39" spans="1:45">
      <c r="A39" s="27"/>
      <c r="B39" s="27" t="s">
        <v>38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37"/>
      <c r="O39" s="76">
        <f>SUM(C39:N39)</f>
        <v>0</v>
      </c>
      <c r="P39" s="76">
        <f>0.136*(O39/COLUMNS(C39:N39))</f>
        <v>0</v>
      </c>
      <c r="R39" s="161"/>
      <c r="S39" s="161"/>
      <c r="T39" s="161"/>
      <c r="U39" s="161"/>
      <c r="V39" s="161"/>
      <c r="W39" s="161"/>
      <c r="X39" s="161"/>
      <c r="Y39" s="161"/>
      <c r="Z39" s="161"/>
      <c r="AA39" s="160"/>
      <c r="AB39" s="160"/>
      <c r="AC39" s="161"/>
      <c r="AD39" s="161"/>
      <c r="AE39" s="161"/>
      <c r="AF39" s="161"/>
      <c r="AG39" s="161"/>
      <c r="AH39" s="161"/>
      <c r="AI39" s="161"/>
      <c r="AJ39" s="161"/>
      <c r="AK39" s="160"/>
      <c r="AL39" s="161"/>
      <c r="AM39" s="160"/>
      <c r="AN39" s="161"/>
      <c r="AO39" s="161"/>
      <c r="AP39" s="161"/>
      <c r="AQ39" s="159"/>
      <c r="AS39" s="24"/>
    </row>
    <row r="40" spans="1:45">
      <c r="A40" s="26"/>
      <c r="B40" s="26" t="s">
        <v>98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137"/>
      <c r="O40" s="76">
        <f>SUM(C40:N40)</f>
        <v>0</v>
      </c>
      <c r="P40" s="76">
        <f>0.136*(O40/COLUMNS(C40:N40))</f>
        <v>0</v>
      </c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0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59"/>
      <c r="AS40" s="26"/>
    </row>
    <row r="41" spans="1:45">
      <c r="A41" s="27"/>
      <c r="B41" s="27" t="s">
        <v>23</v>
      </c>
      <c r="C41" s="76">
        <v>100</v>
      </c>
      <c r="D41" s="26">
        <v>90</v>
      </c>
      <c r="E41" s="26">
        <v>100</v>
      </c>
      <c r="F41" s="26">
        <v>100</v>
      </c>
      <c r="G41" s="26">
        <v>100</v>
      </c>
      <c r="H41" s="26">
        <v>70</v>
      </c>
      <c r="I41" s="26">
        <v>90</v>
      </c>
      <c r="J41" s="26">
        <v>100</v>
      </c>
      <c r="K41" s="26">
        <v>100</v>
      </c>
      <c r="L41" s="24"/>
      <c r="M41" s="76">
        <v>100</v>
      </c>
      <c r="N41" s="138">
        <v>100</v>
      </c>
      <c r="O41" s="76">
        <f>SUM(C41:N41)</f>
        <v>1050</v>
      </c>
      <c r="P41" s="76">
        <f>0.136*(O41/COLUMNS(C41:N41))</f>
        <v>11.9</v>
      </c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59"/>
      <c r="AS41" s="26"/>
    </row>
    <row r="42" spans="1:45">
      <c r="A42" s="27"/>
      <c r="B42" s="27" t="s">
        <v>24</v>
      </c>
      <c r="C42" s="24"/>
      <c r="D42" s="26">
        <v>10</v>
      </c>
      <c r="E42" s="26"/>
      <c r="F42" s="26"/>
      <c r="G42" s="26"/>
      <c r="H42" s="26">
        <v>30</v>
      </c>
      <c r="I42" s="26">
        <v>10</v>
      </c>
      <c r="J42" s="26"/>
      <c r="K42" s="24"/>
      <c r="L42" s="76"/>
      <c r="M42" s="24"/>
      <c r="N42" s="138"/>
      <c r="O42" s="76">
        <f>SUM(C42:N42)</f>
        <v>50</v>
      </c>
      <c r="P42" s="76">
        <f>0.136*(O42/COLUMNS(C42:N42))</f>
        <v>0.56666666666666676</v>
      </c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1"/>
      <c r="AI42" s="160"/>
      <c r="AJ42" s="160"/>
      <c r="AK42" s="160"/>
      <c r="AL42" s="161"/>
      <c r="AM42" s="160"/>
      <c r="AN42" s="160"/>
      <c r="AO42" s="160"/>
      <c r="AP42" s="160"/>
      <c r="AQ42" s="159"/>
      <c r="AS42" s="26"/>
    </row>
    <row r="43" spans="1:45">
      <c r="A43" s="27"/>
      <c r="B43" s="27" t="s">
        <v>38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137"/>
      <c r="O43" s="76">
        <f>SUM(C43:N43)</f>
        <v>0</v>
      </c>
      <c r="P43" s="76">
        <f>0.136*(O43/COLUMNS(C43:N43))</f>
        <v>0</v>
      </c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59"/>
      <c r="AS43" s="24"/>
    </row>
    <row r="44" spans="1:45">
      <c r="A44" s="26"/>
      <c r="B44" s="26" t="s">
        <v>99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137"/>
      <c r="O44" s="76">
        <f>SUM(C44:N44)</f>
        <v>0</v>
      </c>
      <c r="P44" s="76">
        <f>0.136*(O44/COLUMNS(C44:N44))</f>
        <v>0</v>
      </c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59"/>
      <c r="AS44" s="24"/>
    </row>
    <row r="45" spans="1:45">
      <c r="A45" s="27"/>
      <c r="B45" s="27" t="s">
        <v>23</v>
      </c>
      <c r="C45" s="26">
        <v>100</v>
      </c>
      <c r="D45" s="26">
        <v>80</v>
      </c>
      <c r="E45" s="26">
        <v>90</v>
      </c>
      <c r="F45" s="26">
        <v>90</v>
      </c>
      <c r="G45" s="26">
        <v>90</v>
      </c>
      <c r="H45" s="26">
        <v>10</v>
      </c>
      <c r="I45" s="26">
        <v>80</v>
      </c>
      <c r="J45" s="26">
        <v>100</v>
      </c>
      <c r="K45" s="26">
        <v>100</v>
      </c>
      <c r="L45" s="76">
        <v>30</v>
      </c>
      <c r="M45" s="76">
        <v>100</v>
      </c>
      <c r="N45" s="138">
        <v>10</v>
      </c>
      <c r="O45" s="76">
        <f>SUM(C45:N45)</f>
        <v>880</v>
      </c>
      <c r="P45" s="76">
        <f>0.136*(O45/COLUMNS(C45:N45))</f>
        <v>9.9733333333333327</v>
      </c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59"/>
      <c r="AS45" s="26"/>
    </row>
    <row r="46" spans="1:45">
      <c r="A46" s="27"/>
      <c r="B46" s="27" t="s">
        <v>24</v>
      </c>
      <c r="C46" s="26"/>
      <c r="D46" s="26">
        <v>20</v>
      </c>
      <c r="E46" s="26">
        <v>10</v>
      </c>
      <c r="F46" s="26">
        <v>10</v>
      </c>
      <c r="G46" s="26">
        <v>10</v>
      </c>
      <c r="H46" s="26">
        <v>90</v>
      </c>
      <c r="I46" s="26">
        <v>20</v>
      </c>
      <c r="J46" s="26"/>
      <c r="K46" s="26"/>
      <c r="L46" s="76">
        <v>70</v>
      </c>
      <c r="M46" s="76"/>
      <c r="N46" s="138">
        <v>90</v>
      </c>
      <c r="O46" s="76">
        <f>SUM(C46:N46)</f>
        <v>320</v>
      </c>
      <c r="P46" s="76">
        <f>0.136*(O46/COLUMNS(C46:N46))</f>
        <v>3.6266666666666669</v>
      </c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59"/>
      <c r="AS46" s="26"/>
    </row>
    <row r="47" spans="1:45">
      <c r="A47" s="27"/>
      <c r="B47" s="27" t="s">
        <v>38</v>
      </c>
      <c r="C47" s="24"/>
      <c r="D47" s="24"/>
      <c r="E47" s="24"/>
      <c r="F47" s="24"/>
      <c r="G47" s="24"/>
      <c r="H47" s="26"/>
      <c r="I47" s="24"/>
      <c r="J47" s="24"/>
      <c r="K47" s="24"/>
      <c r="L47" s="24"/>
      <c r="M47" s="24"/>
      <c r="N47" s="137"/>
      <c r="O47" s="76">
        <f>SUM(C47:N47)</f>
        <v>0</v>
      </c>
      <c r="P47" s="76">
        <f>0.136*(O47/COLUMNS(C47:N47))</f>
        <v>0</v>
      </c>
      <c r="R47" s="161"/>
      <c r="S47" s="161"/>
      <c r="T47" s="161"/>
      <c r="U47" s="161"/>
      <c r="V47" s="161"/>
      <c r="W47" s="161"/>
      <c r="X47" s="161"/>
      <c r="Y47" s="160"/>
      <c r="Z47" s="161"/>
      <c r="AA47" s="160"/>
      <c r="AB47" s="161"/>
      <c r="AC47" s="161"/>
      <c r="AD47" s="161"/>
      <c r="AE47" s="161"/>
      <c r="AF47" s="161"/>
      <c r="AG47" s="161"/>
      <c r="AH47" s="161"/>
      <c r="AI47" s="161"/>
      <c r="AJ47" s="161"/>
      <c r="AK47" s="160"/>
      <c r="AL47" s="161"/>
      <c r="AM47" s="161"/>
      <c r="AN47" s="161"/>
      <c r="AO47" s="160"/>
      <c r="AP47" s="161"/>
      <c r="AQ47" s="159"/>
      <c r="AS47" s="24"/>
    </row>
    <row r="48" spans="1:45">
      <c r="A48" s="29"/>
      <c r="B48" s="29" t="s">
        <v>32</v>
      </c>
      <c r="C48" s="30">
        <f t="shared" ref="C48:L48" si="3">0.136*(C33+C37+C41+C45)</f>
        <v>47.6</v>
      </c>
      <c r="D48" s="30">
        <f t="shared" si="3"/>
        <v>46.24</v>
      </c>
      <c r="E48" s="30">
        <f t="shared" si="3"/>
        <v>53.040000000000006</v>
      </c>
      <c r="F48" s="30">
        <f t="shared" si="3"/>
        <v>53.040000000000006</v>
      </c>
      <c r="G48" s="30">
        <f t="shared" si="3"/>
        <v>53.040000000000006</v>
      </c>
      <c r="H48" s="30">
        <f t="shared" si="3"/>
        <v>24.48</v>
      </c>
      <c r="I48" s="30">
        <f t="shared" si="3"/>
        <v>44.88</v>
      </c>
      <c r="J48" s="30">
        <f t="shared" si="3"/>
        <v>54.400000000000006</v>
      </c>
      <c r="K48" s="30">
        <f t="shared" si="3"/>
        <v>54.400000000000006</v>
      </c>
      <c r="L48" s="30">
        <f t="shared" si="3"/>
        <v>23.12</v>
      </c>
      <c r="M48" s="30">
        <f>0.136*(M33+M37+M41+M45)</f>
        <v>54.400000000000006</v>
      </c>
      <c r="N48" s="139">
        <f>0.136*(N33+N37+N41+N45)</f>
        <v>20.400000000000002</v>
      </c>
      <c r="O48" s="127">
        <f>AVERAGE(C48:N48)</f>
        <v>44.086666666666666</v>
      </c>
      <c r="P48" s="165">
        <f>P33+P37+P41+P45</f>
        <v>44.086666666666673</v>
      </c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59"/>
      <c r="AS48" s="24"/>
    </row>
    <row r="49" spans="1:45">
      <c r="A49" s="27"/>
      <c r="B49" s="27" t="s">
        <v>33</v>
      </c>
      <c r="C49" s="24">
        <f t="shared" ref="C49:L49" si="4">0.136*(C34+C38+C42+C46)</f>
        <v>6.8000000000000007</v>
      </c>
      <c r="D49" s="24">
        <f t="shared" si="4"/>
        <v>8.16</v>
      </c>
      <c r="E49" s="24">
        <f t="shared" si="4"/>
        <v>1.36</v>
      </c>
      <c r="F49" s="24">
        <f t="shared" si="4"/>
        <v>1.36</v>
      </c>
      <c r="G49" s="24">
        <f t="shared" si="4"/>
        <v>1.36</v>
      </c>
      <c r="H49" s="24">
        <f t="shared" si="4"/>
        <v>29.92</v>
      </c>
      <c r="I49" s="24">
        <f t="shared" si="4"/>
        <v>9.5200000000000014</v>
      </c>
      <c r="J49" s="24">
        <f t="shared" si="4"/>
        <v>0</v>
      </c>
      <c r="K49" s="24">
        <f t="shared" si="4"/>
        <v>0</v>
      </c>
      <c r="L49" s="24">
        <f t="shared" si="4"/>
        <v>17.68</v>
      </c>
      <c r="M49" s="24">
        <f>0.136*(M34+M38+M42+M46)</f>
        <v>0</v>
      </c>
      <c r="N49" s="137">
        <f>0.136*(N34+N38+N42+N46)</f>
        <v>34</v>
      </c>
      <c r="O49" s="115">
        <f>AVERAGE(C49:N49)</f>
        <v>9.18</v>
      </c>
      <c r="P49" s="116">
        <f>P34+P38+P42+P46</f>
        <v>9.18</v>
      </c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59"/>
      <c r="AS49" s="24"/>
    </row>
    <row r="50" spans="1:45">
      <c r="A50" s="34"/>
      <c r="B50" s="34" t="s">
        <v>34</v>
      </c>
      <c r="C50" s="35">
        <f t="shared" ref="C50:L50" si="5">C48-C49</f>
        <v>40.799999999999997</v>
      </c>
      <c r="D50" s="35">
        <f t="shared" si="5"/>
        <v>38.08</v>
      </c>
      <c r="E50" s="35">
        <f t="shared" si="5"/>
        <v>51.680000000000007</v>
      </c>
      <c r="F50" s="35">
        <f t="shared" si="5"/>
        <v>51.680000000000007</v>
      </c>
      <c r="G50" s="35">
        <f t="shared" si="5"/>
        <v>51.680000000000007</v>
      </c>
      <c r="H50" s="35">
        <f t="shared" si="5"/>
        <v>-5.4400000000000013</v>
      </c>
      <c r="I50" s="35">
        <f t="shared" si="5"/>
        <v>35.36</v>
      </c>
      <c r="J50" s="35">
        <f t="shared" si="5"/>
        <v>54.400000000000006</v>
      </c>
      <c r="K50" s="35">
        <f t="shared" si="5"/>
        <v>54.400000000000006</v>
      </c>
      <c r="L50" s="35">
        <f t="shared" si="5"/>
        <v>5.4400000000000013</v>
      </c>
      <c r="M50" s="35">
        <f>M48-M49</f>
        <v>54.400000000000006</v>
      </c>
      <c r="N50" s="140">
        <f>N48-N49</f>
        <v>-13.599999999999998</v>
      </c>
      <c r="O50" s="128">
        <f>AVERAGE(C50:N50)</f>
        <v>34.906666666666666</v>
      </c>
      <c r="P50" s="166">
        <f>P48-P49</f>
        <v>34.906666666666673</v>
      </c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59"/>
      <c r="AS50" s="24"/>
    </row>
    <row r="51" spans="1:45">
      <c r="A51" s="38" t="s">
        <v>43</v>
      </c>
      <c r="B51" s="39" t="s">
        <v>44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141"/>
      <c r="O51" s="40"/>
      <c r="P51" s="42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59"/>
      <c r="AS51" s="40"/>
    </row>
    <row r="52" spans="1:45">
      <c r="A52" s="38"/>
      <c r="B52" s="42" t="s">
        <v>100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141"/>
      <c r="O52" s="40"/>
      <c r="P52" s="42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59"/>
      <c r="AS52" s="40"/>
    </row>
    <row r="53" spans="1:45">
      <c r="A53" s="43"/>
      <c r="B53" s="43" t="s">
        <v>23</v>
      </c>
      <c r="C53" s="42">
        <v>6</v>
      </c>
      <c r="D53" s="42">
        <v>6</v>
      </c>
      <c r="E53" s="42">
        <v>6</v>
      </c>
      <c r="F53" s="42">
        <v>6</v>
      </c>
      <c r="G53" s="42">
        <v>6</v>
      </c>
      <c r="H53" s="42">
        <v>6</v>
      </c>
      <c r="I53" s="42">
        <v>6</v>
      </c>
      <c r="J53" s="42">
        <v>6</v>
      </c>
      <c r="K53" s="42">
        <v>6</v>
      </c>
      <c r="L53" s="77">
        <v>6</v>
      </c>
      <c r="M53" s="77">
        <v>6</v>
      </c>
      <c r="N53" s="142">
        <v>5</v>
      </c>
      <c r="O53" s="42">
        <f>SUM(C53:N53)</f>
        <v>71</v>
      </c>
      <c r="P53" s="42">
        <f>2.27*(O53/COLUMNS(C53:N53))</f>
        <v>13.430833333333334</v>
      </c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59"/>
      <c r="AS53" s="42"/>
    </row>
    <row r="54" spans="1:45">
      <c r="A54" s="43"/>
      <c r="B54" s="43" t="s">
        <v>24</v>
      </c>
      <c r="C54" s="42">
        <v>5</v>
      </c>
      <c r="D54" s="42">
        <v>6</v>
      </c>
      <c r="E54" s="42">
        <v>2</v>
      </c>
      <c r="F54" s="42">
        <v>3</v>
      </c>
      <c r="G54" s="42">
        <v>4</v>
      </c>
      <c r="H54" s="42">
        <v>6</v>
      </c>
      <c r="I54" s="42">
        <v>5</v>
      </c>
      <c r="J54" s="42">
        <v>6</v>
      </c>
      <c r="K54" s="42">
        <v>6</v>
      </c>
      <c r="L54" s="77">
        <v>6</v>
      </c>
      <c r="M54" s="77">
        <v>6</v>
      </c>
      <c r="N54" s="142">
        <v>6</v>
      </c>
      <c r="O54" s="77">
        <f>SUM(C54:N54)</f>
        <v>61</v>
      </c>
      <c r="P54" s="77">
        <f>2.27*(O54/COLUMNS(C54:N54))</f>
        <v>11.539166666666667</v>
      </c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59"/>
      <c r="AS54" s="42"/>
    </row>
    <row r="55" spans="1:45">
      <c r="A55" s="42"/>
      <c r="B55" s="42" t="s">
        <v>101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141"/>
      <c r="O55" s="77">
        <f>SUM(C55:N55)</f>
        <v>0</v>
      </c>
      <c r="P55" s="77">
        <f>2.27*(O55/COLUMNS(C55:N55))</f>
        <v>0</v>
      </c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59"/>
      <c r="AS55" s="40"/>
    </row>
    <row r="56" spans="1:45">
      <c r="A56" s="43"/>
      <c r="B56" s="43" t="s">
        <v>23</v>
      </c>
      <c r="C56" s="42">
        <v>6</v>
      </c>
      <c r="D56" s="42">
        <v>6</v>
      </c>
      <c r="E56" s="42">
        <v>6</v>
      </c>
      <c r="F56" s="42">
        <v>6</v>
      </c>
      <c r="G56" s="42">
        <v>6</v>
      </c>
      <c r="H56" s="42">
        <v>5</v>
      </c>
      <c r="I56" s="42">
        <v>6</v>
      </c>
      <c r="J56" s="42">
        <v>6</v>
      </c>
      <c r="K56" s="42">
        <v>6</v>
      </c>
      <c r="L56" s="77">
        <v>6</v>
      </c>
      <c r="M56" s="77">
        <v>6</v>
      </c>
      <c r="N56" s="142">
        <v>6</v>
      </c>
      <c r="O56" s="77">
        <f>SUM(C56:N56)</f>
        <v>71</v>
      </c>
      <c r="P56" s="77">
        <f>2.27*(O56/COLUMNS(C56:N56))</f>
        <v>13.430833333333334</v>
      </c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59"/>
      <c r="AS56" s="42"/>
    </row>
    <row r="57" spans="1:45">
      <c r="A57" s="43"/>
      <c r="B57" s="43" t="s">
        <v>24</v>
      </c>
      <c r="C57" s="42">
        <v>4</v>
      </c>
      <c r="D57" s="42">
        <v>6</v>
      </c>
      <c r="E57" s="42">
        <v>2</v>
      </c>
      <c r="F57" s="42">
        <v>3</v>
      </c>
      <c r="G57" s="42">
        <v>4</v>
      </c>
      <c r="H57" s="42">
        <v>5</v>
      </c>
      <c r="I57" s="42">
        <v>6</v>
      </c>
      <c r="J57" s="42">
        <v>6</v>
      </c>
      <c r="K57" s="42">
        <v>6</v>
      </c>
      <c r="L57" s="77">
        <v>6</v>
      </c>
      <c r="M57" s="77">
        <v>6</v>
      </c>
      <c r="N57" s="142">
        <v>6</v>
      </c>
      <c r="O57" s="77">
        <f>SUM(C57:N57)</f>
        <v>60</v>
      </c>
      <c r="P57" s="77">
        <f>2.27*(O57/COLUMNS(C57:N57))</f>
        <v>11.35</v>
      </c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59"/>
      <c r="AS57" s="42"/>
    </row>
    <row r="58" spans="1:45">
      <c r="A58" s="42"/>
      <c r="B58" s="42" t="s">
        <v>102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141"/>
      <c r="O58" s="77">
        <f>SUM(C58:N58)</f>
        <v>0</v>
      </c>
      <c r="P58" s="77">
        <f>2.27*(O58/COLUMNS(C58:N58))</f>
        <v>0</v>
      </c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59"/>
      <c r="AS58" s="40"/>
    </row>
    <row r="59" spans="1:45">
      <c r="A59" s="43"/>
      <c r="B59" s="43" t="s">
        <v>23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/>
      <c r="I59" s="42">
        <v>3</v>
      </c>
      <c r="J59" s="42">
        <v>6</v>
      </c>
      <c r="K59" s="42">
        <v>0</v>
      </c>
      <c r="L59" s="77">
        <v>5</v>
      </c>
      <c r="M59" s="77">
        <v>6</v>
      </c>
      <c r="N59" s="142">
        <v>6</v>
      </c>
      <c r="O59" s="77">
        <f>SUM(C59:N59)</f>
        <v>26</v>
      </c>
      <c r="P59" s="77">
        <f>2.27*(O59/COLUMNS(C59:N59))</f>
        <v>4.918333333333333</v>
      </c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59"/>
      <c r="AS59" s="42"/>
    </row>
    <row r="60" spans="1:45">
      <c r="A60" s="43"/>
      <c r="B60" s="43" t="s">
        <v>24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/>
      <c r="I60" s="42">
        <v>3</v>
      </c>
      <c r="J60" s="42">
        <v>6</v>
      </c>
      <c r="K60" s="42">
        <v>0</v>
      </c>
      <c r="L60" s="77">
        <v>5</v>
      </c>
      <c r="M60" s="77">
        <v>6</v>
      </c>
      <c r="N60" s="142">
        <v>6</v>
      </c>
      <c r="O60" s="77">
        <f>SUM(C60:N60)</f>
        <v>26</v>
      </c>
      <c r="P60" s="77">
        <f>2.27*(O60/COLUMNS(C60:N60))</f>
        <v>4.918333333333333</v>
      </c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59"/>
      <c r="AS60" s="42"/>
    </row>
    <row r="61" spans="1:45">
      <c r="A61" s="42"/>
      <c r="B61" s="42" t="s">
        <v>103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141"/>
      <c r="O61" s="77">
        <f>SUM(C61:N61)</f>
        <v>0</v>
      </c>
      <c r="P61" s="77">
        <f>2.27*(O61/COLUMNS(C61:N61))</f>
        <v>0</v>
      </c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59"/>
      <c r="AS61" s="40"/>
    </row>
    <row r="62" spans="1:45">
      <c r="A62" s="43"/>
      <c r="B62" s="43" t="s">
        <v>23</v>
      </c>
      <c r="C62" s="42">
        <v>0</v>
      </c>
      <c r="D62" s="42">
        <v>0</v>
      </c>
      <c r="E62" s="42">
        <v>0</v>
      </c>
      <c r="F62" s="42">
        <v>0</v>
      </c>
      <c r="G62" s="42">
        <v>0</v>
      </c>
      <c r="H62" s="42"/>
      <c r="I62" s="42">
        <v>3</v>
      </c>
      <c r="J62" s="42">
        <v>6</v>
      </c>
      <c r="K62" s="42">
        <v>0</v>
      </c>
      <c r="L62" s="77">
        <v>6</v>
      </c>
      <c r="M62" s="77">
        <v>3</v>
      </c>
      <c r="N62" s="142">
        <v>6</v>
      </c>
      <c r="O62" s="77">
        <f>SUM(C62:N62)</f>
        <v>24</v>
      </c>
      <c r="P62" s="77">
        <f>2.27*(O62/COLUMNS(C62:N62))</f>
        <v>4.54</v>
      </c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59"/>
      <c r="AS62" s="42"/>
    </row>
    <row r="63" spans="1:45">
      <c r="A63" s="43"/>
      <c r="B63" s="43" t="s">
        <v>24</v>
      </c>
      <c r="C63" s="42"/>
      <c r="D63" s="42">
        <v>0</v>
      </c>
      <c r="E63" s="42">
        <v>0</v>
      </c>
      <c r="F63" s="42">
        <v>0</v>
      </c>
      <c r="G63" s="42">
        <v>0</v>
      </c>
      <c r="H63" s="42"/>
      <c r="I63" s="42">
        <v>3</v>
      </c>
      <c r="J63" s="42">
        <v>6</v>
      </c>
      <c r="K63" s="42">
        <v>0</v>
      </c>
      <c r="L63" s="77">
        <v>6</v>
      </c>
      <c r="M63" s="77">
        <v>3</v>
      </c>
      <c r="N63" s="142">
        <v>6</v>
      </c>
      <c r="O63" s="77">
        <f>SUM(C63:N63)</f>
        <v>24</v>
      </c>
      <c r="P63" s="77">
        <f>2.27*(O63/COLUMNS(C63:N63))</f>
        <v>4.54</v>
      </c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59"/>
      <c r="AS63" s="42"/>
    </row>
    <row r="64" spans="1:45">
      <c r="A64" s="44"/>
      <c r="B64" s="44" t="s">
        <v>32</v>
      </c>
      <c r="C64" s="45">
        <f t="shared" ref="C64:L64" si="6">2.27*(C53+C56+C59+C62)</f>
        <v>27.240000000000002</v>
      </c>
      <c r="D64" s="45">
        <f t="shared" si="6"/>
        <v>27.240000000000002</v>
      </c>
      <c r="E64" s="45">
        <f t="shared" si="6"/>
        <v>27.240000000000002</v>
      </c>
      <c r="F64" s="45">
        <f t="shared" si="6"/>
        <v>27.240000000000002</v>
      </c>
      <c r="G64" s="45">
        <f t="shared" si="6"/>
        <v>27.240000000000002</v>
      </c>
      <c r="H64" s="45">
        <f t="shared" si="6"/>
        <v>24.97</v>
      </c>
      <c r="I64" s="45">
        <f t="shared" si="6"/>
        <v>40.86</v>
      </c>
      <c r="J64" s="45">
        <f t="shared" si="6"/>
        <v>54.480000000000004</v>
      </c>
      <c r="K64" s="45">
        <f t="shared" si="6"/>
        <v>27.240000000000002</v>
      </c>
      <c r="L64" s="45">
        <f t="shared" si="6"/>
        <v>52.21</v>
      </c>
      <c r="M64" s="45">
        <f>2.27*(M53+M56+M59+M62)</f>
        <v>47.67</v>
      </c>
      <c r="N64" s="143">
        <f>2.27*(N53+N56+N59+N62)</f>
        <v>52.21</v>
      </c>
      <c r="O64" s="45">
        <f>AVERAGE(C64:N64)</f>
        <v>36.32</v>
      </c>
      <c r="P64" s="45">
        <f>P53+P56+P59+P62</f>
        <v>36.32</v>
      </c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59"/>
      <c r="AS64" s="42"/>
    </row>
    <row r="65" spans="1:45">
      <c r="A65" s="43"/>
      <c r="B65" s="43" t="s">
        <v>33</v>
      </c>
      <c r="C65" s="42">
        <f t="shared" ref="C65:L65" si="7">2.27*(C54+C57+C60+C63)</f>
        <v>20.43</v>
      </c>
      <c r="D65" s="42">
        <f t="shared" si="7"/>
        <v>27.240000000000002</v>
      </c>
      <c r="E65" s="42">
        <f t="shared" si="7"/>
        <v>9.08</v>
      </c>
      <c r="F65" s="42">
        <f t="shared" si="7"/>
        <v>13.620000000000001</v>
      </c>
      <c r="G65" s="42">
        <f t="shared" si="7"/>
        <v>18.16</v>
      </c>
      <c r="H65" s="42">
        <f t="shared" si="7"/>
        <v>24.97</v>
      </c>
      <c r="I65" s="42">
        <f t="shared" si="7"/>
        <v>38.590000000000003</v>
      </c>
      <c r="J65" s="42">
        <f t="shared" si="7"/>
        <v>54.480000000000004</v>
      </c>
      <c r="K65" s="42">
        <f t="shared" si="7"/>
        <v>27.240000000000002</v>
      </c>
      <c r="L65" s="77">
        <f t="shared" si="7"/>
        <v>52.21</v>
      </c>
      <c r="M65" s="77">
        <f>2.27*(M54+M57+M60+M63)</f>
        <v>47.67</v>
      </c>
      <c r="N65" s="142">
        <f>2.27*(N54+N57+N60+N63)</f>
        <v>54.480000000000004</v>
      </c>
      <c r="O65" s="118">
        <f>AVERAGE(C65:N65)</f>
        <v>32.347500000000004</v>
      </c>
      <c r="P65" s="118">
        <f>P54+P57+P60+P63</f>
        <v>32.347500000000004</v>
      </c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59"/>
      <c r="AS65" s="42"/>
    </row>
    <row r="66" spans="1:45">
      <c r="A66" s="49"/>
      <c r="B66" s="49" t="s">
        <v>34</v>
      </c>
      <c r="C66" s="50">
        <f t="shared" ref="C66:L66" si="8">C64-C65</f>
        <v>6.8100000000000023</v>
      </c>
      <c r="D66" s="50">
        <f t="shared" si="8"/>
        <v>0</v>
      </c>
      <c r="E66" s="50">
        <f t="shared" si="8"/>
        <v>18.160000000000004</v>
      </c>
      <c r="F66" s="50">
        <f t="shared" si="8"/>
        <v>13.620000000000001</v>
      </c>
      <c r="G66" s="50">
        <f t="shared" si="8"/>
        <v>9.0800000000000018</v>
      </c>
      <c r="H66" s="50">
        <f t="shared" si="8"/>
        <v>0</v>
      </c>
      <c r="I66" s="50">
        <f t="shared" si="8"/>
        <v>2.269999999999996</v>
      </c>
      <c r="J66" s="50">
        <f t="shared" si="8"/>
        <v>0</v>
      </c>
      <c r="K66" s="50">
        <f t="shared" si="8"/>
        <v>0</v>
      </c>
      <c r="L66" s="50">
        <f t="shared" si="8"/>
        <v>0</v>
      </c>
      <c r="M66" s="50">
        <f>M64-M65</f>
        <v>0</v>
      </c>
      <c r="N66" s="144">
        <f>N64-N65</f>
        <v>-2.2700000000000031</v>
      </c>
      <c r="O66" s="50">
        <f>AVERAGE(C66:N66)</f>
        <v>3.9724999999999997</v>
      </c>
      <c r="P66" s="50">
        <f>P64-P65</f>
        <v>3.9724999999999966</v>
      </c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59"/>
      <c r="AS66" s="42"/>
    </row>
    <row r="67" spans="1:45">
      <c r="A67" s="53" t="s">
        <v>104</v>
      </c>
      <c r="B67" s="93" t="s">
        <v>105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145"/>
      <c r="O67" s="54"/>
      <c r="P67" s="55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59"/>
      <c r="AS67" s="54"/>
    </row>
    <row r="68" spans="1:45">
      <c r="A68" s="55"/>
      <c r="B68" s="55" t="s">
        <v>106</v>
      </c>
      <c r="C68" s="54"/>
      <c r="D68" s="54"/>
      <c r="E68" s="54"/>
      <c r="F68" s="54"/>
      <c r="G68" s="54"/>
      <c r="H68" s="54"/>
      <c r="I68" s="54"/>
      <c r="J68" s="54"/>
      <c r="K68" s="54"/>
      <c r="L68" s="55"/>
      <c r="M68" s="54"/>
      <c r="N68" s="145"/>
      <c r="O68" s="54"/>
      <c r="P68" s="55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59"/>
      <c r="AS68" s="54"/>
    </row>
    <row r="69" spans="1:45">
      <c r="A69" s="57"/>
      <c r="B69" s="57" t="s">
        <v>23</v>
      </c>
      <c r="C69" s="55">
        <v>3</v>
      </c>
      <c r="D69" s="55">
        <v>0</v>
      </c>
      <c r="E69" s="55">
        <v>6</v>
      </c>
      <c r="F69" s="55">
        <v>6</v>
      </c>
      <c r="G69" s="55">
        <v>6</v>
      </c>
      <c r="H69" s="55">
        <v>6</v>
      </c>
      <c r="I69" s="55">
        <v>6</v>
      </c>
      <c r="J69" s="55">
        <v>6</v>
      </c>
      <c r="K69" s="55">
        <v>6</v>
      </c>
      <c r="L69" s="55">
        <v>6</v>
      </c>
      <c r="M69" s="55">
        <v>6</v>
      </c>
      <c r="N69" s="146">
        <v>5</v>
      </c>
      <c r="O69" s="55">
        <f>SUM(C69:N69)</f>
        <v>62</v>
      </c>
      <c r="P69" s="55">
        <f>1.8*(O69/COLUMNS(C69:N69))</f>
        <v>9.3000000000000007</v>
      </c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59"/>
      <c r="AS69" s="55"/>
    </row>
    <row r="70" spans="1:45">
      <c r="A70" s="57"/>
      <c r="B70" s="57" t="s">
        <v>24</v>
      </c>
      <c r="C70" s="55">
        <v>2</v>
      </c>
      <c r="D70" s="55">
        <v>0</v>
      </c>
      <c r="E70" s="55">
        <v>3</v>
      </c>
      <c r="F70" s="55">
        <v>4</v>
      </c>
      <c r="G70" s="55">
        <v>3</v>
      </c>
      <c r="H70" s="55">
        <v>6</v>
      </c>
      <c r="I70" s="55">
        <v>6</v>
      </c>
      <c r="J70" s="55">
        <v>6</v>
      </c>
      <c r="K70" s="55">
        <v>6</v>
      </c>
      <c r="L70" s="55">
        <v>6</v>
      </c>
      <c r="M70" s="55">
        <v>6</v>
      </c>
      <c r="N70" s="146">
        <v>5</v>
      </c>
      <c r="O70" s="55">
        <f>SUM(C70:N70)</f>
        <v>53</v>
      </c>
      <c r="P70" s="55">
        <f>1.8*(O70/COLUMNS(C70:N70))</f>
        <v>7.9500000000000011</v>
      </c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59"/>
      <c r="AS70" s="55"/>
    </row>
    <row r="71" spans="1:45">
      <c r="A71" s="55"/>
      <c r="B71" s="55" t="s">
        <v>107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145"/>
      <c r="O71" s="55">
        <f>SUM(C71:N71)</f>
        <v>0</v>
      </c>
      <c r="P71" s="55">
        <f>1.8*(O71/COLUMNS(C71:N71))</f>
        <v>0</v>
      </c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59"/>
      <c r="AS71" s="54"/>
    </row>
    <row r="72" spans="1:45">
      <c r="A72" s="57"/>
      <c r="B72" s="57" t="s">
        <v>23</v>
      </c>
      <c r="C72" s="55">
        <v>1</v>
      </c>
      <c r="D72" s="55">
        <v>0</v>
      </c>
      <c r="E72" s="55">
        <v>6</v>
      </c>
      <c r="F72" s="55">
        <v>6</v>
      </c>
      <c r="G72" s="55">
        <v>6</v>
      </c>
      <c r="H72" s="55">
        <v>6</v>
      </c>
      <c r="I72" s="55">
        <v>6</v>
      </c>
      <c r="J72" s="55">
        <v>6</v>
      </c>
      <c r="K72" s="55">
        <v>6</v>
      </c>
      <c r="L72" s="55">
        <v>4</v>
      </c>
      <c r="M72" s="55">
        <v>6</v>
      </c>
      <c r="N72" s="146">
        <v>5</v>
      </c>
      <c r="O72" s="55">
        <f>SUM(C72:N72)</f>
        <v>58</v>
      </c>
      <c r="P72" s="55">
        <f>1.8*(O72/COLUMNS(C72:N72))</f>
        <v>8.6999999999999993</v>
      </c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59"/>
      <c r="AS72" s="55"/>
    </row>
    <row r="73" spans="1:45">
      <c r="A73" s="57"/>
      <c r="B73" s="57" t="s">
        <v>24</v>
      </c>
      <c r="C73" s="55">
        <v>1</v>
      </c>
      <c r="D73" s="55">
        <v>0</v>
      </c>
      <c r="E73" s="55">
        <v>3</v>
      </c>
      <c r="F73" s="55">
        <v>4</v>
      </c>
      <c r="G73" s="55">
        <v>3</v>
      </c>
      <c r="H73" s="55">
        <v>6</v>
      </c>
      <c r="I73" s="55">
        <v>6</v>
      </c>
      <c r="J73" s="55">
        <v>6</v>
      </c>
      <c r="K73" s="55">
        <v>6</v>
      </c>
      <c r="L73" s="55">
        <v>4</v>
      </c>
      <c r="M73" s="55">
        <v>6</v>
      </c>
      <c r="N73" s="146">
        <v>5</v>
      </c>
      <c r="O73" s="55">
        <f>SUM(C73:N73)</f>
        <v>50</v>
      </c>
      <c r="P73" s="55">
        <f>1.8*(O73/COLUMNS(C73:N73))</f>
        <v>7.5000000000000009</v>
      </c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59"/>
      <c r="AS73" s="55"/>
    </row>
    <row r="74" spans="1:45">
      <c r="A74" s="55"/>
      <c r="B74" s="55" t="s">
        <v>108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145"/>
      <c r="O74" s="55">
        <f>SUM(C74:N74)</f>
        <v>0</v>
      </c>
      <c r="P74" s="55">
        <f>1.8*(O74/COLUMNS(C74:N74))</f>
        <v>0</v>
      </c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59"/>
      <c r="AS74" s="54"/>
    </row>
    <row r="75" spans="1:45">
      <c r="A75" s="57"/>
      <c r="B75" s="57" t="s">
        <v>55</v>
      </c>
      <c r="C75" s="55">
        <v>6</v>
      </c>
      <c r="D75" s="55">
        <v>5</v>
      </c>
      <c r="E75" s="55">
        <v>6</v>
      </c>
      <c r="F75" s="55">
        <v>6</v>
      </c>
      <c r="G75" s="55">
        <v>6</v>
      </c>
      <c r="H75" s="55">
        <v>4</v>
      </c>
      <c r="I75" s="55">
        <v>3</v>
      </c>
      <c r="J75" s="55">
        <v>6</v>
      </c>
      <c r="K75" s="55">
        <v>6</v>
      </c>
      <c r="L75" s="55">
        <v>4</v>
      </c>
      <c r="M75" s="55"/>
      <c r="N75" s="146">
        <v>6</v>
      </c>
      <c r="O75" s="55">
        <f>SUM(C75:N75)</f>
        <v>58</v>
      </c>
      <c r="P75" s="55">
        <f>1.8*(O75/COLUMNS(C75:N75))</f>
        <v>8.6999999999999993</v>
      </c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59"/>
      <c r="AS75" s="55"/>
    </row>
    <row r="76" spans="1:45">
      <c r="A76" s="57"/>
      <c r="B76" s="57" t="s">
        <v>56</v>
      </c>
      <c r="C76" s="55">
        <v>3</v>
      </c>
      <c r="D76" s="55">
        <v>5</v>
      </c>
      <c r="E76" s="55">
        <v>3</v>
      </c>
      <c r="F76" s="55">
        <v>2</v>
      </c>
      <c r="G76" s="55">
        <v>0</v>
      </c>
      <c r="H76" s="55">
        <v>4</v>
      </c>
      <c r="I76" s="55">
        <v>6</v>
      </c>
      <c r="J76" s="55">
        <v>2</v>
      </c>
      <c r="K76" s="55">
        <v>6</v>
      </c>
      <c r="L76" s="55">
        <v>2</v>
      </c>
      <c r="M76" s="55"/>
      <c r="N76" s="146"/>
      <c r="O76" s="55">
        <f>SUM(C76:N76)</f>
        <v>33</v>
      </c>
      <c r="P76" s="55">
        <f>1.8*(O76/COLUMNS(C76:N76))</f>
        <v>4.95</v>
      </c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59"/>
      <c r="AS76" s="55"/>
    </row>
    <row r="77" spans="1:45">
      <c r="A77" s="55"/>
      <c r="B77" s="55" t="s">
        <v>109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145"/>
      <c r="O77" s="55">
        <f>SUM(C77:N77)</f>
        <v>0</v>
      </c>
      <c r="P77" s="55">
        <f>1.8*(O77/COLUMNS(C77:N77))</f>
        <v>0</v>
      </c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59"/>
      <c r="AS77" s="54"/>
    </row>
    <row r="78" spans="1:45">
      <c r="A78" s="57"/>
      <c r="B78" s="57" t="s">
        <v>55</v>
      </c>
      <c r="C78" s="55">
        <v>6</v>
      </c>
      <c r="D78" s="55">
        <v>2</v>
      </c>
      <c r="E78" s="55">
        <v>6</v>
      </c>
      <c r="F78" s="55">
        <v>6</v>
      </c>
      <c r="G78" s="55">
        <v>6</v>
      </c>
      <c r="H78" s="55">
        <v>3</v>
      </c>
      <c r="I78" s="55">
        <v>4</v>
      </c>
      <c r="J78" s="55">
        <v>6</v>
      </c>
      <c r="K78" s="55">
        <v>6</v>
      </c>
      <c r="L78" s="55">
        <v>4</v>
      </c>
      <c r="M78" s="55"/>
      <c r="N78" s="146">
        <v>6</v>
      </c>
      <c r="O78" s="55">
        <f>SUM(C78:N78)</f>
        <v>55</v>
      </c>
      <c r="P78" s="55">
        <f>1.8*(O78/COLUMNS(C78:N78))</f>
        <v>8.25</v>
      </c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59"/>
      <c r="AS78" s="55"/>
    </row>
    <row r="79" spans="1:45">
      <c r="A79" s="57"/>
      <c r="B79" s="57" t="s">
        <v>56</v>
      </c>
      <c r="C79" s="55">
        <v>0</v>
      </c>
      <c r="D79" s="55">
        <v>6</v>
      </c>
      <c r="E79" s="55">
        <v>3</v>
      </c>
      <c r="F79" s="55">
        <v>2</v>
      </c>
      <c r="G79" s="55">
        <v>0</v>
      </c>
      <c r="H79" s="55">
        <v>3</v>
      </c>
      <c r="I79" s="55">
        <v>4</v>
      </c>
      <c r="J79" s="55">
        <v>2</v>
      </c>
      <c r="K79" s="55">
        <v>6</v>
      </c>
      <c r="L79" s="55">
        <v>2</v>
      </c>
      <c r="M79" s="55"/>
      <c r="N79" s="146"/>
      <c r="O79" s="55">
        <f>SUM(C79:N79)</f>
        <v>28</v>
      </c>
      <c r="P79" s="55">
        <f>1.8*(O79/COLUMNS(C79:N79))</f>
        <v>4.2</v>
      </c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59"/>
      <c r="AS79" s="55"/>
    </row>
    <row r="80" spans="1:45">
      <c r="A80" s="57"/>
      <c r="B80" s="53" t="s">
        <v>110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147"/>
      <c r="O80" s="55">
        <f>SUM(C80:N80)</f>
        <v>0</v>
      </c>
      <c r="P80" s="55">
        <f>1.8*(O80/COLUMNS(C80:N80))</f>
        <v>0</v>
      </c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59"/>
      <c r="AS80" s="57"/>
    </row>
    <row r="81" spans="1:45">
      <c r="A81" s="57"/>
      <c r="B81" s="57" t="s">
        <v>55</v>
      </c>
      <c r="C81" s="57">
        <v>6</v>
      </c>
      <c r="D81" s="57">
        <v>6</v>
      </c>
      <c r="E81" s="57">
        <v>6</v>
      </c>
      <c r="F81" s="57">
        <v>6</v>
      </c>
      <c r="G81" s="57">
        <v>6</v>
      </c>
      <c r="H81" s="57">
        <v>3</v>
      </c>
      <c r="I81" s="57">
        <v>6</v>
      </c>
      <c r="J81" s="57">
        <v>6</v>
      </c>
      <c r="K81" s="57">
        <v>6</v>
      </c>
      <c r="L81" s="57">
        <v>4</v>
      </c>
      <c r="M81" s="57"/>
      <c r="N81" s="147">
        <v>6</v>
      </c>
      <c r="O81" s="55">
        <f>SUM(C81:N81)</f>
        <v>61</v>
      </c>
      <c r="P81" s="55">
        <f>1.8*(O81/COLUMNS(C81:N81))</f>
        <v>9.15</v>
      </c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59"/>
      <c r="AS81" s="57"/>
    </row>
    <row r="82" spans="1:45">
      <c r="A82" s="57"/>
      <c r="B82" s="57" t="s">
        <v>56</v>
      </c>
      <c r="C82" s="57">
        <v>0</v>
      </c>
      <c r="D82" s="57">
        <v>5</v>
      </c>
      <c r="E82" s="57">
        <v>3</v>
      </c>
      <c r="F82" s="57">
        <v>2</v>
      </c>
      <c r="G82" s="57">
        <v>0</v>
      </c>
      <c r="H82" s="57">
        <v>3</v>
      </c>
      <c r="I82" s="57">
        <v>6</v>
      </c>
      <c r="J82" s="57">
        <v>2</v>
      </c>
      <c r="K82" s="57">
        <v>0</v>
      </c>
      <c r="L82" s="57">
        <v>2</v>
      </c>
      <c r="M82" s="57"/>
      <c r="N82" s="147"/>
      <c r="O82" s="55">
        <f>SUM(C82:N82)</f>
        <v>23</v>
      </c>
      <c r="P82" s="55">
        <f>1.8*(O82/COLUMNS(C82:N82))</f>
        <v>3.45</v>
      </c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59"/>
      <c r="AS82" s="57"/>
    </row>
    <row r="83" spans="1:45">
      <c r="A83" s="58"/>
      <c r="B83" s="58" t="s">
        <v>32</v>
      </c>
      <c r="C83" s="58">
        <f t="shared" ref="C83:L83" si="9">1.8*(C69+C72+C75+C78+C81)</f>
        <v>39.6</v>
      </c>
      <c r="D83" s="58">
        <f t="shared" si="9"/>
        <v>23.400000000000002</v>
      </c>
      <c r="E83" s="58">
        <f t="shared" si="9"/>
        <v>54</v>
      </c>
      <c r="F83" s="58">
        <f t="shared" si="9"/>
        <v>54</v>
      </c>
      <c r="G83" s="58">
        <f t="shared" si="9"/>
        <v>54</v>
      </c>
      <c r="H83" s="58">
        <f t="shared" si="9"/>
        <v>39.6</v>
      </c>
      <c r="I83" s="58">
        <f t="shared" si="9"/>
        <v>45</v>
      </c>
      <c r="J83" s="58">
        <f t="shared" si="9"/>
        <v>54</v>
      </c>
      <c r="K83" s="58">
        <f t="shared" si="9"/>
        <v>54</v>
      </c>
      <c r="L83" s="58">
        <f t="shared" si="9"/>
        <v>39.6</v>
      </c>
      <c r="M83" s="58">
        <f>1.8*(M69+M72+M75+M78+M81)</f>
        <v>21.6</v>
      </c>
      <c r="N83" s="148">
        <f>1.8*(N69+N72+N75+N78+N81)</f>
        <v>50.4</v>
      </c>
      <c r="O83" s="58">
        <f>AVERAGE(C83:N83)</f>
        <v>44.1</v>
      </c>
      <c r="P83" s="59">
        <f>P69+P72+P75+P78+P81</f>
        <v>44.1</v>
      </c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59"/>
      <c r="AS83" s="57"/>
    </row>
    <row r="84" spans="1:45">
      <c r="A84" s="57"/>
      <c r="B84" s="57" t="s">
        <v>33</v>
      </c>
      <c r="C84" s="57">
        <f t="shared" ref="C84:L84" si="10">1.8*(C70+C73+C76+C79+C82)</f>
        <v>10.8</v>
      </c>
      <c r="D84" s="57">
        <f t="shared" si="10"/>
        <v>28.8</v>
      </c>
      <c r="E84" s="57">
        <f t="shared" si="10"/>
        <v>27</v>
      </c>
      <c r="F84" s="57">
        <f t="shared" si="10"/>
        <v>25.2</v>
      </c>
      <c r="G84" s="57">
        <f t="shared" si="10"/>
        <v>10.8</v>
      </c>
      <c r="H84" s="57">
        <f t="shared" si="10"/>
        <v>39.6</v>
      </c>
      <c r="I84" s="57">
        <f t="shared" si="10"/>
        <v>50.4</v>
      </c>
      <c r="J84" s="57">
        <f t="shared" si="10"/>
        <v>32.4</v>
      </c>
      <c r="K84" s="57">
        <f t="shared" si="10"/>
        <v>43.2</v>
      </c>
      <c r="L84" s="57">
        <f t="shared" si="10"/>
        <v>28.8</v>
      </c>
      <c r="M84" s="57">
        <f>1.8*(M70+M73+M76+M79+M82)</f>
        <v>21.6</v>
      </c>
      <c r="N84" s="147">
        <f>1.8*(N70+N73+N76+N79+N82)</f>
        <v>18</v>
      </c>
      <c r="O84" s="121">
        <f>AVERAGE(C84:N84)</f>
        <v>28.05</v>
      </c>
      <c r="P84" s="120">
        <f>P70+P73+P76+P79+P82</f>
        <v>28.05</v>
      </c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59"/>
      <c r="AS84" s="57"/>
    </row>
    <row r="85" spans="1:45">
      <c r="A85" s="63"/>
      <c r="B85" s="63" t="s">
        <v>34</v>
      </c>
      <c r="C85" s="63">
        <f t="shared" ref="C85:L85" si="11">C83-C84</f>
        <v>28.8</v>
      </c>
      <c r="D85" s="63">
        <f t="shared" si="11"/>
        <v>-5.3999999999999986</v>
      </c>
      <c r="E85" s="63">
        <f t="shared" si="11"/>
        <v>27</v>
      </c>
      <c r="F85" s="63">
        <f t="shared" si="11"/>
        <v>28.8</v>
      </c>
      <c r="G85" s="63">
        <f t="shared" si="11"/>
        <v>43.2</v>
      </c>
      <c r="H85" s="63">
        <f t="shared" si="11"/>
        <v>0</v>
      </c>
      <c r="I85" s="63">
        <f t="shared" si="11"/>
        <v>-5.3999999999999986</v>
      </c>
      <c r="J85" s="63">
        <f t="shared" si="11"/>
        <v>21.6</v>
      </c>
      <c r="K85" s="63">
        <f t="shared" si="11"/>
        <v>10.799999999999997</v>
      </c>
      <c r="L85" s="63">
        <f t="shared" si="11"/>
        <v>10.8</v>
      </c>
      <c r="M85" s="63">
        <f>M83-M84</f>
        <v>0</v>
      </c>
      <c r="N85" s="149">
        <f>N83-N84</f>
        <v>32.4</v>
      </c>
      <c r="O85" s="63">
        <f>AVERAGE(C85:N85)</f>
        <v>16.05</v>
      </c>
      <c r="P85" s="64">
        <f>P83-P84</f>
        <v>16.05</v>
      </c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59"/>
      <c r="AS85" s="57"/>
    </row>
    <row r="86" spans="1:45">
      <c r="A86" s="2"/>
      <c r="B86" s="67" t="s">
        <v>65</v>
      </c>
      <c r="C86" s="68">
        <f t="shared" ref="C86:L86" si="12">C28+C48+C64+C83</f>
        <v>133.96</v>
      </c>
      <c r="D86" s="68">
        <f t="shared" si="12"/>
        <v>115.79000000000002</v>
      </c>
      <c r="E86" s="68">
        <f t="shared" si="12"/>
        <v>155.02000000000001</v>
      </c>
      <c r="F86" s="68">
        <f t="shared" si="12"/>
        <v>155.02000000000001</v>
      </c>
      <c r="G86" s="68">
        <f t="shared" si="12"/>
        <v>155.02000000000001</v>
      </c>
      <c r="H86" s="68">
        <f t="shared" si="12"/>
        <v>110.4</v>
      </c>
      <c r="I86" s="68">
        <f t="shared" si="12"/>
        <v>149.65</v>
      </c>
      <c r="J86" s="68">
        <f t="shared" si="12"/>
        <v>186.67000000000002</v>
      </c>
      <c r="K86" s="68">
        <f t="shared" si="12"/>
        <v>157.60000000000002</v>
      </c>
      <c r="L86" s="68">
        <f t="shared" si="12"/>
        <v>138.10999999999999</v>
      </c>
      <c r="M86" s="68">
        <f>M28+M48+M64+M83</f>
        <v>146.85000000000002</v>
      </c>
      <c r="N86" s="150">
        <f>N28+N48+N64+N83</f>
        <v>144.97</v>
      </c>
      <c r="O86" s="68">
        <f>AVERAGE(C86:N86)</f>
        <v>145.75500000000002</v>
      </c>
      <c r="P86" s="102">
        <f>P28+P48+P64+P83</f>
        <v>145.755</v>
      </c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59"/>
    </row>
    <row r="87" spans="1:45">
      <c r="A87" s="2"/>
      <c r="B87" s="67" t="s">
        <v>66</v>
      </c>
      <c r="C87" s="68">
        <f t="shared" ref="C87:L87" si="13">C29+C49+C65+C84</f>
        <v>56.94</v>
      </c>
      <c r="D87" s="68">
        <f t="shared" si="13"/>
        <v>83.11</v>
      </c>
      <c r="E87" s="68">
        <f t="shared" si="13"/>
        <v>56.96</v>
      </c>
      <c r="F87" s="68">
        <f t="shared" si="13"/>
        <v>59.7</v>
      </c>
      <c r="G87" s="68">
        <f t="shared" si="13"/>
        <v>49.84</v>
      </c>
      <c r="H87" s="68">
        <f t="shared" si="13"/>
        <v>115.84</v>
      </c>
      <c r="I87" s="68">
        <f t="shared" si="13"/>
        <v>114.37</v>
      </c>
      <c r="J87" s="68">
        <f t="shared" si="13"/>
        <v>109.45000000000002</v>
      </c>
      <c r="K87" s="68">
        <f t="shared" si="13"/>
        <v>91.18</v>
      </c>
      <c r="L87" s="68">
        <f t="shared" si="13"/>
        <v>121.86999999999999</v>
      </c>
      <c r="M87" s="68">
        <f>M29+M49+M65+M84</f>
        <v>87.57</v>
      </c>
      <c r="N87" s="150">
        <f>N29+N49+N65+N84</f>
        <v>129.66</v>
      </c>
      <c r="O87" s="155">
        <f>AVERAGE(C87:N87)</f>
        <v>89.707500000000024</v>
      </c>
      <c r="P87" s="156">
        <f>P29+P49+P65+P84</f>
        <v>89.707499999999996</v>
      </c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59"/>
    </row>
    <row r="88" spans="1:45">
      <c r="A88" s="103"/>
      <c r="B88" s="104" t="s">
        <v>67</v>
      </c>
      <c r="C88" s="105">
        <f t="shared" ref="C88:L88" si="14">C86-C87</f>
        <v>77.02000000000001</v>
      </c>
      <c r="D88" s="105">
        <f t="shared" si="14"/>
        <v>32.680000000000021</v>
      </c>
      <c r="E88" s="105">
        <f t="shared" si="14"/>
        <v>98.06</v>
      </c>
      <c r="F88" s="105">
        <f t="shared" si="14"/>
        <v>95.320000000000007</v>
      </c>
      <c r="G88" s="105">
        <f t="shared" si="14"/>
        <v>105.18</v>
      </c>
      <c r="H88" s="105">
        <f t="shared" si="14"/>
        <v>-5.4399999999999977</v>
      </c>
      <c r="I88" s="105">
        <f t="shared" si="14"/>
        <v>35.28</v>
      </c>
      <c r="J88" s="105">
        <f t="shared" si="14"/>
        <v>77.22</v>
      </c>
      <c r="K88" s="105">
        <f t="shared" si="14"/>
        <v>66.420000000000016</v>
      </c>
      <c r="L88" s="105">
        <f t="shared" si="14"/>
        <v>16.239999999999995</v>
      </c>
      <c r="M88" s="105">
        <f>M86-M87</f>
        <v>59.28000000000003</v>
      </c>
      <c r="N88" s="151">
        <f>N86-N87</f>
        <v>15.310000000000002</v>
      </c>
      <c r="O88" s="157">
        <f>AVERAGE(C88:N88)</f>
        <v>56.047499999999992</v>
      </c>
      <c r="P88" s="158">
        <f>P30+P50+P66+P85</f>
        <v>56.047499999999999</v>
      </c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59"/>
    </row>
    <row r="89" spans="1:45">
      <c r="A89" s="2"/>
      <c r="N89" s="152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61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</row>
    <row r="90" spans="1:45">
      <c r="A90" s="2"/>
      <c r="B90" s="67" t="s">
        <v>68</v>
      </c>
      <c r="C90" s="68">
        <f t="shared" ref="C90:L90" si="15">0.61*((15-ROUND(C11,0)) + (15-ROUND(C14,0)) + C17 + C20 + C23 + C26) + 0.136*(C33+C37+C41+C45) + 2.27*(C53+C56+C59+C62) + 1.8*(C69+C72+C75+C78+C81)</f>
        <v>133.96</v>
      </c>
      <c r="D90" s="68">
        <f t="shared" si="15"/>
        <v>115.79000000000002</v>
      </c>
      <c r="E90" s="68">
        <f t="shared" si="15"/>
        <v>155.02000000000001</v>
      </c>
      <c r="F90" s="68">
        <f t="shared" si="15"/>
        <v>155.02000000000001</v>
      </c>
      <c r="G90" s="68">
        <f t="shared" si="15"/>
        <v>155.02000000000001</v>
      </c>
      <c r="H90" s="68">
        <f t="shared" si="15"/>
        <v>110.4</v>
      </c>
      <c r="I90" s="68">
        <f t="shared" si="15"/>
        <v>149.65</v>
      </c>
      <c r="J90" s="68">
        <f t="shared" si="15"/>
        <v>186.67000000000002</v>
      </c>
      <c r="K90" s="68">
        <f t="shared" si="15"/>
        <v>157.60000000000002</v>
      </c>
      <c r="L90" s="68">
        <f t="shared" si="15"/>
        <v>138.10999999999999</v>
      </c>
      <c r="M90" s="68">
        <f>0.61*((15-ROUND(M11,0)) + (15-ROUND(M14,0)) + M17 + M20 + M23 + M26) + 0.136*(M33+M37+M41+M45) + 2.27*(M53+M56+M59+M62) + 1.8*(M69+M72+M75+M78+M81)</f>
        <v>146.85000000000002</v>
      </c>
      <c r="N90" s="150">
        <f>0.61*((15-ROUND(N11,0)) + (15-ROUND(N14,0)) + N17 + N20 + N23 + N26) + 0.136*(N33+N37+N41+N45) + 2.27*(N53+N56+N59+N62) + 1.8*(N69+N72+N75+N78+N81)</f>
        <v>144.97</v>
      </c>
      <c r="O90" s="68">
        <f>AVERAGE(C90:N90)</f>
        <v>145.75500000000002</v>
      </c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59"/>
    </row>
    <row r="91" spans="1:45">
      <c r="A91" s="70"/>
      <c r="B91" s="107" t="s">
        <v>69</v>
      </c>
      <c r="C91" s="70">
        <f t="shared" ref="C91:L91" si="16">0.61*((15-ROUND(C12,0)) + (15-ROUND(C15,0)) + C18 + C21 + C24 + C27) + 0.136*(C34+C38+C42+C46) + 2.27*(C54+C57+C60+C63) + 1.8*(C70+C73+C76+C79+C82)</f>
        <v>56.94</v>
      </c>
      <c r="D91" s="70">
        <f t="shared" si="16"/>
        <v>83.11</v>
      </c>
      <c r="E91" s="70">
        <f t="shared" si="16"/>
        <v>56.96</v>
      </c>
      <c r="F91" s="70">
        <f t="shared" si="16"/>
        <v>59.7</v>
      </c>
      <c r="G91" s="70">
        <f t="shared" si="16"/>
        <v>49.84</v>
      </c>
      <c r="H91" s="70">
        <f t="shared" si="16"/>
        <v>115.84</v>
      </c>
      <c r="I91" s="70">
        <f t="shared" si="16"/>
        <v>114.37</v>
      </c>
      <c r="J91" s="70">
        <f t="shared" si="16"/>
        <v>109.45000000000002</v>
      </c>
      <c r="K91" s="70">
        <f t="shared" si="16"/>
        <v>91.18</v>
      </c>
      <c r="L91" s="70">
        <f t="shared" si="16"/>
        <v>121.86999999999999</v>
      </c>
      <c r="M91" s="70">
        <f>0.61*((15-ROUND(M12,0)) + (15-ROUND(M15,0)) + M18 + M21 + M24 + M27) + 0.136*(M34+M38+M42+M46) + 2.27*(M54+M57+M60+M63) + 1.8*(M70+M73+M76+M79+M82)</f>
        <v>87.57</v>
      </c>
      <c r="N91" s="153">
        <f>0.61*((15-ROUND(N12,0)) + (15-ROUND(N15,0)) + N18 + N21 + N24 + N27) + 0.136*(N34+N38+N42+N46) + 2.27*(N54+N57+N60+N63) + 1.8*(N70+N73+N76+N79+N82)</f>
        <v>129.66</v>
      </c>
      <c r="O91" s="68">
        <f>AVERAGE(C91:N91)</f>
        <v>89.707500000000024</v>
      </c>
      <c r="P91" s="70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59"/>
      <c r="AS91" s="70"/>
    </row>
    <row r="92" spans="1:45">
      <c r="A92" s="71"/>
      <c r="B92" s="72" t="s">
        <v>70</v>
      </c>
      <c r="C92" s="72">
        <v>77.02</v>
      </c>
      <c r="D92" s="72">
        <v>32.68</v>
      </c>
      <c r="E92" s="72">
        <v>98.06</v>
      </c>
      <c r="F92" s="72">
        <v>95.32</v>
      </c>
      <c r="G92" s="72">
        <v>105.18</v>
      </c>
      <c r="H92" s="72">
        <v>-5.44</v>
      </c>
      <c r="I92" s="72">
        <v>35.28</v>
      </c>
      <c r="J92" s="72">
        <v>77.22</v>
      </c>
      <c r="K92" s="72">
        <v>66.42</v>
      </c>
      <c r="L92" s="73">
        <f>L90-L91</f>
        <v>16.239999999999995</v>
      </c>
      <c r="M92" s="72">
        <v>59.28</v>
      </c>
      <c r="N92" s="154">
        <v>15.31</v>
      </c>
      <c r="O92" s="68">
        <f>AVERAGE(C92:N92)</f>
        <v>56.047499999999992</v>
      </c>
      <c r="P92" s="72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59"/>
      <c r="AS92" s="72"/>
    </row>
    <row r="93" spans="1:45">
      <c r="A93" s="2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61"/>
      <c r="AQ93" s="159"/>
    </row>
    <row r="94" spans="1:45">
      <c r="A94" s="2"/>
      <c r="B94" s="67" t="s">
        <v>15</v>
      </c>
      <c r="C94" s="68">
        <f>AVERAGE(C92:AP92)</f>
        <v>56.047499999999999</v>
      </c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61"/>
      <c r="AQ94" s="159"/>
    </row>
    <row r="95" spans="1:45">
      <c r="A95" s="2"/>
      <c r="B95" s="67" t="s">
        <v>71</v>
      </c>
      <c r="C95" s="9">
        <f>MEDIAN(C92:AP92)</f>
        <v>59.28</v>
      </c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61"/>
      <c r="AQ95" s="159"/>
    </row>
    <row r="96" spans="1:45">
      <c r="A96" s="2"/>
      <c r="B96" s="67" t="s">
        <v>72</v>
      </c>
      <c r="C96" s="68">
        <f t="shared" ref="C96:C97" si="17">AVERAGE(C90:AP90)</f>
        <v>145.75500000000002</v>
      </c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61"/>
      <c r="AQ96" s="159"/>
    </row>
    <row r="97" spans="1:43">
      <c r="A97" s="2"/>
      <c r="B97" s="67" t="s">
        <v>73</v>
      </c>
      <c r="C97" s="68">
        <f t="shared" si="17"/>
        <v>89.70750000000001</v>
      </c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61"/>
      <c r="AQ97" s="159"/>
    </row>
    <row r="98" spans="1:43">
      <c r="A98" s="2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61"/>
      <c r="AQ98" s="159"/>
    </row>
    <row r="99" spans="1:43">
      <c r="A99" s="2"/>
      <c r="B99" s="187"/>
      <c r="C99" s="186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61"/>
      <c r="AQ99" s="159"/>
    </row>
    <row r="100" spans="1:43">
      <c r="A100" s="2"/>
      <c r="B100" s="188"/>
      <c r="C100" s="186"/>
      <c r="AP100" s="101"/>
    </row>
    <row r="101" spans="1:43">
      <c r="A101" s="2"/>
      <c r="B101" s="187"/>
      <c r="C101" s="186"/>
      <c r="AP101" s="101"/>
    </row>
    <row r="102" spans="1:43">
      <c r="A102" s="2"/>
      <c r="B102" s="188"/>
      <c r="C102" s="186"/>
      <c r="AP102" s="101"/>
    </row>
    <row r="103" spans="1:43">
      <c r="A103" s="2"/>
      <c r="B103" s="188"/>
      <c r="C103" s="186"/>
      <c r="AP103" s="101"/>
    </row>
    <row r="104" spans="1:43">
      <c r="A104" s="2"/>
      <c r="B104" s="185"/>
      <c r="C104" s="186"/>
      <c r="AP104" s="101"/>
    </row>
    <row r="105" spans="1:43">
      <c r="A105" s="2"/>
      <c r="B105" s="185"/>
      <c r="C105" s="185"/>
      <c r="AP105" s="101"/>
    </row>
    <row r="106" spans="1:43">
      <c r="A106" s="2"/>
      <c r="B106" s="185"/>
      <c r="C106" s="185"/>
      <c r="AP106" s="101"/>
    </row>
    <row r="107" spans="1:43">
      <c r="A107" s="2"/>
      <c r="B107" s="185"/>
      <c r="C107" s="185"/>
      <c r="AP107" s="101"/>
    </row>
    <row r="108" spans="1:43">
      <c r="A108" s="2"/>
      <c r="AP108" s="101"/>
    </row>
    <row r="109" spans="1:43">
      <c r="A109" s="2"/>
      <c r="AP109" s="101"/>
    </row>
    <row r="110" spans="1:43">
      <c r="A110" s="2"/>
      <c r="AP110" s="101"/>
    </row>
    <row r="111" spans="1:43">
      <c r="A111" s="2"/>
      <c r="AP111" s="101"/>
    </row>
    <row r="112" spans="1:43">
      <c r="A112" s="2"/>
      <c r="AP112" s="101"/>
    </row>
    <row r="113" spans="1:42">
      <c r="A113" s="2"/>
      <c r="AP113" s="101"/>
    </row>
    <row r="114" spans="1:42">
      <c r="A114" s="2"/>
      <c r="AP114" s="101"/>
    </row>
    <row r="115" spans="1:42">
      <c r="A115" s="2"/>
      <c r="AP115" s="101"/>
    </row>
    <row r="116" spans="1:42">
      <c r="A116" s="2"/>
      <c r="AP116" s="101"/>
    </row>
    <row r="117" spans="1:42">
      <c r="A117" s="2"/>
      <c r="AP117" s="101"/>
    </row>
    <row r="118" spans="1:42">
      <c r="A118" s="2"/>
      <c r="AP118" s="101"/>
    </row>
    <row r="119" spans="1:42">
      <c r="A119" s="2"/>
      <c r="AP119" s="101"/>
    </row>
    <row r="120" spans="1:42">
      <c r="A120" s="2"/>
      <c r="AP120" s="101"/>
    </row>
    <row r="121" spans="1:42">
      <c r="A121" s="2"/>
      <c r="AP121" s="101"/>
    </row>
    <row r="122" spans="1:42">
      <c r="A122" s="2"/>
      <c r="AP122" s="101"/>
    </row>
    <row r="123" spans="1:42">
      <c r="A123" s="2"/>
      <c r="AP123" s="101"/>
    </row>
    <row r="124" spans="1:42">
      <c r="A124" s="2"/>
      <c r="AP124" s="101"/>
    </row>
    <row r="125" spans="1:42">
      <c r="A125" s="2"/>
      <c r="AP125" s="101"/>
    </row>
    <row r="126" spans="1:42">
      <c r="A126" s="2"/>
      <c r="AP126" s="101"/>
    </row>
    <row r="127" spans="1:42">
      <c r="A127" s="2"/>
      <c r="AP127" s="101"/>
    </row>
    <row r="128" spans="1:42">
      <c r="A128" s="2"/>
      <c r="AP128" s="101"/>
    </row>
    <row r="129" spans="1:42">
      <c r="A129" s="2"/>
      <c r="AP129" s="101"/>
    </row>
    <row r="130" spans="1:42">
      <c r="A130" s="2"/>
      <c r="AP130" s="101"/>
    </row>
    <row r="131" spans="1:42">
      <c r="A131" s="2"/>
      <c r="AP131" s="101"/>
    </row>
    <row r="132" spans="1:42">
      <c r="A132" s="2"/>
      <c r="AP132" s="101"/>
    </row>
    <row r="133" spans="1:42">
      <c r="A133" s="2"/>
      <c r="AP133" s="101"/>
    </row>
    <row r="134" spans="1:42">
      <c r="A134" s="2"/>
      <c r="AP134" s="101"/>
    </row>
    <row r="135" spans="1:42">
      <c r="A135" s="2"/>
      <c r="AP135" s="101"/>
    </row>
    <row r="136" spans="1:42">
      <c r="A136" s="2"/>
      <c r="AP136" s="101"/>
    </row>
    <row r="137" spans="1:42">
      <c r="A137" s="2"/>
      <c r="AP137" s="101"/>
    </row>
    <row r="138" spans="1:42">
      <c r="A138" s="2"/>
      <c r="AP138" s="101"/>
    </row>
    <row r="139" spans="1:42">
      <c r="A139" s="2"/>
      <c r="AP139" s="101"/>
    </row>
    <row r="140" spans="1:42">
      <c r="A140" s="2"/>
      <c r="AP140" s="101"/>
    </row>
    <row r="141" spans="1:42">
      <c r="A141" s="2"/>
      <c r="AP141" s="101"/>
    </row>
    <row r="142" spans="1:42">
      <c r="A142" s="2"/>
      <c r="AP142" s="101"/>
    </row>
    <row r="143" spans="1:42">
      <c r="A143" s="2"/>
      <c r="AP143" s="101"/>
    </row>
    <row r="144" spans="1:42">
      <c r="A144" s="2"/>
      <c r="AP144" s="101"/>
    </row>
    <row r="145" spans="1:42">
      <c r="A145" s="2"/>
      <c r="AP145" s="101"/>
    </row>
    <row r="146" spans="1:42">
      <c r="A146" s="2"/>
      <c r="AP146" s="101"/>
    </row>
    <row r="147" spans="1:42">
      <c r="A147" s="2"/>
      <c r="AP147" s="101"/>
    </row>
    <row r="148" spans="1:42">
      <c r="A148" s="2"/>
      <c r="AP148" s="101"/>
    </row>
    <row r="149" spans="1:42">
      <c r="A149" s="2"/>
      <c r="AP149" s="101"/>
    </row>
    <row r="150" spans="1:42">
      <c r="A150" s="2"/>
      <c r="AP150" s="101"/>
    </row>
    <row r="151" spans="1:42">
      <c r="A151" s="2"/>
      <c r="AP151" s="101"/>
    </row>
    <row r="152" spans="1:42">
      <c r="A152" s="2"/>
      <c r="AP152" s="101"/>
    </row>
    <row r="153" spans="1:42">
      <c r="A153" s="2"/>
      <c r="AP153" s="101"/>
    </row>
    <row r="154" spans="1:42">
      <c r="A154" s="2"/>
      <c r="AP154" s="101"/>
    </row>
    <row r="155" spans="1:42">
      <c r="A155" s="2"/>
      <c r="AP155" s="101"/>
    </row>
    <row r="156" spans="1:42">
      <c r="A156" s="2"/>
      <c r="AP156" s="101"/>
    </row>
    <row r="157" spans="1:42">
      <c r="A157" s="2"/>
      <c r="AP157" s="101"/>
    </row>
    <row r="158" spans="1:42">
      <c r="A158" s="2"/>
      <c r="AP158" s="101"/>
    </row>
    <row r="159" spans="1:42">
      <c r="A159" s="2"/>
      <c r="AP159" s="101"/>
    </row>
    <row r="160" spans="1:42">
      <c r="A160" s="2"/>
      <c r="AP160" s="101"/>
    </row>
    <row r="161" spans="1:42">
      <c r="A161" s="2"/>
      <c r="AP161" s="101"/>
    </row>
    <row r="162" spans="1:42">
      <c r="A162" s="2"/>
      <c r="AP162" s="101"/>
    </row>
    <row r="163" spans="1:42">
      <c r="A163" s="2"/>
      <c r="AP163" s="101"/>
    </row>
    <row r="164" spans="1:42">
      <c r="A164" s="2"/>
      <c r="AP164" s="101"/>
    </row>
    <row r="165" spans="1:42">
      <c r="A165" s="2"/>
      <c r="AP165" s="101"/>
    </row>
    <row r="166" spans="1:42">
      <c r="A166" s="2"/>
      <c r="AP166" s="101"/>
    </row>
    <row r="167" spans="1:42">
      <c r="A167" s="2"/>
      <c r="AP167" s="101"/>
    </row>
    <row r="168" spans="1:42">
      <c r="A168" s="2"/>
      <c r="AP168" s="101"/>
    </row>
    <row r="169" spans="1:42">
      <c r="A169" s="2"/>
      <c r="AP169" s="101"/>
    </row>
    <row r="170" spans="1:42">
      <c r="A170" s="2"/>
      <c r="AP170" s="101"/>
    </row>
    <row r="171" spans="1:42">
      <c r="A171" s="2"/>
      <c r="AP171" s="101"/>
    </row>
    <row r="172" spans="1:42">
      <c r="A172" s="2"/>
      <c r="AP172" s="101"/>
    </row>
    <row r="173" spans="1:42">
      <c r="A173" s="2"/>
      <c r="AP173" s="101"/>
    </row>
    <row r="174" spans="1:42">
      <c r="A174" s="2"/>
      <c r="AP174" s="101"/>
    </row>
    <row r="175" spans="1:42">
      <c r="A175" s="2"/>
      <c r="AP175" s="101"/>
    </row>
    <row r="176" spans="1:42">
      <c r="A176" s="2"/>
      <c r="AP176" s="101"/>
    </row>
    <row r="177" spans="1:42">
      <c r="A177" s="2"/>
      <c r="AP177" s="101"/>
    </row>
    <row r="178" spans="1:42">
      <c r="A178" s="2"/>
      <c r="AP178" s="101"/>
    </row>
    <row r="179" spans="1:42">
      <c r="A179" s="2"/>
      <c r="AP179" s="101"/>
    </row>
    <row r="180" spans="1:42">
      <c r="A180" s="2"/>
      <c r="AP180" s="101"/>
    </row>
    <row r="181" spans="1:42">
      <c r="A181" s="2"/>
      <c r="AP181" s="101"/>
    </row>
    <row r="182" spans="1:42">
      <c r="A182" s="2"/>
      <c r="AP182" s="101"/>
    </row>
    <row r="183" spans="1:42">
      <c r="A183" s="2"/>
      <c r="AP183" s="101"/>
    </row>
    <row r="184" spans="1:42">
      <c r="A184" s="2"/>
      <c r="AP184" s="101"/>
    </row>
    <row r="185" spans="1:42">
      <c r="A185" s="2"/>
      <c r="AP185" s="101"/>
    </row>
    <row r="186" spans="1:42">
      <c r="A186" s="2"/>
      <c r="AP186" s="101"/>
    </row>
    <row r="187" spans="1:42">
      <c r="A187" s="2"/>
      <c r="AP187" s="101"/>
    </row>
    <row r="188" spans="1:42">
      <c r="A188" s="2"/>
      <c r="AP188" s="101"/>
    </row>
    <row r="189" spans="1:42">
      <c r="A189" s="2"/>
      <c r="AP189" s="101"/>
    </row>
    <row r="190" spans="1:42">
      <c r="A190" s="2"/>
      <c r="AP190" s="101"/>
    </row>
    <row r="191" spans="1:42">
      <c r="A191" s="2"/>
      <c r="AP191" s="101"/>
    </row>
    <row r="192" spans="1:42">
      <c r="A192" s="2"/>
      <c r="AP192" s="101"/>
    </row>
    <row r="193" spans="1:42">
      <c r="A193" s="2"/>
      <c r="AP193" s="101"/>
    </row>
    <row r="194" spans="1:42">
      <c r="A194" s="2"/>
      <c r="AP194" s="101"/>
    </row>
    <row r="195" spans="1:42">
      <c r="A195" s="2"/>
      <c r="AP195" s="101"/>
    </row>
    <row r="196" spans="1:42">
      <c r="A196" s="2"/>
      <c r="AP196" s="101"/>
    </row>
    <row r="197" spans="1:42">
      <c r="A197" s="2"/>
      <c r="AP197" s="101"/>
    </row>
    <row r="198" spans="1:42">
      <c r="A198" s="2"/>
      <c r="AP198" s="101"/>
    </row>
    <row r="199" spans="1:42">
      <c r="A199" s="2"/>
      <c r="AP199" s="101"/>
    </row>
    <row r="200" spans="1:42">
      <c r="A200" s="2"/>
      <c r="AP200" s="101"/>
    </row>
    <row r="201" spans="1:42">
      <c r="A201" s="2"/>
      <c r="AP201" s="101"/>
    </row>
    <row r="202" spans="1:42">
      <c r="A202" s="2"/>
      <c r="AP202" s="101"/>
    </row>
    <row r="203" spans="1:42">
      <c r="A203" s="2"/>
      <c r="AP203" s="101"/>
    </row>
    <row r="204" spans="1:42">
      <c r="A204" s="2"/>
      <c r="AP204" s="101"/>
    </row>
    <row r="205" spans="1:42">
      <c r="A205" s="2"/>
      <c r="AP205" s="101"/>
    </row>
    <row r="206" spans="1:42">
      <c r="A206" s="2"/>
      <c r="AP206" s="101"/>
    </row>
    <row r="207" spans="1:42">
      <c r="A207" s="2"/>
      <c r="AP207" s="101"/>
    </row>
    <row r="208" spans="1:42">
      <c r="A208" s="2"/>
      <c r="AP208" s="101"/>
    </row>
    <row r="209" spans="1:42">
      <c r="A209" s="2"/>
      <c r="AP209" s="101"/>
    </row>
    <row r="210" spans="1:42">
      <c r="A210" s="2"/>
      <c r="AP210" s="101"/>
    </row>
    <row r="211" spans="1:42">
      <c r="A211" s="2"/>
      <c r="AP211" s="101"/>
    </row>
    <row r="212" spans="1:42">
      <c r="A212" s="2"/>
      <c r="AP212" s="101"/>
    </row>
    <row r="213" spans="1:42">
      <c r="A213" s="2"/>
      <c r="AP213" s="101"/>
    </row>
    <row r="214" spans="1:42">
      <c r="A214" s="2"/>
      <c r="AP214" s="101"/>
    </row>
    <row r="215" spans="1:42">
      <c r="A215" s="2"/>
      <c r="AP215" s="101"/>
    </row>
    <row r="216" spans="1:42">
      <c r="A216" s="2"/>
      <c r="AP216" s="101"/>
    </row>
    <row r="217" spans="1:42">
      <c r="A217" s="2"/>
      <c r="AP217" s="101"/>
    </row>
    <row r="218" spans="1:42">
      <c r="A218" s="2"/>
      <c r="AP218" s="101"/>
    </row>
    <row r="219" spans="1:42">
      <c r="A219" s="2"/>
      <c r="AP219" s="101"/>
    </row>
    <row r="220" spans="1:42">
      <c r="A220" s="2"/>
      <c r="AP220" s="101"/>
    </row>
    <row r="221" spans="1:42">
      <c r="A221" s="2"/>
      <c r="AP221" s="101"/>
    </row>
    <row r="222" spans="1:42">
      <c r="A222" s="2"/>
      <c r="AP222" s="101"/>
    </row>
    <row r="223" spans="1:42">
      <c r="A223" s="2"/>
      <c r="AP223" s="101"/>
    </row>
    <row r="224" spans="1:42">
      <c r="A224" s="2"/>
      <c r="AP224" s="101"/>
    </row>
    <row r="225" spans="1:42">
      <c r="A225" s="2"/>
      <c r="AP225" s="101"/>
    </row>
    <row r="226" spans="1:42">
      <c r="A226" s="2"/>
      <c r="AP226" s="101"/>
    </row>
    <row r="227" spans="1:42">
      <c r="A227" s="2"/>
      <c r="AP227" s="101"/>
    </row>
    <row r="228" spans="1:42">
      <c r="A228" s="2"/>
      <c r="AP228" s="101"/>
    </row>
    <row r="229" spans="1:42">
      <c r="A229" s="2"/>
      <c r="AP229" s="101"/>
    </row>
    <row r="230" spans="1:42">
      <c r="A230" s="2"/>
      <c r="AP230" s="101"/>
    </row>
    <row r="231" spans="1:42">
      <c r="A231" s="2"/>
      <c r="AP231" s="101"/>
    </row>
    <row r="232" spans="1:42">
      <c r="A232" s="2"/>
      <c r="AP232" s="101"/>
    </row>
    <row r="233" spans="1:42">
      <c r="A233" s="2"/>
      <c r="AP233" s="101"/>
    </row>
    <row r="234" spans="1:42">
      <c r="A234" s="2"/>
      <c r="AP234" s="101"/>
    </row>
    <row r="235" spans="1:42">
      <c r="A235" s="2"/>
      <c r="AP235" s="101"/>
    </row>
    <row r="236" spans="1:42">
      <c r="A236" s="2"/>
      <c r="AP236" s="101"/>
    </row>
    <row r="237" spans="1:42">
      <c r="A237" s="2"/>
      <c r="AP237" s="101"/>
    </row>
    <row r="238" spans="1:42">
      <c r="A238" s="2"/>
      <c r="AP238" s="101"/>
    </row>
    <row r="239" spans="1:42">
      <c r="A239" s="2"/>
      <c r="AP239" s="101"/>
    </row>
    <row r="240" spans="1:42">
      <c r="A240" s="2"/>
      <c r="AP240" s="101"/>
    </row>
    <row r="241" spans="1:42">
      <c r="A241" s="2"/>
      <c r="AP241" s="101"/>
    </row>
    <row r="242" spans="1:42">
      <c r="A242" s="2"/>
      <c r="AP242" s="101"/>
    </row>
    <row r="243" spans="1:42">
      <c r="A243" s="2"/>
      <c r="AP243" s="101"/>
    </row>
    <row r="244" spans="1:42">
      <c r="A244" s="2"/>
      <c r="AP244" s="101"/>
    </row>
    <row r="245" spans="1:42">
      <c r="A245" s="2"/>
      <c r="AP245" s="101"/>
    </row>
    <row r="246" spans="1:42">
      <c r="A246" s="2"/>
      <c r="AP246" s="101"/>
    </row>
    <row r="247" spans="1:42">
      <c r="A247" s="2"/>
      <c r="AP247" s="101"/>
    </row>
    <row r="248" spans="1:42">
      <c r="A248" s="2"/>
      <c r="AP248" s="101"/>
    </row>
    <row r="249" spans="1:42">
      <c r="A249" s="2"/>
      <c r="AP249" s="101"/>
    </row>
    <row r="250" spans="1:42">
      <c r="A250" s="2"/>
      <c r="AP250" s="101"/>
    </row>
    <row r="251" spans="1:42">
      <c r="A251" s="2"/>
      <c r="AP251" s="101"/>
    </row>
    <row r="252" spans="1:42">
      <c r="A252" s="2"/>
      <c r="AP252" s="101"/>
    </row>
    <row r="253" spans="1:42">
      <c r="A253" s="2"/>
      <c r="AP253" s="101"/>
    </row>
    <row r="254" spans="1:42">
      <c r="A254" s="2"/>
      <c r="AP254" s="101"/>
    </row>
    <row r="255" spans="1:42">
      <c r="A255" s="2"/>
      <c r="AP255" s="101"/>
    </row>
    <row r="256" spans="1:42">
      <c r="A256" s="2"/>
      <c r="AP256" s="101"/>
    </row>
    <row r="257" spans="1:42">
      <c r="A257" s="2"/>
      <c r="AP257" s="101"/>
    </row>
    <row r="258" spans="1:42">
      <c r="A258" s="2"/>
      <c r="AP258" s="101"/>
    </row>
    <row r="259" spans="1:42">
      <c r="A259" s="2"/>
      <c r="AP259" s="101"/>
    </row>
    <row r="260" spans="1:42">
      <c r="A260" s="2"/>
      <c r="AP260" s="101"/>
    </row>
    <row r="261" spans="1:42">
      <c r="A261" s="2"/>
      <c r="AP261" s="101"/>
    </row>
    <row r="262" spans="1:42">
      <c r="A262" s="2"/>
      <c r="AP262" s="101"/>
    </row>
    <row r="263" spans="1:42">
      <c r="A263" s="2"/>
      <c r="AP263" s="101"/>
    </row>
    <row r="264" spans="1:42">
      <c r="A264" s="2"/>
      <c r="AP264" s="101"/>
    </row>
    <row r="265" spans="1:42">
      <c r="A265" s="2"/>
      <c r="AP265" s="101"/>
    </row>
    <row r="266" spans="1:42">
      <c r="A266" s="2"/>
      <c r="AP266" s="101"/>
    </row>
    <row r="267" spans="1:42">
      <c r="A267" s="2"/>
      <c r="AP267" s="101"/>
    </row>
    <row r="268" spans="1:42">
      <c r="A268" s="2"/>
      <c r="AP268" s="101"/>
    </row>
    <row r="269" spans="1:42">
      <c r="A269" s="2"/>
      <c r="AP269" s="101"/>
    </row>
    <row r="270" spans="1:42">
      <c r="A270" s="2"/>
      <c r="AP270" s="101"/>
    </row>
    <row r="271" spans="1:42">
      <c r="A271" s="2"/>
      <c r="AP271" s="101"/>
    </row>
    <row r="272" spans="1:42">
      <c r="A272" s="2"/>
      <c r="AP272" s="101"/>
    </row>
    <row r="273" spans="1:42">
      <c r="A273" s="2"/>
      <c r="AP273" s="101"/>
    </row>
    <row r="274" spans="1:42">
      <c r="A274" s="2"/>
      <c r="AP274" s="101"/>
    </row>
    <row r="275" spans="1:42">
      <c r="A275" s="2"/>
      <c r="AP275" s="101"/>
    </row>
    <row r="276" spans="1:42">
      <c r="A276" s="2"/>
      <c r="AP276" s="101"/>
    </row>
    <row r="277" spans="1:42">
      <c r="A277" s="2"/>
      <c r="AP277" s="101"/>
    </row>
    <row r="278" spans="1:42">
      <c r="A278" s="2"/>
      <c r="AP278" s="101"/>
    </row>
    <row r="279" spans="1:42">
      <c r="A279" s="2"/>
      <c r="AP279" s="101"/>
    </row>
    <row r="280" spans="1:42">
      <c r="A280" s="2"/>
      <c r="AP280" s="101"/>
    </row>
    <row r="281" spans="1:42">
      <c r="A281" s="2"/>
      <c r="AP281" s="101"/>
    </row>
    <row r="282" spans="1:42">
      <c r="A282" s="2"/>
      <c r="AP282" s="101"/>
    </row>
    <row r="283" spans="1:42">
      <c r="A283" s="2"/>
      <c r="AP283" s="101"/>
    </row>
    <row r="284" spans="1:42">
      <c r="A284" s="2"/>
      <c r="AP284" s="101"/>
    </row>
    <row r="285" spans="1:42">
      <c r="A285" s="2"/>
      <c r="AP285" s="101"/>
    </row>
    <row r="286" spans="1:42">
      <c r="A286" s="2"/>
      <c r="AP286" s="101"/>
    </row>
    <row r="287" spans="1:42">
      <c r="A287" s="2"/>
      <c r="AP287" s="101"/>
    </row>
    <row r="288" spans="1:42">
      <c r="A288" s="2"/>
      <c r="AP288" s="101"/>
    </row>
    <row r="289" spans="1:42">
      <c r="A289" s="2"/>
      <c r="AP289" s="101"/>
    </row>
    <row r="290" spans="1:42">
      <c r="A290" s="2"/>
      <c r="AP290" s="101"/>
    </row>
    <row r="291" spans="1:42">
      <c r="A291" s="2"/>
      <c r="AP291" s="101"/>
    </row>
    <row r="292" spans="1:42">
      <c r="A292" s="2"/>
      <c r="AP292" s="101"/>
    </row>
    <row r="293" spans="1:42">
      <c r="A293" s="2"/>
      <c r="AP293" s="101"/>
    </row>
    <row r="294" spans="1:42">
      <c r="A294" s="2"/>
      <c r="AP294" s="101"/>
    </row>
    <row r="295" spans="1:42">
      <c r="A295" s="2"/>
      <c r="AP295" s="101"/>
    </row>
    <row r="296" spans="1:42">
      <c r="A296" s="2"/>
      <c r="AP296" s="101"/>
    </row>
    <row r="297" spans="1:42">
      <c r="A297" s="2"/>
      <c r="AP297" s="101"/>
    </row>
    <row r="298" spans="1:42">
      <c r="A298" s="2"/>
      <c r="AP298" s="101"/>
    </row>
    <row r="299" spans="1:42">
      <c r="A299" s="2"/>
      <c r="AP299" s="101"/>
    </row>
    <row r="300" spans="1:42">
      <c r="A300" s="2"/>
      <c r="AP300" s="101"/>
    </row>
    <row r="301" spans="1:42">
      <c r="A301" s="2"/>
      <c r="AP301" s="101"/>
    </row>
    <row r="302" spans="1:42">
      <c r="A302" s="2"/>
      <c r="AP302" s="101"/>
    </row>
    <row r="303" spans="1:42">
      <c r="A303" s="2"/>
      <c r="AP303" s="101"/>
    </row>
    <row r="304" spans="1:42">
      <c r="A304" s="2"/>
      <c r="AP304" s="101"/>
    </row>
    <row r="305" spans="1:42">
      <c r="A305" s="2"/>
      <c r="AP305" s="101"/>
    </row>
    <row r="306" spans="1:42">
      <c r="A306" s="2"/>
      <c r="AP306" s="101"/>
    </row>
    <row r="307" spans="1:42">
      <c r="A307" s="2"/>
      <c r="AP307" s="101"/>
    </row>
    <row r="308" spans="1:42">
      <c r="A308" s="2"/>
      <c r="AP308" s="101"/>
    </row>
    <row r="309" spans="1:42">
      <c r="A309" s="2"/>
      <c r="AP309" s="101"/>
    </row>
    <row r="310" spans="1:42">
      <c r="A310" s="2"/>
      <c r="AP310" s="101"/>
    </row>
    <row r="311" spans="1:42">
      <c r="A311" s="2"/>
      <c r="AP311" s="101"/>
    </row>
    <row r="312" spans="1:42">
      <c r="A312" s="2"/>
      <c r="AP312" s="101"/>
    </row>
    <row r="313" spans="1:42">
      <c r="A313" s="2"/>
      <c r="AP313" s="101"/>
    </row>
    <row r="314" spans="1:42">
      <c r="A314" s="2"/>
      <c r="AP314" s="101"/>
    </row>
    <row r="315" spans="1:42">
      <c r="A315" s="2"/>
      <c r="AP315" s="101"/>
    </row>
    <row r="316" spans="1:42">
      <c r="A316" s="2"/>
      <c r="AP316" s="101"/>
    </row>
    <row r="317" spans="1:42">
      <c r="A317" s="2"/>
      <c r="AP317" s="101"/>
    </row>
    <row r="318" spans="1:42">
      <c r="A318" s="2"/>
      <c r="AP318" s="101"/>
    </row>
    <row r="319" spans="1:42">
      <c r="A319" s="2"/>
      <c r="AP319" s="101"/>
    </row>
    <row r="320" spans="1:42">
      <c r="A320" s="2"/>
      <c r="AP320" s="101"/>
    </row>
    <row r="321" spans="1:42">
      <c r="A321" s="2"/>
      <c r="AP321" s="101"/>
    </row>
    <row r="322" spans="1:42">
      <c r="A322" s="2"/>
      <c r="AP322" s="101"/>
    </row>
    <row r="323" spans="1:42">
      <c r="A323" s="2"/>
      <c r="AP323" s="101"/>
    </row>
    <row r="324" spans="1:42">
      <c r="A324" s="2"/>
      <c r="AP324" s="101"/>
    </row>
    <row r="325" spans="1:42">
      <c r="A325" s="2"/>
      <c r="AP325" s="101"/>
    </row>
    <row r="326" spans="1:42">
      <c r="A326" s="2"/>
      <c r="AP326" s="101"/>
    </row>
    <row r="327" spans="1:42">
      <c r="A327" s="2"/>
      <c r="AP327" s="101"/>
    </row>
    <row r="328" spans="1:42">
      <c r="A328" s="2"/>
      <c r="AP328" s="101"/>
    </row>
    <row r="329" spans="1:42">
      <c r="A329" s="2"/>
      <c r="AP329" s="101"/>
    </row>
    <row r="330" spans="1:42">
      <c r="A330" s="2"/>
      <c r="AP330" s="101"/>
    </row>
    <row r="331" spans="1:42">
      <c r="A331" s="2"/>
      <c r="AP331" s="101"/>
    </row>
    <row r="332" spans="1:42">
      <c r="A332" s="2"/>
      <c r="AP332" s="101"/>
    </row>
    <row r="333" spans="1:42">
      <c r="A333" s="2"/>
      <c r="AP333" s="101"/>
    </row>
    <row r="334" spans="1:42">
      <c r="A334" s="2"/>
      <c r="AP334" s="101"/>
    </row>
    <row r="335" spans="1:42">
      <c r="A335" s="2"/>
      <c r="AP335" s="101"/>
    </row>
    <row r="336" spans="1:42">
      <c r="A336" s="2"/>
      <c r="AP336" s="101"/>
    </row>
    <row r="337" spans="1:42">
      <c r="A337" s="2"/>
      <c r="AP337" s="101"/>
    </row>
    <row r="338" spans="1:42">
      <c r="A338" s="2"/>
      <c r="AP338" s="101"/>
    </row>
    <row r="339" spans="1:42">
      <c r="A339" s="2"/>
      <c r="AP339" s="101"/>
    </row>
    <row r="340" spans="1:42">
      <c r="A340" s="2"/>
      <c r="AP340" s="101"/>
    </row>
    <row r="341" spans="1:42">
      <c r="A341" s="2"/>
      <c r="AP341" s="101"/>
    </row>
    <row r="342" spans="1:42">
      <c r="A342" s="2"/>
      <c r="AP342" s="101"/>
    </row>
    <row r="343" spans="1:42">
      <c r="A343" s="2"/>
      <c r="AP343" s="101"/>
    </row>
    <row r="344" spans="1:42">
      <c r="A344" s="2"/>
      <c r="AP344" s="101"/>
    </row>
    <row r="345" spans="1:42">
      <c r="A345" s="2"/>
      <c r="AP345" s="101"/>
    </row>
    <row r="346" spans="1:42">
      <c r="A346" s="2"/>
      <c r="AP346" s="101"/>
    </row>
    <row r="347" spans="1:42">
      <c r="A347" s="2"/>
      <c r="AP347" s="101"/>
    </row>
    <row r="348" spans="1:42">
      <c r="A348" s="2"/>
      <c r="AP348" s="101"/>
    </row>
    <row r="349" spans="1:42">
      <c r="A349" s="2"/>
      <c r="AP349" s="101"/>
    </row>
    <row r="350" spans="1:42">
      <c r="A350" s="2"/>
      <c r="AP350" s="101"/>
    </row>
    <row r="351" spans="1:42">
      <c r="A351" s="2"/>
      <c r="AP351" s="101"/>
    </row>
    <row r="352" spans="1:42">
      <c r="A352" s="2"/>
      <c r="AP352" s="101"/>
    </row>
    <row r="353" spans="1:42">
      <c r="A353" s="2"/>
      <c r="AP353" s="101"/>
    </row>
    <row r="354" spans="1:42">
      <c r="A354" s="2"/>
      <c r="AP354" s="101"/>
    </row>
    <row r="355" spans="1:42">
      <c r="A355" s="2"/>
      <c r="AP355" s="101"/>
    </row>
    <row r="356" spans="1:42">
      <c r="A356" s="2"/>
      <c r="AP356" s="101"/>
    </row>
    <row r="357" spans="1:42">
      <c r="A357" s="2"/>
      <c r="AP357" s="101"/>
    </row>
    <row r="358" spans="1:42">
      <c r="A358" s="2"/>
      <c r="AP358" s="101"/>
    </row>
    <row r="359" spans="1:42">
      <c r="A359" s="2"/>
      <c r="AP359" s="101"/>
    </row>
    <row r="360" spans="1:42">
      <c r="A360" s="2"/>
      <c r="AP360" s="101"/>
    </row>
    <row r="361" spans="1:42">
      <c r="A361" s="2"/>
      <c r="AP361" s="101"/>
    </row>
    <row r="362" spans="1:42">
      <c r="A362" s="2"/>
      <c r="AP362" s="101"/>
    </row>
    <row r="363" spans="1:42">
      <c r="A363" s="2"/>
      <c r="AP363" s="101"/>
    </row>
    <row r="364" spans="1:42">
      <c r="A364" s="2"/>
      <c r="AP364" s="101"/>
    </row>
    <row r="365" spans="1:42">
      <c r="A365" s="2"/>
      <c r="AP365" s="101"/>
    </row>
    <row r="366" spans="1:42">
      <c r="A366" s="2"/>
      <c r="AP366" s="101"/>
    </row>
    <row r="367" spans="1:42">
      <c r="A367" s="2"/>
      <c r="AP367" s="101"/>
    </row>
    <row r="368" spans="1:42">
      <c r="A368" s="2"/>
      <c r="AP368" s="101"/>
    </row>
    <row r="369" spans="1:42">
      <c r="A369" s="2"/>
      <c r="AP369" s="101"/>
    </row>
    <row r="370" spans="1:42">
      <c r="A370" s="2"/>
      <c r="AP370" s="101"/>
    </row>
    <row r="371" spans="1:42">
      <c r="A371" s="2"/>
      <c r="AP371" s="101"/>
    </row>
    <row r="372" spans="1:42">
      <c r="A372" s="2"/>
      <c r="AP372" s="101"/>
    </row>
    <row r="373" spans="1:42">
      <c r="A373" s="2"/>
      <c r="AP373" s="101"/>
    </row>
    <row r="374" spans="1:42">
      <c r="A374" s="2"/>
      <c r="AP374" s="101"/>
    </row>
    <row r="375" spans="1:42">
      <c r="A375" s="2"/>
      <c r="AP375" s="101"/>
    </row>
    <row r="376" spans="1:42">
      <c r="A376" s="2"/>
      <c r="AP376" s="101"/>
    </row>
    <row r="377" spans="1:42">
      <c r="A377" s="2"/>
      <c r="AP377" s="101"/>
    </row>
    <row r="378" spans="1:42">
      <c r="A378" s="2"/>
      <c r="AP378" s="101"/>
    </row>
    <row r="379" spans="1:42">
      <c r="A379" s="2"/>
      <c r="AP379" s="101"/>
    </row>
    <row r="380" spans="1:42">
      <c r="A380" s="2"/>
      <c r="AP380" s="101"/>
    </row>
    <row r="381" spans="1:42">
      <c r="A381" s="2"/>
      <c r="AP381" s="101"/>
    </row>
    <row r="382" spans="1:42">
      <c r="A382" s="2"/>
      <c r="AP382" s="101"/>
    </row>
    <row r="383" spans="1:42">
      <c r="A383" s="2"/>
      <c r="AP383" s="101"/>
    </row>
    <row r="384" spans="1:42">
      <c r="A384" s="2"/>
      <c r="AP384" s="101"/>
    </row>
    <row r="385" spans="1:42">
      <c r="A385" s="2"/>
      <c r="AP385" s="101"/>
    </row>
    <row r="386" spans="1:42">
      <c r="A386" s="2"/>
      <c r="AP386" s="101"/>
    </row>
    <row r="387" spans="1:42">
      <c r="A387" s="2"/>
      <c r="AP387" s="101"/>
    </row>
    <row r="388" spans="1:42">
      <c r="A388" s="2"/>
      <c r="AP388" s="101"/>
    </row>
    <row r="389" spans="1:42">
      <c r="A389" s="2"/>
      <c r="AP389" s="101"/>
    </row>
    <row r="390" spans="1:42">
      <c r="A390" s="2"/>
      <c r="AP390" s="101"/>
    </row>
    <row r="391" spans="1:42">
      <c r="A391" s="2"/>
      <c r="AP391" s="101"/>
    </row>
    <row r="392" spans="1:42">
      <c r="A392" s="2"/>
      <c r="AP392" s="101"/>
    </row>
    <row r="393" spans="1:42">
      <c r="A393" s="2"/>
      <c r="AP393" s="101"/>
    </row>
    <row r="394" spans="1:42">
      <c r="A394" s="2"/>
      <c r="AP394" s="101"/>
    </row>
    <row r="395" spans="1:42">
      <c r="A395" s="2"/>
      <c r="AP395" s="101"/>
    </row>
    <row r="396" spans="1:42">
      <c r="A396" s="2"/>
      <c r="AP396" s="101"/>
    </row>
    <row r="397" spans="1:42">
      <c r="A397" s="2"/>
      <c r="AP397" s="101"/>
    </row>
    <row r="398" spans="1:42">
      <c r="A398" s="2"/>
      <c r="AP398" s="101"/>
    </row>
    <row r="399" spans="1:42">
      <c r="A399" s="2"/>
      <c r="AP399" s="101"/>
    </row>
    <row r="400" spans="1:42">
      <c r="A400" s="2"/>
      <c r="AP400" s="101"/>
    </row>
    <row r="401" spans="1:42">
      <c r="A401" s="2"/>
      <c r="AP401" s="101"/>
    </row>
    <row r="402" spans="1:42">
      <c r="A402" s="2"/>
      <c r="AP402" s="101"/>
    </row>
    <row r="403" spans="1:42">
      <c r="A403" s="2"/>
      <c r="AP403" s="101"/>
    </row>
    <row r="404" spans="1:42">
      <c r="A404" s="2"/>
      <c r="AP404" s="101"/>
    </row>
    <row r="405" spans="1:42">
      <c r="A405" s="2"/>
      <c r="AP405" s="101"/>
    </row>
    <row r="406" spans="1:42">
      <c r="A406" s="2"/>
      <c r="AP406" s="101"/>
    </row>
    <row r="407" spans="1:42">
      <c r="A407" s="2"/>
      <c r="AP407" s="101"/>
    </row>
    <row r="408" spans="1:42">
      <c r="A408" s="2"/>
      <c r="AP408" s="101"/>
    </row>
    <row r="409" spans="1:42">
      <c r="A409" s="2"/>
      <c r="AP409" s="101"/>
    </row>
    <row r="410" spans="1:42">
      <c r="A410" s="2"/>
      <c r="AP410" s="101"/>
    </row>
    <row r="411" spans="1:42">
      <c r="A411" s="2"/>
      <c r="AP411" s="101"/>
    </row>
    <row r="412" spans="1:42">
      <c r="A412" s="2"/>
      <c r="AP412" s="101"/>
    </row>
    <row r="413" spans="1:42">
      <c r="A413" s="2"/>
      <c r="AP413" s="101"/>
    </row>
    <row r="414" spans="1:42">
      <c r="A414" s="2"/>
      <c r="AP414" s="101"/>
    </row>
    <row r="415" spans="1:42">
      <c r="A415" s="2"/>
      <c r="AP415" s="101"/>
    </row>
    <row r="416" spans="1:42">
      <c r="A416" s="2"/>
      <c r="AP416" s="101"/>
    </row>
    <row r="417" spans="1:42">
      <c r="A417" s="2"/>
      <c r="AP417" s="101"/>
    </row>
    <row r="418" spans="1:42">
      <c r="A418" s="2"/>
      <c r="AP418" s="101"/>
    </row>
    <row r="419" spans="1:42">
      <c r="A419" s="2"/>
      <c r="AP419" s="101"/>
    </row>
    <row r="420" spans="1:42">
      <c r="A420" s="2"/>
      <c r="AP420" s="101"/>
    </row>
    <row r="421" spans="1:42">
      <c r="A421" s="2"/>
      <c r="AP421" s="101"/>
    </row>
    <row r="422" spans="1:42">
      <c r="A422" s="2"/>
      <c r="AP422" s="101"/>
    </row>
    <row r="423" spans="1:42">
      <c r="A423" s="2"/>
      <c r="AP423" s="101"/>
    </row>
    <row r="424" spans="1:42">
      <c r="A424" s="2"/>
      <c r="AP424" s="101"/>
    </row>
    <row r="425" spans="1:42">
      <c r="A425" s="2"/>
      <c r="AP425" s="101"/>
    </row>
    <row r="426" spans="1:42">
      <c r="A426" s="2"/>
      <c r="AP426" s="101"/>
    </row>
    <row r="427" spans="1:42">
      <c r="A427" s="2"/>
      <c r="AP427" s="101"/>
    </row>
    <row r="428" spans="1:42">
      <c r="A428" s="2"/>
      <c r="AP428" s="101"/>
    </row>
    <row r="429" spans="1:42">
      <c r="A429" s="2"/>
      <c r="AP429" s="101"/>
    </row>
    <row r="430" spans="1:42">
      <c r="A430" s="2"/>
      <c r="AP430" s="101"/>
    </row>
    <row r="431" spans="1:42">
      <c r="A431" s="2"/>
      <c r="AP431" s="101"/>
    </row>
    <row r="432" spans="1:42">
      <c r="A432" s="2"/>
      <c r="AP432" s="101"/>
    </row>
    <row r="433" spans="1:42">
      <c r="A433" s="2"/>
      <c r="AP433" s="101"/>
    </row>
    <row r="434" spans="1:42">
      <c r="A434" s="2"/>
      <c r="AP434" s="101"/>
    </row>
    <row r="435" spans="1:42">
      <c r="A435" s="2"/>
      <c r="AP435" s="101"/>
    </row>
    <row r="436" spans="1:42">
      <c r="A436" s="2"/>
      <c r="AP436" s="101"/>
    </row>
    <row r="437" spans="1:42">
      <c r="A437" s="2"/>
      <c r="AP437" s="101"/>
    </row>
    <row r="438" spans="1:42">
      <c r="A438" s="2"/>
      <c r="AP438" s="101"/>
    </row>
    <row r="439" spans="1:42">
      <c r="A439" s="2"/>
      <c r="AP439" s="101"/>
    </row>
    <row r="440" spans="1:42">
      <c r="A440" s="2"/>
      <c r="AP440" s="101"/>
    </row>
    <row r="441" spans="1:42">
      <c r="A441" s="2"/>
      <c r="AP441" s="101"/>
    </row>
    <row r="442" spans="1:42">
      <c r="A442" s="2"/>
      <c r="AP442" s="101"/>
    </row>
    <row r="443" spans="1:42">
      <c r="A443" s="2"/>
      <c r="AP443" s="101"/>
    </row>
    <row r="444" spans="1:42">
      <c r="A444" s="2"/>
      <c r="AP444" s="101"/>
    </row>
    <row r="445" spans="1:42">
      <c r="A445" s="2"/>
      <c r="AP445" s="101"/>
    </row>
    <row r="446" spans="1:42">
      <c r="A446" s="2"/>
      <c r="AP446" s="101"/>
    </row>
    <row r="447" spans="1:42">
      <c r="A447" s="2"/>
      <c r="AP447" s="101"/>
    </row>
    <row r="448" spans="1:42">
      <c r="A448" s="2"/>
      <c r="AP448" s="101"/>
    </row>
    <row r="449" spans="1:42">
      <c r="A449" s="2"/>
      <c r="AP449" s="101"/>
    </row>
    <row r="450" spans="1:42">
      <c r="A450" s="2"/>
      <c r="AP450" s="101"/>
    </row>
    <row r="451" spans="1:42">
      <c r="A451" s="2"/>
      <c r="AP451" s="101"/>
    </row>
    <row r="452" spans="1:42">
      <c r="A452" s="2"/>
      <c r="AP452" s="101"/>
    </row>
    <row r="453" spans="1:42">
      <c r="A453" s="2"/>
      <c r="AP453" s="101"/>
    </row>
    <row r="454" spans="1:42">
      <c r="A454" s="2"/>
      <c r="AP454" s="101"/>
    </row>
    <row r="455" spans="1:42">
      <c r="A455" s="2"/>
      <c r="AP455" s="101"/>
    </row>
    <row r="456" spans="1:42">
      <c r="A456" s="2"/>
      <c r="AP456" s="101"/>
    </row>
    <row r="457" spans="1:42">
      <c r="A457" s="2"/>
      <c r="AP457" s="101"/>
    </row>
    <row r="458" spans="1:42">
      <c r="A458" s="2"/>
      <c r="AP458" s="101"/>
    </row>
    <row r="459" spans="1:42">
      <c r="A459" s="2"/>
      <c r="AP459" s="101"/>
    </row>
    <row r="460" spans="1:42">
      <c r="A460" s="2"/>
      <c r="AP460" s="101"/>
    </row>
    <row r="461" spans="1:42">
      <c r="A461" s="2"/>
      <c r="AP461" s="101"/>
    </row>
    <row r="462" spans="1:42">
      <c r="A462" s="2"/>
      <c r="AP462" s="101"/>
    </row>
    <row r="463" spans="1:42">
      <c r="A463" s="2"/>
      <c r="AP463" s="101"/>
    </row>
    <row r="464" spans="1:42">
      <c r="A464" s="2"/>
      <c r="AP464" s="101"/>
    </row>
    <row r="465" spans="1:42">
      <c r="A465" s="2"/>
      <c r="AP465" s="101"/>
    </row>
    <row r="466" spans="1:42">
      <c r="A466" s="2"/>
      <c r="AP466" s="101"/>
    </row>
    <row r="467" spans="1:42">
      <c r="A467" s="2"/>
      <c r="AP467" s="101"/>
    </row>
    <row r="468" spans="1:42">
      <c r="A468" s="2"/>
      <c r="AP468" s="101"/>
    </row>
    <row r="469" spans="1:42">
      <c r="A469" s="2"/>
      <c r="AP469" s="101"/>
    </row>
    <row r="470" spans="1:42">
      <c r="A470" s="2"/>
      <c r="AP470" s="101"/>
    </row>
    <row r="471" spans="1:42">
      <c r="A471" s="2"/>
      <c r="AP471" s="101"/>
    </row>
    <row r="472" spans="1:42">
      <c r="A472" s="2"/>
      <c r="AP472" s="101"/>
    </row>
    <row r="473" spans="1:42">
      <c r="A473" s="2"/>
      <c r="AP473" s="101"/>
    </row>
    <row r="474" spans="1:42">
      <c r="A474" s="2"/>
      <c r="AP474" s="101"/>
    </row>
    <row r="475" spans="1:42">
      <c r="A475" s="2"/>
      <c r="AP475" s="101"/>
    </row>
    <row r="476" spans="1:42">
      <c r="A476" s="2"/>
      <c r="AP476" s="101"/>
    </row>
    <row r="477" spans="1:42">
      <c r="A477" s="2"/>
      <c r="AP477" s="101"/>
    </row>
    <row r="478" spans="1:42">
      <c r="A478" s="2"/>
      <c r="AP478" s="101"/>
    </row>
    <row r="479" spans="1:42">
      <c r="A479" s="2"/>
      <c r="AP479" s="101"/>
    </row>
    <row r="480" spans="1:42">
      <c r="A480" s="2"/>
      <c r="AP480" s="101"/>
    </row>
    <row r="481" spans="1:42">
      <c r="A481" s="2"/>
      <c r="AP481" s="101"/>
    </row>
    <row r="482" spans="1:42">
      <c r="A482" s="2"/>
      <c r="AP482" s="101"/>
    </row>
    <row r="483" spans="1:42">
      <c r="A483" s="2"/>
      <c r="AP483" s="101"/>
    </row>
    <row r="484" spans="1:42">
      <c r="A484" s="2"/>
      <c r="AP484" s="101"/>
    </row>
    <row r="485" spans="1:42">
      <c r="A485" s="2"/>
      <c r="AP485" s="101"/>
    </row>
    <row r="486" spans="1:42">
      <c r="A486" s="2"/>
      <c r="AP486" s="101"/>
    </row>
    <row r="487" spans="1:42">
      <c r="A487" s="2"/>
      <c r="AP487" s="101"/>
    </row>
    <row r="488" spans="1:42">
      <c r="A488" s="2"/>
      <c r="AP488" s="101"/>
    </row>
    <row r="489" spans="1:42">
      <c r="A489" s="2"/>
      <c r="AP489" s="101"/>
    </row>
    <row r="490" spans="1:42">
      <c r="A490" s="2"/>
      <c r="AP490" s="101"/>
    </row>
    <row r="491" spans="1:42">
      <c r="A491" s="2"/>
      <c r="AP491" s="101"/>
    </row>
    <row r="492" spans="1:42">
      <c r="A492" s="2"/>
      <c r="AP492" s="101"/>
    </row>
    <row r="493" spans="1:42">
      <c r="A493" s="2"/>
      <c r="AP493" s="101"/>
    </row>
    <row r="494" spans="1:42">
      <c r="A494" s="2"/>
      <c r="AP494" s="101"/>
    </row>
    <row r="495" spans="1:42">
      <c r="A495" s="2"/>
      <c r="AP495" s="101"/>
    </row>
    <row r="496" spans="1:42">
      <c r="A496" s="2"/>
      <c r="AP496" s="101"/>
    </row>
    <row r="497" spans="1:42">
      <c r="A497" s="2"/>
      <c r="AP497" s="101"/>
    </row>
    <row r="498" spans="1:42">
      <c r="A498" s="2"/>
      <c r="AP498" s="101"/>
    </row>
    <row r="499" spans="1:42">
      <c r="A499" s="2"/>
      <c r="AP499" s="101"/>
    </row>
    <row r="500" spans="1:42">
      <c r="A500" s="2"/>
      <c r="AP500" s="101"/>
    </row>
    <row r="501" spans="1:42">
      <c r="A501" s="2"/>
      <c r="AP501" s="101"/>
    </row>
    <row r="502" spans="1:42">
      <c r="A502" s="2"/>
      <c r="AP502" s="101"/>
    </row>
    <row r="503" spans="1:42">
      <c r="A503" s="2"/>
      <c r="AP503" s="101"/>
    </row>
    <row r="504" spans="1:42">
      <c r="A504" s="2"/>
      <c r="AP504" s="101"/>
    </row>
    <row r="505" spans="1:42">
      <c r="A505" s="2"/>
      <c r="AP505" s="101"/>
    </row>
    <row r="506" spans="1:42">
      <c r="A506" s="2"/>
      <c r="AP506" s="101"/>
    </row>
    <row r="507" spans="1:42">
      <c r="A507" s="2"/>
      <c r="AP507" s="101"/>
    </row>
    <row r="508" spans="1:42">
      <c r="A508" s="2"/>
      <c r="AP508" s="101"/>
    </row>
    <row r="509" spans="1:42">
      <c r="A509" s="2"/>
      <c r="AP509" s="101"/>
    </row>
    <row r="510" spans="1:42">
      <c r="A510" s="2"/>
      <c r="AP510" s="101"/>
    </row>
    <row r="511" spans="1:42">
      <c r="A511" s="2"/>
      <c r="AP511" s="101"/>
    </row>
    <row r="512" spans="1:42">
      <c r="A512" s="2"/>
      <c r="AP512" s="101"/>
    </row>
    <row r="513" spans="1:42">
      <c r="A513" s="2"/>
      <c r="AP513" s="101"/>
    </row>
    <row r="514" spans="1:42">
      <c r="A514" s="2"/>
      <c r="AP514" s="101"/>
    </row>
    <row r="515" spans="1:42">
      <c r="A515" s="2"/>
      <c r="AP515" s="101"/>
    </row>
    <row r="516" spans="1:42">
      <c r="A516" s="2"/>
      <c r="AP516" s="101"/>
    </row>
    <row r="517" spans="1:42">
      <c r="A517" s="2"/>
      <c r="AP517" s="101"/>
    </row>
    <row r="518" spans="1:42">
      <c r="A518" s="2"/>
      <c r="AP518" s="101"/>
    </row>
    <row r="519" spans="1:42">
      <c r="A519" s="2"/>
      <c r="AP519" s="101"/>
    </row>
    <row r="520" spans="1:42">
      <c r="A520" s="2"/>
      <c r="AP520" s="101"/>
    </row>
    <row r="521" spans="1:42">
      <c r="A521" s="2"/>
      <c r="AP521" s="101"/>
    </row>
    <row r="522" spans="1:42">
      <c r="A522" s="2"/>
      <c r="AP522" s="101"/>
    </row>
    <row r="523" spans="1:42">
      <c r="A523" s="2"/>
      <c r="AP523" s="101"/>
    </row>
    <row r="524" spans="1:42">
      <c r="A524" s="2"/>
      <c r="AP524" s="101"/>
    </row>
    <row r="525" spans="1:42">
      <c r="A525" s="2"/>
      <c r="AP525" s="101"/>
    </row>
    <row r="526" spans="1:42">
      <c r="A526" s="2"/>
      <c r="AP526" s="101"/>
    </row>
    <row r="527" spans="1:42">
      <c r="A527" s="2"/>
      <c r="AP527" s="101"/>
    </row>
    <row r="528" spans="1:42">
      <c r="A528" s="2"/>
      <c r="AP528" s="101"/>
    </row>
    <row r="529" spans="1:42">
      <c r="A529" s="2"/>
      <c r="AP529" s="101"/>
    </row>
    <row r="530" spans="1:42">
      <c r="A530" s="2"/>
      <c r="AP530" s="101"/>
    </row>
    <row r="531" spans="1:42">
      <c r="A531" s="2"/>
      <c r="AP531" s="101"/>
    </row>
    <row r="532" spans="1:42">
      <c r="A532" s="2"/>
      <c r="AP532" s="101"/>
    </row>
    <row r="533" spans="1:42">
      <c r="A533" s="2"/>
      <c r="AP533" s="101"/>
    </row>
    <row r="534" spans="1:42">
      <c r="A534" s="2"/>
      <c r="AP534" s="101"/>
    </row>
    <row r="535" spans="1:42">
      <c r="A535" s="2"/>
      <c r="AP535" s="101"/>
    </row>
    <row r="536" spans="1:42">
      <c r="A536" s="2"/>
      <c r="AP536" s="101"/>
    </row>
    <row r="537" spans="1:42">
      <c r="A537" s="2"/>
      <c r="AP537" s="101"/>
    </row>
    <row r="538" spans="1:42">
      <c r="A538" s="2"/>
      <c r="AP538" s="101"/>
    </row>
    <row r="539" spans="1:42">
      <c r="A539" s="2"/>
      <c r="AP539" s="101"/>
    </row>
    <row r="540" spans="1:42">
      <c r="A540" s="2"/>
      <c r="AP540" s="101"/>
    </row>
    <row r="541" spans="1:42">
      <c r="A541" s="2"/>
      <c r="AP541" s="101"/>
    </row>
    <row r="542" spans="1:42">
      <c r="A542" s="2"/>
      <c r="AP542" s="101"/>
    </row>
    <row r="543" spans="1:42">
      <c r="A543" s="2"/>
      <c r="AP543" s="101"/>
    </row>
    <row r="544" spans="1:42">
      <c r="A544" s="2"/>
      <c r="AP544" s="101"/>
    </row>
    <row r="545" spans="1:42">
      <c r="A545" s="2"/>
      <c r="AP545" s="101"/>
    </row>
    <row r="546" spans="1:42">
      <c r="A546" s="2"/>
      <c r="AP546" s="101"/>
    </row>
    <row r="547" spans="1:42">
      <c r="A547" s="2"/>
      <c r="AP547" s="101"/>
    </row>
    <row r="548" spans="1:42">
      <c r="A548" s="2"/>
      <c r="AP548" s="101"/>
    </row>
    <row r="549" spans="1:42">
      <c r="A549" s="2"/>
      <c r="AP549" s="101"/>
    </row>
    <row r="550" spans="1:42">
      <c r="A550" s="2"/>
      <c r="AP550" s="101"/>
    </row>
    <row r="551" spans="1:42">
      <c r="A551" s="2"/>
      <c r="AP551" s="101"/>
    </row>
    <row r="552" spans="1:42">
      <c r="A552" s="2"/>
      <c r="AP552" s="101"/>
    </row>
    <row r="553" spans="1:42">
      <c r="A553" s="2"/>
      <c r="AP553" s="101"/>
    </row>
    <row r="554" spans="1:42">
      <c r="A554" s="2"/>
      <c r="AP554" s="101"/>
    </row>
    <row r="555" spans="1:42">
      <c r="A555" s="2"/>
      <c r="AP555" s="101"/>
    </row>
    <row r="556" spans="1:42">
      <c r="A556" s="2"/>
      <c r="AP556" s="101"/>
    </row>
    <row r="557" spans="1:42">
      <c r="A557" s="2"/>
      <c r="AP557" s="101"/>
    </row>
    <row r="558" spans="1:42">
      <c r="A558" s="2"/>
      <c r="AP558" s="101"/>
    </row>
    <row r="559" spans="1:42">
      <c r="A559" s="2"/>
      <c r="AP559" s="101"/>
    </row>
    <row r="560" spans="1:42">
      <c r="A560" s="2"/>
      <c r="AP560" s="101"/>
    </row>
    <row r="561" spans="1:42">
      <c r="A561" s="2"/>
      <c r="AP561" s="101"/>
    </row>
    <row r="562" spans="1:42">
      <c r="A562" s="2"/>
      <c r="AP562" s="101"/>
    </row>
    <row r="563" spans="1:42">
      <c r="A563" s="2"/>
      <c r="AP563" s="101"/>
    </row>
    <row r="564" spans="1:42">
      <c r="A564" s="2"/>
      <c r="AP564" s="101"/>
    </row>
    <row r="565" spans="1:42">
      <c r="A565" s="2"/>
      <c r="AP565" s="101"/>
    </row>
    <row r="566" spans="1:42">
      <c r="A566" s="2"/>
      <c r="AP566" s="101"/>
    </row>
    <row r="567" spans="1:42">
      <c r="A567" s="2"/>
      <c r="AP567" s="101"/>
    </row>
    <row r="568" spans="1:42">
      <c r="A568" s="2"/>
      <c r="AP568" s="101"/>
    </row>
    <row r="569" spans="1:42">
      <c r="A569" s="2"/>
      <c r="AP569" s="101"/>
    </row>
    <row r="570" spans="1:42">
      <c r="A570" s="2"/>
      <c r="AP570" s="101"/>
    </row>
    <row r="571" spans="1:42">
      <c r="A571" s="2"/>
      <c r="AP571" s="101"/>
    </row>
    <row r="572" spans="1:42">
      <c r="A572" s="2"/>
      <c r="AP572" s="101"/>
    </row>
    <row r="573" spans="1:42">
      <c r="A573" s="2"/>
      <c r="AP573" s="101"/>
    </row>
    <row r="574" spans="1:42">
      <c r="A574" s="2"/>
      <c r="AP574" s="101"/>
    </row>
    <row r="575" spans="1:42">
      <c r="A575" s="2"/>
      <c r="AP575" s="101"/>
    </row>
    <row r="576" spans="1:42">
      <c r="A576" s="2"/>
      <c r="AP576" s="101"/>
    </row>
    <row r="577" spans="1:42">
      <c r="A577" s="2"/>
      <c r="AP577" s="101"/>
    </row>
    <row r="578" spans="1:42">
      <c r="A578" s="2"/>
      <c r="AP578" s="101"/>
    </row>
    <row r="579" spans="1:42">
      <c r="A579" s="2"/>
      <c r="AP579" s="101"/>
    </row>
    <row r="580" spans="1:42">
      <c r="A580" s="2"/>
      <c r="AP580" s="101"/>
    </row>
    <row r="581" spans="1:42">
      <c r="A581" s="2"/>
      <c r="AP581" s="101"/>
    </row>
    <row r="582" spans="1:42">
      <c r="A582" s="2"/>
      <c r="AP582" s="101"/>
    </row>
    <row r="583" spans="1:42">
      <c r="A583" s="2"/>
      <c r="AP583" s="101"/>
    </row>
    <row r="584" spans="1:42">
      <c r="A584" s="2"/>
      <c r="AP584" s="101"/>
    </row>
    <row r="585" spans="1:42">
      <c r="A585" s="2"/>
      <c r="AP585" s="101"/>
    </row>
    <row r="586" spans="1:42">
      <c r="A586" s="2"/>
      <c r="AP586" s="101"/>
    </row>
    <row r="587" spans="1:42">
      <c r="A587" s="2"/>
      <c r="AP587" s="101"/>
    </row>
    <row r="588" spans="1:42">
      <c r="A588" s="2"/>
      <c r="AP588" s="101"/>
    </row>
    <row r="589" spans="1:42">
      <c r="A589" s="2"/>
      <c r="AP589" s="101"/>
    </row>
    <row r="590" spans="1:42">
      <c r="A590" s="2"/>
      <c r="AP590" s="101"/>
    </row>
    <row r="591" spans="1:42">
      <c r="A591" s="2"/>
      <c r="AP591" s="101"/>
    </row>
    <row r="592" spans="1:42">
      <c r="A592" s="2"/>
      <c r="AP592" s="101"/>
    </row>
    <row r="593" spans="1:42">
      <c r="A593" s="2"/>
      <c r="AP593" s="101"/>
    </row>
    <row r="594" spans="1:42">
      <c r="A594" s="2"/>
      <c r="AP594" s="101"/>
    </row>
    <row r="595" spans="1:42">
      <c r="A595" s="2"/>
      <c r="AP595" s="101"/>
    </row>
    <row r="596" spans="1:42">
      <c r="A596" s="2"/>
      <c r="AP596" s="101"/>
    </row>
    <row r="597" spans="1:42">
      <c r="A597" s="2"/>
      <c r="AP597" s="101"/>
    </row>
    <row r="598" spans="1:42">
      <c r="A598" s="2"/>
      <c r="AP598" s="101"/>
    </row>
    <row r="599" spans="1:42">
      <c r="A599" s="2"/>
      <c r="AP599" s="101"/>
    </row>
    <row r="600" spans="1:42">
      <c r="A600" s="2"/>
      <c r="AP600" s="101"/>
    </row>
    <row r="601" spans="1:42">
      <c r="A601" s="2"/>
      <c r="AP601" s="101"/>
    </row>
    <row r="602" spans="1:42">
      <c r="A602" s="2"/>
      <c r="AP602" s="101"/>
    </row>
    <row r="603" spans="1:42">
      <c r="A603" s="2"/>
      <c r="AP603" s="101"/>
    </row>
    <row r="604" spans="1:42">
      <c r="A604" s="2"/>
      <c r="AP604" s="101"/>
    </row>
    <row r="605" spans="1:42">
      <c r="A605" s="2"/>
      <c r="AP605" s="101"/>
    </row>
    <row r="606" spans="1:42">
      <c r="A606" s="2"/>
      <c r="AP606" s="101"/>
    </row>
    <row r="607" spans="1:42">
      <c r="A607" s="2"/>
      <c r="AP607" s="101"/>
    </row>
    <row r="608" spans="1:42">
      <c r="A608" s="2"/>
      <c r="AP608" s="101"/>
    </row>
    <row r="609" spans="1:42">
      <c r="A609" s="2"/>
      <c r="AP609" s="101"/>
    </row>
    <row r="610" spans="1:42">
      <c r="A610" s="2"/>
      <c r="AP610" s="101"/>
    </row>
    <row r="611" spans="1:42">
      <c r="A611" s="2"/>
      <c r="AP611" s="101"/>
    </row>
    <row r="612" spans="1:42">
      <c r="A612" s="2"/>
      <c r="AP612" s="101"/>
    </row>
    <row r="613" spans="1:42">
      <c r="A613" s="2"/>
      <c r="AP613" s="101"/>
    </row>
    <row r="614" spans="1:42">
      <c r="A614" s="2"/>
      <c r="AP614" s="101"/>
    </row>
    <row r="615" spans="1:42">
      <c r="A615" s="2"/>
      <c r="AP615" s="101"/>
    </row>
    <row r="616" spans="1:42">
      <c r="A616" s="2"/>
      <c r="AP616" s="101"/>
    </row>
    <row r="617" spans="1:42">
      <c r="A617" s="2"/>
      <c r="AP617" s="101"/>
    </row>
    <row r="618" spans="1:42">
      <c r="A618" s="2"/>
      <c r="AP618" s="101"/>
    </row>
    <row r="619" spans="1:42">
      <c r="A619" s="2"/>
      <c r="AP619" s="101"/>
    </row>
    <row r="620" spans="1:42">
      <c r="A620" s="2"/>
      <c r="AP620" s="101"/>
    </row>
    <row r="621" spans="1:42">
      <c r="A621" s="2"/>
      <c r="AP621" s="101"/>
    </row>
    <row r="622" spans="1:42">
      <c r="A622" s="2"/>
      <c r="AP622" s="101"/>
    </row>
    <row r="623" spans="1:42">
      <c r="A623" s="2"/>
      <c r="AP623" s="101"/>
    </row>
    <row r="624" spans="1:42">
      <c r="A624" s="2"/>
      <c r="AP624" s="101"/>
    </row>
    <row r="625" spans="1:42">
      <c r="A625" s="2"/>
      <c r="AP625" s="101"/>
    </row>
    <row r="626" spans="1:42">
      <c r="A626" s="2"/>
      <c r="AP626" s="101"/>
    </row>
    <row r="627" spans="1:42">
      <c r="A627" s="2"/>
      <c r="AP627" s="101"/>
    </row>
    <row r="628" spans="1:42">
      <c r="A628" s="2"/>
      <c r="AP628" s="101"/>
    </row>
    <row r="629" spans="1:42">
      <c r="A629" s="2"/>
      <c r="AP629" s="101"/>
    </row>
    <row r="630" spans="1:42">
      <c r="A630" s="2"/>
      <c r="AP630" s="101"/>
    </row>
    <row r="631" spans="1:42">
      <c r="A631" s="2"/>
      <c r="AP631" s="101"/>
    </row>
    <row r="632" spans="1:42">
      <c r="A632" s="2"/>
      <c r="AP632" s="101"/>
    </row>
    <row r="633" spans="1:42">
      <c r="A633" s="2"/>
      <c r="AP633" s="101"/>
    </row>
    <row r="634" spans="1:42">
      <c r="A634" s="2"/>
      <c r="AP634" s="101"/>
    </row>
    <row r="635" spans="1:42">
      <c r="A635" s="2"/>
      <c r="AP635" s="101"/>
    </row>
    <row r="636" spans="1:42">
      <c r="A636" s="2"/>
      <c r="AP636" s="101"/>
    </row>
    <row r="637" spans="1:42">
      <c r="A637" s="2"/>
      <c r="AP637" s="101"/>
    </row>
    <row r="638" spans="1:42">
      <c r="A638" s="2"/>
      <c r="AP638" s="101"/>
    </row>
    <row r="639" spans="1:42">
      <c r="A639" s="2"/>
      <c r="AP639" s="101"/>
    </row>
    <row r="640" spans="1:42">
      <c r="A640" s="2"/>
      <c r="AP640" s="101"/>
    </row>
    <row r="641" spans="1:42">
      <c r="A641" s="2"/>
      <c r="AP641" s="101"/>
    </row>
    <row r="642" spans="1:42">
      <c r="A642" s="2"/>
      <c r="AP642" s="101"/>
    </row>
    <row r="643" spans="1:42">
      <c r="A643" s="2"/>
      <c r="AP643" s="101"/>
    </row>
    <row r="644" spans="1:42">
      <c r="A644" s="2"/>
      <c r="AP644" s="101"/>
    </row>
    <row r="645" spans="1:42">
      <c r="A645" s="2"/>
      <c r="AP645" s="101"/>
    </row>
    <row r="646" spans="1:42">
      <c r="A646" s="2"/>
      <c r="AP646" s="101"/>
    </row>
    <row r="647" spans="1:42">
      <c r="A647" s="2"/>
      <c r="AP647" s="101"/>
    </row>
    <row r="648" spans="1:42">
      <c r="A648" s="2"/>
      <c r="AP648" s="101"/>
    </row>
    <row r="649" spans="1:42">
      <c r="A649" s="2"/>
      <c r="AP649" s="101"/>
    </row>
    <row r="650" spans="1:42">
      <c r="A650" s="2"/>
      <c r="AP650" s="101"/>
    </row>
    <row r="651" spans="1:42">
      <c r="A651" s="2"/>
      <c r="AP651" s="101"/>
    </row>
    <row r="652" spans="1:42">
      <c r="A652" s="2"/>
      <c r="AP652" s="101"/>
    </row>
    <row r="653" spans="1:42">
      <c r="A653" s="2"/>
      <c r="AP653" s="101"/>
    </row>
    <row r="654" spans="1:42">
      <c r="A654" s="2"/>
      <c r="AP654" s="101"/>
    </row>
    <row r="655" spans="1:42">
      <c r="A655" s="2"/>
      <c r="AP655" s="101"/>
    </row>
    <row r="656" spans="1:42">
      <c r="A656" s="2"/>
      <c r="AP656" s="101"/>
    </row>
    <row r="657" spans="1:42">
      <c r="A657" s="2"/>
      <c r="AP657" s="101"/>
    </row>
    <row r="658" spans="1:42">
      <c r="A658" s="2"/>
      <c r="AP658" s="101"/>
    </row>
    <row r="659" spans="1:42">
      <c r="A659" s="2"/>
      <c r="AP659" s="101"/>
    </row>
    <row r="660" spans="1:42">
      <c r="A660" s="2"/>
      <c r="AP660" s="101"/>
    </row>
    <row r="661" spans="1:42">
      <c r="A661" s="2"/>
      <c r="AP661" s="101"/>
    </row>
    <row r="662" spans="1:42">
      <c r="A662" s="2"/>
      <c r="AP662" s="101"/>
    </row>
    <row r="663" spans="1:42">
      <c r="A663" s="2"/>
      <c r="AP663" s="101"/>
    </row>
    <row r="664" spans="1:42">
      <c r="A664" s="2"/>
      <c r="AP664" s="101"/>
    </row>
    <row r="665" spans="1:42">
      <c r="A665" s="2"/>
      <c r="AP665" s="101"/>
    </row>
    <row r="666" spans="1:42">
      <c r="A666" s="2"/>
      <c r="AP666" s="101"/>
    </row>
    <row r="667" spans="1:42">
      <c r="A667" s="2"/>
      <c r="AP667" s="101"/>
    </row>
    <row r="668" spans="1:42">
      <c r="A668" s="2"/>
      <c r="AP668" s="101"/>
    </row>
    <row r="669" spans="1:42">
      <c r="A669" s="2"/>
      <c r="AP669" s="101"/>
    </row>
    <row r="670" spans="1:42">
      <c r="A670" s="2"/>
      <c r="AP670" s="101"/>
    </row>
    <row r="671" spans="1:42">
      <c r="A671" s="2"/>
      <c r="AP671" s="101"/>
    </row>
    <row r="672" spans="1:42">
      <c r="A672" s="2"/>
      <c r="AP672" s="101"/>
    </row>
    <row r="673" spans="1:42">
      <c r="A673" s="2"/>
      <c r="AP673" s="101"/>
    </row>
    <row r="674" spans="1:42">
      <c r="A674" s="2"/>
      <c r="AP674" s="101"/>
    </row>
    <row r="675" spans="1:42">
      <c r="A675" s="2"/>
      <c r="AP675" s="101"/>
    </row>
    <row r="676" spans="1:42">
      <c r="A676" s="2"/>
      <c r="AP676" s="101"/>
    </row>
    <row r="677" spans="1:42">
      <c r="A677" s="2"/>
      <c r="AP677" s="101"/>
    </row>
    <row r="678" spans="1:42">
      <c r="A678" s="2"/>
      <c r="AP678" s="101"/>
    </row>
    <row r="679" spans="1:42">
      <c r="A679" s="2"/>
      <c r="AP679" s="101"/>
    </row>
    <row r="680" spans="1:42">
      <c r="A680" s="2"/>
      <c r="AP680" s="101"/>
    </row>
    <row r="681" spans="1:42">
      <c r="A681" s="2"/>
      <c r="AP681" s="101"/>
    </row>
    <row r="682" spans="1:42">
      <c r="A682" s="2"/>
      <c r="AP682" s="101"/>
    </row>
    <row r="683" spans="1:42">
      <c r="A683" s="2"/>
      <c r="AP683" s="101"/>
    </row>
    <row r="684" spans="1:42">
      <c r="A684" s="2"/>
      <c r="AP684" s="101"/>
    </row>
    <row r="685" spans="1:42">
      <c r="A685" s="2"/>
      <c r="AP685" s="101"/>
    </row>
    <row r="686" spans="1:42">
      <c r="A686" s="2"/>
      <c r="AP686" s="101"/>
    </row>
    <row r="687" spans="1:42">
      <c r="A687" s="2"/>
      <c r="AP687" s="101"/>
    </row>
    <row r="688" spans="1:42">
      <c r="A688" s="2"/>
      <c r="AP688" s="101"/>
    </row>
    <row r="689" spans="1:42">
      <c r="A689" s="2"/>
      <c r="AP689" s="101"/>
    </row>
    <row r="690" spans="1:42">
      <c r="A690" s="2"/>
      <c r="AP690" s="101"/>
    </row>
    <row r="691" spans="1:42">
      <c r="A691" s="2"/>
      <c r="AP691" s="101"/>
    </row>
    <row r="692" spans="1:42">
      <c r="A692" s="2"/>
      <c r="AP692" s="101"/>
    </row>
    <row r="693" spans="1:42">
      <c r="A693" s="2"/>
      <c r="AP693" s="101"/>
    </row>
    <row r="694" spans="1:42">
      <c r="A694" s="2"/>
      <c r="AP694" s="101"/>
    </row>
    <row r="695" spans="1:42">
      <c r="A695" s="2"/>
      <c r="AP695" s="101"/>
    </row>
    <row r="696" spans="1:42">
      <c r="A696" s="2"/>
      <c r="AP696" s="101"/>
    </row>
    <row r="697" spans="1:42">
      <c r="A697" s="2"/>
      <c r="AP697" s="101"/>
    </row>
    <row r="698" spans="1:42">
      <c r="A698" s="2"/>
      <c r="AP698" s="101"/>
    </row>
    <row r="699" spans="1:42">
      <c r="A699" s="2"/>
      <c r="AP699" s="101"/>
    </row>
    <row r="700" spans="1:42">
      <c r="A700" s="2"/>
      <c r="AP700" s="101"/>
    </row>
    <row r="701" spans="1:42">
      <c r="A701" s="2"/>
      <c r="AP701" s="101"/>
    </row>
    <row r="702" spans="1:42">
      <c r="A702" s="2"/>
      <c r="AP702" s="101"/>
    </row>
    <row r="703" spans="1:42">
      <c r="A703" s="2"/>
      <c r="AP703" s="101"/>
    </row>
    <row r="704" spans="1:42">
      <c r="A704" s="2"/>
      <c r="AP704" s="101"/>
    </row>
    <row r="705" spans="1:42">
      <c r="A705" s="2"/>
      <c r="AP705" s="101"/>
    </row>
    <row r="706" spans="1:42">
      <c r="A706" s="2"/>
      <c r="AP706" s="101"/>
    </row>
    <row r="707" spans="1:42">
      <c r="A707" s="2"/>
      <c r="AP707" s="101"/>
    </row>
    <row r="708" spans="1:42">
      <c r="A708" s="2"/>
      <c r="AP708" s="101"/>
    </row>
    <row r="709" spans="1:42">
      <c r="A709" s="2"/>
      <c r="AP709" s="101"/>
    </row>
    <row r="710" spans="1:42">
      <c r="A710" s="2"/>
      <c r="AP710" s="101"/>
    </row>
    <row r="711" spans="1:42">
      <c r="A711" s="2"/>
      <c r="AP711" s="101"/>
    </row>
    <row r="712" spans="1:42">
      <c r="A712" s="2"/>
      <c r="AP712" s="101"/>
    </row>
    <row r="713" spans="1:42">
      <c r="A713" s="2"/>
      <c r="AP713" s="101"/>
    </row>
    <row r="714" spans="1:42">
      <c r="A714" s="2"/>
      <c r="AP714" s="101"/>
    </row>
    <row r="715" spans="1:42">
      <c r="A715" s="2"/>
      <c r="AP715" s="101"/>
    </row>
    <row r="716" spans="1:42">
      <c r="A716" s="2"/>
      <c r="AP716" s="101"/>
    </row>
    <row r="717" spans="1:42">
      <c r="A717" s="2"/>
      <c r="AP717" s="101"/>
    </row>
    <row r="718" spans="1:42">
      <c r="A718" s="2"/>
      <c r="AP718" s="101"/>
    </row>
    <row r="719" spans="1:42">
      <c r="A719" s="2"/>
      <c r="AP719" s="101"/>
    </row>
    <row r="720" spans="1:42">
      <c r="A720" s="2"/>
      <c r="AP720" s="101"/>
    </row>
    <row r="721" spans="1:42">
      <c r="A721" s="2"/>
      <c r="AP721" s="101"/>
    </row>
    <row r="722" spans="1:42">
      <c r="A722" s="2"/>
      <c r="AP722" s="101"/>
    </row>
    <row r="723" spans="1:42">
      <c r="A723" s="2"/>
      <c r="AP723" s="101"/>
    </row>
    <row r="724" spans="1:42">
      <c r="A724" s="2"/>
      <c r="AP724" s="101"/>
    </row>
    <row r="725" spans="1:42">
      <c r="A725" s="2"/>
      <c r="AP725" s="101"/>
    </row>
    <row r="726" spans="1:42">
      <c r="A726" s="2"/>
      <c r="AP726" s="101"/>
    </row>
    <row r="727" spans="1:42">
      <c r="A727" s="2"/>
      <c r="AP727" s="101"/>
    </row>
    <row r="728" spans="1:42">
      <c r="A728" s="2"/>
      <c r="AP728" s="101"/>
    </row>
    <row r="729" spans="1:42">
      <c r="A729" s="2"/>
      <c r="AP729" s="101"/>
    </row>
    <row r="730" spans="1:42">
      <c r="A730" s="2"/>
      <c r="AP730" s="101"/>
    </row>
    <row r="731" spans="1:42">
      <c r="A731" s="2"/>
      <c r="AP731" s="101"/>
    </row>
    <row r="732" spans="1:42">
      <c r="A732" s="2"/>
      <c r="AP732" s="101"/>
    </row>
    <row r="733" spans="1:42">
      <c r="A733" s="2"/>
      <c r="AP733" s="101"/>
    </row>
    <row r="734" spans="1:42">
      <c r="A734" s="2"/>
      <c r="AP734" s="101"/>
    </row>
    <row r="735" spans="1:42">
      <c r="A735" s="2"/>
      <c r="AP735" s="101"/>
    </row>
    <row r="736" spans="1:42">
      <c r="A736" s="2"/>
      <c r="AP736" s="101"/>
    </row>
    <row r="737" spans="1:42">
      <c r="A737" s="2"/>
      <c r="AP737" s="101"/>
    </row>
    <row r="738" spans="1:42">
      <c r="A738" s="2"/>
      <c r="AP738" s="101"/>
    </row>
    <row r="739" spans="1:42">
      <c r="A739" s="2"/>
      <c r="AP739" s="101"/>
    </row>
    <row r="740" spans="1:42">
      <c r="A740" s="2"/>
      <c r="AP740" s="101"/>
    </row>
    <row r="741" spans="1:42">
      <c r="A741" s="2"/>
      <c r="AP741" s="101"/>
    </row>
    <row r="742" spans="1:42">
      <c r="A742" s="2"/>
      <c r="AP742" s="101"/>
    </row>
    <row r="743" spans="1:42">
      <c r="A743" s="2"/>
      <c r="AP743" s="101"/>
    </row>
    <row r="744" spans="1:42">
      <c r="A744" s="2"/>
      <c r="AP744" s="101"/>
    </row>
    <row r="745" spans="1:42">
      <c r="A745" s="2"/>
      <c r="AP745" s="101"/>
    </row>
    <row r="746" spans="1:42">
      <c r="A746" s="2"/>
      <c r="AP746" s="101"/>
    </row>
    <row r="747" spans="1:42">
      <c r="A747" s="2"/>
      <c r="AP747" s="101"/>
    </row>
    <row r="748" spans="1:42">
      <c r="A748" s="2"/>
      <c r="AP748" s="101"/>
    </row>
    <row r="749" spans="1:42">
      <c r="A749" s="2"/>
      <c r="AP749" s="101"/>
    </row>
    <row r="750" spans="1:42">
      <c r="A750" s="2"/>
      <c r="AP750" s="101"/>
    </row>
    <row r="751" spans="1:42">
      <c r="A751" s="2"/>
      <c r="AP751" s="101"/>
    </row>
    <row r="752" spans="1:42">
      <c r="A752" s="2"/>
      <c r="AP752" s="101"/>
    </row>
    <row r="753" spans="1:42">
      <c r="A753" s="2"/>
      <c r="AP753" s="101"/>
    </row>
    <row r="754" spans="1:42">
      <c r="A754" s="2"/>
      <c r="AP754" s="101"/>
    </row>
    <row r="755" spans="1:42">
      <c r="A755" s="2"/>
      <c r="AP755" s="101"/>
    </row>
    <row r="756" spans="1:42">
      <c r="A756" s="2"/>
      <c r="AP756" s="101"/>
    </row>
    <row r="757" spans="1:42">
      <c r="A757" s="2"/>
      <c r="AP757" s="101"/>
    </row>
    <row r="758" spans="1:42">
      <c r="A758" s="2"/>
      <c r="AP758" s="101"/>
    </row>
    <row r="759" spans="1:42">
      <c r="A759" s="2"/>
      <c r="AP759" s="101"/>
    </row>
    <row r="760" spans="1:42">
      <c r="A760" s="2"/>
      <c r="AP760" s="101"/>
    </row>
    <row r="761" spans="1:42">
      <c r="A761" s="2"/>
      <c r="AP761" s="101"/>
    </row>
    <row r="762" spans="1:42">
      <c r="A762" s="2"/>
      <c r="AP762" s="101"/>
    </row>
    <row r="763" spans="1:42">
      <c r="A763" s="2"/>
      <c r="AP763" s="101"/>
    </row>
    <row r="764" spans="1:42">
      <c r="A764" s="2"/>
      <c r="AP764" s="101"/>
    </row>
    <row r="765" spans="1:42">
      <c r="A765" s="2"/>
      <c r="AP765" s="101"/>
    </row>
    <row r="766" spans="1:42">
      <c r="A766" s="2"/>
      <c r="AP766" s="101"/>
    </row>
    <row r="767" spans="1:42">
      <c r="A767" s="2"/>
      <c r="AP767" s="101"/>
    </row>
    <row r="768" spans="1:42">
      <c r="A768" s="2"/>
      <c r="AP768" s="101"/>
    </row>
    <row r="769" spans="1:42">
      <c r="A769" s="2"/>
      <c r="AP769" s="101"/>
    </row>
    <row r="770" spans="1:42">
      <c r="A770" s="2"/>
      <c r="AP770" s="101"/>
    </row>
    <row r="771" spans="1:42">
      <c r="A771" s="2"/>
      <c r="AP771" s="101"/>
    </row>
    <row r="772" spans="1:42">
      <c r="A772" s="2"/>
      <c r="AP772" s="101"/>
    </row>
    <row r="773" spans="1:42">
      <c r="A773" s="2"/>
      <c r="AP773" s="101"/>
    </row>
    <row r="774" spans="1:42">
      <c r="A774" s="2"/>
      <c r="AP774" s="101"/>
    </row>
    <row r="775" spans="1:42">
      <c r="A775" s="2"/>
      <c r="AP775" s="101"/>
    </row>
    <row r="776" spans="1:42">
      <c r="A776" s="2"/>
      <c r="AP776" s="101"/>
    </row>
    <row r="777" spans="1:42">
      <c r="A777" s="2"/>
      <c r="AP777" s="101"/>
    </row>
    <row r="778" spans="1:42">
      <c r="A778" s="2"/>
      <c r="AP778" s="101"/>
    </row>
    <row r="779" spans="1:42">
      <c r="A779" s="2"/>
      <c r="AP779" s="101"/>
    </row>
    <row r="780" spans="1:42">
      <c r="A780" s="2"/>
      <c r="AP780" s="101"/>
    </row>
    <row r="781" spans="1:42">
      <c r="A781" s="2"/>
      <c r="AP781" s="101"/>
    </row>
    <row r="782" spans="1:42">
      <c r="A782" s="2"/>
      <c r="AP782" s="101"/>
    </row>
    <row r="783" spans="1:42">
      <c r="A783" s="2"/>
      <c r="AP783" s="101"/>
    </row>
    <row r="784" spans="1:42">
      <c r="A784" s="2"/>
      <c r="AP784" s="101"/>
    </row>
    <row r="785" spans="1:42">
      <c r="A785" s="2"/>
      <c r="AP785" s="101"/>
    </row>
    <row r="786" spans="1:42">
      <c r="A786" s="2"/>
      <c r="AP786" s="101"/>
    </row>
    <row r="787" spans="1:42">
      <c r="A787" s="2"/>
      <c r="AP787" s="101"/>
    </row>
    <row r="788" spans="1:42">
      <c r="A788" s="2"/>
      <c r="AP788" s="101"/>
    </row>
    <row r="789" spans="1:42">
      <c r="A789" s="2"/>
      <c r="AP789" s="101"/>
    </row>
    <row r="790" spans="1:42">
      <c r="A790" s="2"/>
      <c r="AP790" s="101"/>
    </row>
    <row r="791" spans="1:42">
      <c r="A791" s="2"/>
      <c r="AP791" s="101"/>
    </row>
    <row r="792" spans="1:42">
      <c r="A792" s="2"/>
      <c r="AP792" s="101"/>
    </row>
    <row r="793" spans="1:42">
      <c r="A793" s="2"/>
      <c r="AP793" s="101"/>
    </row>
    <row r="794" spans="1:42">
      <c r="A794" s="2"/>
      <c r="AP794" s="101"/>
    </row>
    <row r="795" spans="1:42">
      <c r="A795" s="2"/>
      <c r="AP795" s="101"/>
    </row>
    <row r="796" spans="1:42">
      <c r="A796" s="2"/>
      <c r="AP796" s="101"/>
    </row>
    <row r="797" spans="1:42">
      <c r="A797" s="2"/>
      <c r="AP797" s="101"/>
    </row>
    <row r="798" spans="1:42">
      <c r="A798" s="2"/>
      <c r="AP798" s="101"/>
    </row>
    <row r="799" spans="1:42">
      <c r="A799" s="2"/>
      <c r="AP799" s="101"/>
    </row>
    <row r="800" spans="1:42">
      <c r="A800" s="2"/>
      <c r="AP800" s="101"/>
    </row>
    <row r="801" spans="1:42">
      <c r="A801" s="2"/>
      <c r="AP801" s="101"/>
    </row>
    <row r="802" spans="1:42">
      <c r="A802" s="2"/>
      <c r="AP802" s="101"/>
    </row>
    <row r="803" spans="1:42">
      <c r="A803" s="2"/>
      <c r="AP803" s="101"/>
    </row>
    <row r="804" spans="1:42">
      <c r="A804" s="2"/>
      <c r="AP804" s="101"/>
    </row>
    <row r="805" spans="1:42">
      <c r="A805" s="2"/>
      <c r="AP805" s="101"/>
    </row>
    <row r="806" spans="1:42">
      <c r="A806" s="2"/>
      <c r="AP806" s="101"/>
    </row>
    <row r="807" spans="1:42">
      <c r="A807" s="2"/>
      <c r="AP807" s="101"/>
    </row>
    <row r="808" spans="1:42">
      <c r="A808" s="2"/>
      <c r="AP808" s="101"/>
    </row>
    <row r="809" spans="1:42">
      <c r="A809" s="2"/>
      <c r="AP809" s="101"/>
    </row>
    <row r="810" spans="1:42">
      <c r="A810" s="2"/>
      <c r="AP810" s="101"/>
    </row>
    <row r="811" spans="1:42">
      <c r="A811" s="2"/>
      <c r="AP811" s="101"/>
    </row>
    <row r="812" spans="1:42">
      <c r="A812" s="2"/>
      <c r="AP812" s="101"/>
    </row>
    <row r="813" spans="1:42">
      <c r="A813" s="2"/>
      <c r="AP813" s="101"/>
    </row>
    <row r="814" spans="1:42">
      <c r="A814" s="2"/>
      <c r="AP814" s="101"/>
    </row>
    <row r="815" spans="1:42">
      <c r="A815" s="2"/>
      <c r="AP815" s="101"/>
    </row>
    <row r="816" spans="1:42">
      <c r="A816" s="2"/>
      <c r="AP816" s="101"/>
    </row>
    <row r="817" spans="1:42">
      <c r="A817" s="2"/>
      <c r="AP817" s="101"/>
    </row>
    <row r="818" spans="1:42">
      <c r="A818" s="2"/>
      <c r="AP818" s="101"/>
    </row>
    <row r="819" spans="1:42">
      <c r="A819" s="2"/>
      <c r="AP819" s="101"/>
    </row>
    <row r="820" spans="1:42">
      <c r="A820" s="2"/>
      <c r="AP820" s="101"/>
    </row>
    <row r="821" spans="1:42">
      <c r="A821" s="2"/>
      <c r="AP821" s="101"/>
    </row>
    <row r="822" spans="1:42">
      <c r="A822" s="2"/>
      <c r="AP822" s="101"/>
    </row>
    <row r="823" spans="1:42">
      <c r="A823" s="2"/>
      <c r="AP823" s="101"/>
    </row>
    <row r="824" spans="1:42">
      <c r="A824" s="2"/>
      <c r="AP824" s="101"/>
    </row>
    <row r="825" spans="1:42">
      <c r="A825" s="2"/>
      <c r="AP825" s="101"/>
    </row>
    <row r="826" spans="1:42">
      <c r="A826" s="2"/>
      <c r="AP826" s="101"/>
    </row>
    <row r="827" spans="1:42">
      <c r="A827" s="2"/>
      <c r="AP827" s="101"/>
    </row>
    <row r="828" spans="1:42">
      <c r="A828" s="2"/>
      <c r="AP828" s="101"/>
    </row>
    <row r="829" spans="1:42">
      <c r="A829" s="2"/>
      <c r="AP829" s="101"/>
    </row>
    <row r="830" spans="1:42">
      <c r="A830" s="2"/>
      <c r="AP830" s="101"/>
    </row>
    <row r="831" spans="1:42">
      <c r="A831" s="2"/>
      <c r="AP831" s="101"/>
    </row>
    <row r="832" spans="1:42">
      <c r="A832" s="2"/>
      <c r="AP832" s="101"/>
    </row>
    <row r="833" spans="1:42">
      <c r="A833" s="2"/>
      <c r="AP833" s="101"/>
    </row>
    <row r="834" spans="1:42">
      <c r="A834" s="2"/>
      <c r="AP834" s="101"/>
    </row>
    <row r="835" spans="1:42">
      <c r="A835" s="2"/>
      <c r="AP835" s="101"/>
    </row>
    <row r="836" spans="1:42">
      <c r="A836" s="2"/>
      <c r="AP836" s="101"/>
    </row>
    <row r="837" spans="1:42">
      <c r="A837" s="2"/>
      <c r="AP837" s="101"/>
    </row>
    <row r="838" spans="1:42">
      <c r="A838" s="2"/>
      <c r="AP838" s="101"/>
    </row>
    <row r="839" spans="1:42">
      <c r="A839" s="2"/>
      <c r="AP839" s="101"/>
    </row>
    <row r="840" spans="1:42">
      <c r="A840" s="2"/>
      <c r="AP840" s="101"/>
    </row>
    <row r="841" spans="1:42">
      <c r="A841" s="2"/>
      <c r="AP841" s="101"/>
    </row>
    <row r="842" spans="1:42">
      <c r="A842" s="2"/>
      <c r="AP842" s="101"/>
    </row>
    <row r="843" spans="1:42">
      <c r="A843" s="2"/>
      <c r="AP843" s="101"/>
    </row>
    <row r="844" spans="1:42">
      <c r="A844" s="2"/>
      <c r="AP844" s="101"/>
    </row>
    <row r="845" spans="1:42">
      <c r="A845" s="2"/>
      <c r="AP845" s="101"/>
    </row>
    <row r="846" spans="1:42">
      <c r="A846" s="2"/>
      <c r="AP846" s="101"/>
    </row>
    <row r="847" spans="1:42">
      <c r="A847" s="2"/>
      <c r="AP847" s="101"/>
    </row>
    <row r="848" spans="1:42">
      <c r="A848" s="2"/>
      <c r="AP848" s="101"/>
    </row>
    <row r="849" spans="1:42">
      <c r="A849" s="2"/>
      <c r="AP849" s="101"/>
    </row>
    <row r="850" spans="1:42">
      <c r="A850" s="2"/>
      <c r="AP850" s="101"/>
    </row>
    <row r="851" spans="1:42">
      <c r="A851" s="2"/>
      <c r="AP851" s="101"/>
    </row>
    <row r="852" spans="1:42">
      <c r="A852" s="2"/>
      <c r="AP852" s="101"/>
    </row>
    <row r="853" spans="1:42">
      <c r="A853" s="2"/>
      <c r="AP853" s="101"/>
    </row>
    <row r="854" spans="1:42">
      <c r="A854" s="2"/>
      <c r="AP854" s="101"/>
    </row>
    <row r="855" spans="1:42">
      <c r="A855" s="2"/>
      <c r="AP855" s="101"/>
    </row>
    <row r="856" spans="1:42">
      <c r="A856" s="2"/>
      <c r="AP856" s="101"/>
    </row>
    <row r="857" spans="1:42">
      <c r="A857" s="2"/>
      <c r="AP857" s="101"/>
    </row>
    <row r="858" spans="1:42">
      <c r="A858" s="2"/>
      <c r="AP858" s="101"/>
    </row>
    <row r="859" spans="1:42">
      <c r="A859" s="2"/>
      <c r="AP859" s="101"/>
    </row>
    <row r="860" spans="1:42">
      <c r="A860" s="2"/>
      <c r="AP860" s="101"/>
    </row>
    <row r="861" spans="1:42">
      <c r="A861" s="2"/>
      <c r="AP861" s="101"/>
    </row>
    <row r="862" spans="1:42">
      <c r="A862" s="2"/>
      <c r="AP862" s="101"/>
    </row>
    <row r="863" spans="1:42">
      <c r="A863" s="2"/>
      <c r="AP863" s="101"/>
    </row>
    <row r="864" spans="1:42">
      <c r="A864" s="2"/>
      <c r="AP864" s="101"/>
    </row>
    <row r="865" spans="1:42">
      <c r="A865" s="2"/>
      <c r="AP865" s="101"/>
    </row>
    <row r="866" spans="1:42">
      <c r="A866" s="2"/>
      <c r="AP866" s="101"/>
    </row>
    <row r="867" spans="1:42">
      <c r="A867" s="2"/>
      <c r="AP867" s="101"/>
    </row>
    <row r="868" spans="1:42">
      <c r="A868" s="2"/>
      <c r="AP868" s="101"/>
    </row>
    <row r="869" spans="1:42">
      <c r="A869" s="2"/>
      <c r="AP869" s="101"/>
    </row>
    <row r="870" spans="1:42">
      <c r="A870" s="2"/>
      <c r="AP870" s="101"/>
    </row>
    <row r="871" spans="1:42">
      <c r="A871" s="2"/>
      <c r="AP871" s="101"/>
    </row>
    <row r="872" spans="1:42">
      <c r="A872" s="2"/>
      <c r="AP872" s="101"/>
    </row>
    <row r="873" spans="1:42">
      <c r="A873" s="2"/>
      <c r="AP873" s="101"/>
    </row>
    <row r="874" spans="1:42">
      <c r="A874" s="2"/>
      <c r="AP874" s="101"/>
    </row>
    <row r="875" spans="1:42">
      <c r="A875" s="2"/>
      <c r="AP875" s="101"/>
    </row>
    <row r="876" spans="1:42">
      <c r="A876" s="2"/>
      <c r="AP876" s="101"/>
    </row>
    <row r="877" spans="1:42">
      <c r="A877" s="2"/>
      <c r="AP877" s="101"/>
    </row>
    <row r="878" spans="1:42">
      <c r="A878" s="2"/>
      <c r="AP878" s="101"/>
    </row>
    <row r="879" spans="1:42">
      <c r="A879" s="2"/>
      <c r="AP879" s="101"/>
    </row>
    <row r="880" spans="1:42">
      <c r="A880" s="2"/>
      <c r="AP880" s="101"/>
    </row>
    <row r="881" spans="1:42">
      <c r="A881" s="2"/>
      <c r="AP881" s="101"/>
    </row>
    <row r="882" spans="1:42">
      <c r="A882" s="2"/>
      <c r="AP882" s="101"/>
    </row>
    <row r="883" spans="1:42">
      <c r="A883" s="2"/>
      <c r="AP883" s="101"/>
    </row>
    <row r="884" spans="1:42">
      <c r="A884" s="2"/>
      <c r="AP884" s="101"/>
    </row>
    <row r="885" spans="1:42">
      <c r="A885" s="2"/>
      <c r="AP885" s="101"/>
    </row>
    <row r="886" spans="1:42">
      <c r="A886" s="2"/>
      <c r="AP886" s="101"/>
    </row>
    <row r="887" spans="1:42">
      <c r="A887" s="2"/>
      <c r="AP887" s="101"/>
    </row>
    <row r="888" spans="1:42">
      <c r="A888" s="2"/>
      <c r="AP888" s="101"/>
    </row>
    <row r="889" spans="1:42">
      <c r="A889" s="2"/>
      <c r="AP889" s="101"/>
    </row>
    <row r="890" spans="1:42">
      <c r="A890" s="2"/>
      <c r="AP890" s="101"/>
    </row>
    <row r="891" spans="1:42">
      <c r="A891" s="2"/>
      <c r="AP891" s="101"/>
    </row>
    <row r="892" spans="1:42">
      <c r="A892" s="2"/>
      <c r="AP892" s="101"/>
    </row>
    <row r="893" spans="1:42">
      <c r="A893" s="2"/>
      <c r="AP893" s="101"/>
    </row>
    <row r="894" spans="1:42">
      <c r="A894" s="2"/>
      <c r="AP894" s="101"/>
    </row>
    <row r="895" spans="1:42">
      <c r="A895" s="2"/>
      <c r="AP895" s="101"/>
    </row>
    <row r="896" spans="1:42">
      <c r="A896" s="2"/>
      <c r="AP896" s="101"/>
    </row>
    <row r="897" spans="1:42">
      <c r="A897" s="2"/>
      <c r="AP897" s="101"/>
    </row>
    <row r="898" spans="1:42">
      <c r="A898" s="2"/>
      <c r="AP898" s="101"/>
    </row>
    <row r="899" spans="1:42">
      <c r="A899" s="2"/>
      <c r="AP899" s="101"/>
    </row>
    <row r="900" spans="1:42">
      <c r="A900" s="2"/>
      <c r="AP900" s="101"/>
    </row>
    <row r="901" spans="1:42">
      <c r="A901" s="2"/>
      <c r="AP901" s="101"/>
    </row>
    <row r="902" spans="1:42">
      <c r="A902" s="2"/>
      <c r="AP902" s="101"/>
    </row>
    <row r="903" spans="1:42">
      <c r="A903" s="2"/>
      <c r="AP903" s="101"/>
    </row>
    <row r="904" spans="1:42">
      <c r="A904" s="2"/>
      <c r="AP904" s="101"/>
    </row>
    <row r="905" spans="1:42">
      <c r="A905" s="2"/>
      <c r="AP905" s="101"/>
    </row>
    <row r="906" spans="1:42">
      <c r="A906" s="2"/>
      <c r="AP906" s="101"/>
    </row>
    <row r="907" spans="1:42">
      <c r="A907" s="2"/>
      <c r="AP907" s="101"/>
    </row>
    <row r="908" spans="1:42">
      <c r="A908" s="2"/>
      <c r="AP908" s="101"/>
    </row>
    <row r="909" spans="1:42">
      <c r="A909" s="2"/>
      <c r="AP909" s="101"/>
    </row>
    <row r="910" spans="1:42">
      <c r="A910" s="2"/>
      <c r="AP910" s="101"/>
    </row>
    <row r="911" spans="1:42">
      <c r="A911" s="2"/>
      <c r="AP911" s="101"/>
    </row>
    <row r="912" spans="1:42">
      <c r="A912" s="2"/>
      <c r="AP912" s="101"/>
    </row>
    <row r="913" spans="1:42">
      <c r="A913" s="2"/>
      <c r="AP913" s="101"/>
    </row>
    <row r="914" spans="1:42">
      <c r="A914" s="2"/>
      <c r="AP914" s="101"/>
    </row>
    <row r="915" spans="1:42">
      <c r="A915" s="2"/>
      <c r="AP915" s="101"/>
    </row>
    <row r="916" spans="1:42">
      <c r="A916" s="2"/>
      <c r="AP916" s="101"/>
    </row>
    <row r="917" spans="1:42">
      <c r="A917" s="2"/>
      <c r="AP917" s="101"/>
    </row>
    <row r="918" spans="1:42">
      <c r="A918" s="2"/>
      <c r="AP918" s="101"/>
    </row>
    <row r="919" spans="1:42">
      <c r="A919" s="2"/>
      <c r="AP919" s="101"/>
    </row>
    <row r="920" spans="1:42">
      <c r="A920" s="2"/>
      <c r="AP920" s="101"/>
    </row>
    <row r="921" spans="1:42">
      <c r="A921" s="2"/>
      <c r="AP921" s="101"/>
    </row>
    <row r="922" spans="1:42">
      <c r="A922" s="2"/>
      <c r="AP922" s="101"/>
    </row>
    <row r="923" spans="1:42">
      <c r="A923" s="2"/>
      <c r="AP923" s="101"/>
    </row>
    <row r="924" spans="1:42">
      <c r="A924" s="2"/>
      <c r="AP924" s="101"/>
    </row>
    <row r="925" spans="1:42">
      <c r="A925" s="2"/>
      <c r="AP925" s="101"/>
    </row>
    <row r="926" spans="1:42">
      <c r="A926" s="2"/>
      <c r="AP926" s="101"/>
    </row>
    <row r="927" spans="1:42">
      <c r="A927" s="2"/>
      <c r="AP927" s="101"/>
    </row>
    <row r="928" spans="1:42">
      <c r="A928" s="2"/>
      <c r="AP928" s="101"/>
    </row>
    <row r="929" spans="1:42">
      <c r="A929" s="2"/>
      <c r="AP929" s="101"/>
    </row>
    <row r="930" spans="1:42">
      <c r="A930" s="2"/>
      <c r="AP930" s="101"/>
    </row>
    <row r="931" spans="1:42">
      <c r="A931" s="2"/>
      <c r="AP931" s="101"/>
    </row>
    <row r="932" spans="1:42">
      <c r="A932" s="2"/>
      <c r="AP932" s="101"/>
    </row>
    <row r="933" spans="1:42">
      <c r="A933" s="2"/>
      <c r="AP933" s="101"/>
    </row>
    <row r="934" spans="1:42">
      <c r="A934" s="2"/>
      <c r="AP934" s="101"/>
    </row>
    <row r="935" spans="1:42">
      <c r="A935" s="2"/>
      <c r="AP935" s="101"/>
    </row>
    <row r="936" spans="1:42">
      <c r="A936" s="2"/>
      <c r="AP936" s="101"/>
    </row>
    <row r="937" spans="1:42">
      <c r="A937" s="2"/>
      <c r="AP937" s="101"/>
    </row>
    <row r="938" spans="1:42">
      <c r="A938" s="2"/>
      <c r="AP938" s="101"/>
    </row>
    <row r="939" spans="1:42">
      <c r="A939" s="2"/>
      <c r="AP939" s="101"/>
    </row>
    <row r="940" spans="1:42">
      <c r="A940" s="2"/>
      <c r="AP940" s="101"/>
    </row>
    <row r="941" spans="1:42">
      <c r="A941" s="2"/>
      <c r="AP941" s="101"/>
    </row>
    <row r="942" spans="1:42">
      <c r="A942" s="2"/>
      <c r="AP942" s="101"/>
    </row>
    <row r="943" spans="1:42">
      <c r="A943" s="2"/>
      <c r="AP943" s="101"/>
    </row>
    <row r="944" spans="1:42">
      <c r="A944" s="2"/>
      <c r="AP944" s="101"/>
    </row>
    <row r="945" spans="1:42">
      <c r="A945" s="2"/>
      <c r="AP945" s="101"/>
    </row>
    <row r="946" spans="1:42">
      <c r="A946" s="2"/>
      <c r="AP946" s="101"/>
    </row>
    <row r="947" spans="1:42">
      <c r="A947" s="2"/>
      <c r="AP947" s="101"/>
    </row>
    <row r="948" spans="1:42">
      <c r="A948" s="2"/>
      <c r="AP948" s="101"/>
    </row>
    <row r="949" spans="1:42">
      <c r="A949" s="2"/>
      <c r="AP949" s="101"/>
    </row>
    <row r="950" spans="1:42">
      <c r="A950" s="2"/>
      <c r="AP950" s="101"/>
    </row>
    <row r="951" spans="1:42">
      <c r="A951" s="2"/>
      <c r="AP951" s="101"/>
    </row>
    <row r="952" spans="1:42">
      <c r="A952" s="2"/>
      <c r="AP952" s="101"/>
    </row>
    <row r="953" spans="1:42">
      <c r="A953" s="2"/>
      <c r="AP953" s="101"/>
    </row>
    <row r="954" spans="1:42">
      <c r="A954" s="2"/>
      <c r="AP954" s="101"/>
    </row>
    <row r="955" spans="1:42">
      <c r="A955" s="2"/>
      <c r="AP955" s="101"/>
    </row>
    <row r="956" spans="1:42">
      <c r="A956" s="2"/>
      <c r="AP956" s="101"/>
    </row>
    <row r="957" spans="1:42">
      <c r="A957" s="2"/>
      <c r="AP957" s="101"/>
    </row>
    <row r="958" spans="1:42">
      <c r="A958" s="2"/>
      <c r="AP958" s="101"/>
    </row>
    <row r="959" spans="1:42">
      <c r="A959" s="2"/>
      <c r="AP959" s="101"/>
    </row>
    <row r="960" spans="1:42">
      <c r="A960" s="2"/>
      <c r="AP960" s="101"/>
    </row>
    <row r="961" spans="1:42">
      <c r="A961" s="2"/>
      <c r="AP961" s="101"/>
    </row>
    <row r="962" spans="1:42">
      <c r="A962" s="2"/>
      <c r="AP962" s="101"/>
    </row>
    <row r="963" spans="1:42">
      <c r="A963" s="2"/>
      <c r="AP963" s="101"/>
    </row>
    <row r="964" spans="1:42">
      <c r="A964" s="2"/>
      <c r="AP964" s="101"/>
    </row>
    <row r="965" spans="1:42">
      <c r="A965" s="2"/>
      <c r="AP965" s="101"/>
    </row>
    <row r="966" spans="1:42">
      <c r="A966" s="2"/>
      <c r="AP966" s="101"/>
    </row>
    <row r="967" spans="1:42">
      <c r="A967" s="2"/>
      <c r="AP967" s="101"/>
    </row>
    <row r="968" spans="1:42">
      <c r="A968" s="2"/>
      <c r="AP968" s="101"/>
    </row>
    <row r="969" spans="1:42">
      <c r="A969" s="2"/>
      <c r="AP969" s="101"/>
    </row>
    <row r="970" spans="1:42">
      <c r="A970" s="2"/>
      <c r="AP970" s="101"/>
    </row>
    <row r="971" spans="1:42">
      <c r="A971" s="2"/>
      <c r="AP971" s="101"/>
    </row>
    <row r="972" spans="1:42">
      <c r="A972" s="2"/>
      <c r="AP972" s="101"/>
    </row>
    <row r="973" spans="1:42">
      <c r="A973" s="2"/>
      <c r="AP973" s="101"/>
    </row>
    <row r="974" spans="1:42">
      <c r="A974" s="2"/>
      <c r="AP974" s="101"/>
    </row>
    <row r="975" spans="1:42">
      <c r="A975" s="2"/>
      <c r="AP975" s="101"/>
    </row>
    <row r="976" spans="1:42">
      <c r="A976" s="2"/>
      <c r="AP976" s="101"/>
    </row>
    <row r="977" spans="1:42">
      <c r="A977" s="2"/>
      <c r="AP977" s="101"/>
    </row>
    <row r="978" spans="1:42">
      <c r="A978" s="2"/>
      <c r="AP978" s="101"/>
    </row>
    <row r="979" spans="1:42">
      <c r="A979" s="2"/>
      <c r="AP979" s="101"/>
    </row>
    <row r="980" spans="1:42">
      <c r="A980" s="2"/>
      <c r="AP980" s="101"/>
    </row>
    <row r="981" spans="1:42">
      <c r="A981" s="2"/>
      <c r="AP981" s="101"/>
    </row>
    <row r="982" spans="1:42">
      <c r="A982" s="2"/>
      <c r="AP982" s="101"/>
    </row>
    <row r="983" spans="1:42">
      <c r="A983" s="2"/>
      <c r="AP983" s="101"/>
    </row>
    <row r="984" spans="1:42">
      <c r="A984" s="2"/>
      <c r="AP984" s="101"/>
    </row>
    <row r="985" spans="1:42">
      <c r="A985" s="2"/>
      <c r="AP985" s="101"/>
    </row>
    <row r="986" spans="1:42">
      <c r="A986" s="2"/>
      <c r="AP986" s="101"/>
    </row>
    <row r="987" spans="1:42">
      <c r="A987" s="2"/>
      <c r="AP987" s="101"/>
    </row>
    <row r="988" spans="1:42">
      <c r="A988" s="2"/>
      <c r="AP988" s="101"/>
    </row>
    <row r="989" spans="1:42">
      <c r="A989" s="2"/>
      <c r="AP989" s="101"/>
    </row>
    <row r="990" spans="1:42">
      <c r="A990" s="2"/>
      <c r="AP990" s="101"/>
    </row>
    <row r="991" spans="1:42">
      <c r="A991" s="2"/>
      <c r="AP991" s="101"/>
    </row>
    <row r="992" spans="1:42">
      <c r="A992" s="2"/>
      <c r="AP992" s="101"/>
    </row>
    <row r="993" spans="1:42">
      <c r="A993" s="2"/>
      <c r="AP993" s="101"/>
    </row>
    <row r="994" spans="1:42">
      <c r="A994" s="2"/>
      <c r="AP994" s="101"/>
    </row>
    <row r="995" spans="1:42">
      <c r="A995" s="2"/>
      <c r="AP995" s="101"/>
    </row>
    <row r="996" spans="1:42">
      <c r="A996" s="2"/>
      <c r="AP996" s="101"/>
    </row>
    <row r="997" spans="1:42">
      <c r="A997" s="2"/>
      <c r="AP997" s="101"/>
    </row>
    <row r="998" spans="1:42">
      <c r="A998" s="2"/>
      <c r="AP998" s="101"/>
    </row>
    <row r="999" spans="1:42">
      <c r="A999" s="2"/>
      <c r="AP999" s="101"/>
    </row>
    <row r="1000" spans="1:42">
      <c r="A1000" s="2"/>
      <c r="AP1000" s="101"/>
    </row>
    <row r="1001" spans="1:42">
      <c r="A1001" s="2"/>
      <c r="AP1001" s="101"/>
    </row>
    <row r="1002" spans="1:42">
      <c r="A1002" s="2"/>
      <c r="AP1002" s="101"/>
    </row>
    <row r="1003" spans="1:42">
      <c r="A1003" s="2"/>
      <c r="AP1003" s="101"/>
    </row>
    <row r="1004" spans="1:42">
      <c r="A1004" s="2"/>
      <c r="AP1004" s="101"/>
    </row>
    <row r="1005" spans="1:42">
      <c r="A1005" s="2"/>
      <c r="AP1005" s="101"/>
    </row>
    <row r="1006" spans="1:42">
      <c r="A1006" s="2"/>
      <c r="AP1006" s="101"/>
    </row>
    <row r="1007" spans="1:42">
      <c r="A1007" s="2"/>
      <c r="AP1007" s="101"/>
    </row>
    <row r="1008" spans="1:42">
      <c r="A1008" s="2"/>
      <c r="AP1008" s="101"/>
    </row>
    <row r="1009" spans="1:42">
      <c r="A1009" s="2"/>
      <c r="AP1009" s="101"/>
    </row>
    <row r="1010" spans="1:42">
      <c r="A1010" s="2"/>
      <c r="AP1010" s="101"/>
    </row>
    <row r="1011" spans="1:42">
      <c r="A1011" s="2"/>
      <c r="AP1011" s="101"/>
    </row>
    <row r="1012" spans="1:42">
      <c r="A1012" s="2"/>
      <c r="AP1012" s="101"/>
    </row>
    <row r="1013" spans="1:42">
      <c r="A1013" s="2"/>
      <c r="AP1013" s="101"/>
    </row>
    <row r="1014" spans="1:42">
      <c r="A1014" s="2"/>
      <c r="AP1014" s="101"/>
    </row>
    <row r="1015" spans="1:42">
      <c r="A1015" s="2"/>
      <c r="AP1015" s="101"/>
    </row>
    <row r="1016" spans="1:42">
      <c r="A1016" s="2"/>
      <c r="AP1016" s="101"/>
    </row>
    <row r="1017" spans="1:42">
      <c r="A1017" s="2"/>
      <c r="AP1017" s="101"/>
    </row>
    <row r="1018" spans="1:42">
      <c r="A1018" s="2"/>
      <c r="AP1018" s="101"/>
    </row>
    <row r="1019" spans="1:42">
      <c r="A1019" s="2"/>
      <c r="AP1019" s="101"/>
    </row>
    <row r="1020" spans="1:42">
      <c r="A1020" s="2"/>
      <c r="AP1020" s="101"/>
    </row>
    <row r="1021" spans="1:42">
      <c r="A1021" s="2"/>
      <c r="AP1021" s="101"/>
    </row>
    <row r="1022" spans="1:42">
      <c r="A1022" s="2"/>
      <c r="AP1022" s="101"/>
    </row>
    <row r="1023" spans="1:42">
      <c r="A1023" s="2"/>
      <c r="AP1023" s="101"/>
    </row>
    <row r="1024" spans="1:42">
      <c r="A1024" s="2"/>
      <c r="AP1024" s="101"/>
    </row>
    <row r="1025" spans="1:42">
      <c r="A1025" s="2"/>
      <c r="AP1025" s="101"/>
    </row>
    <row r="1026" spans="1:42">
      <c r="A1026" s="2"/>
      <c r="AP1026" s="101"/>
    </row>
    <row r="1027" spans="1:42">
      <c r="A1027" s="2"/>
      <c r="AP1027" s="101"/>
    </row>
    <row r="1028" spans="1:42">
      <c r="A1028" s="2"/>
      <c r="AP1028" s="101"/>
    </row>
    <row r="1029" spans="1:42">
      <c r="A1029" s="2"/>
      <c r="AP1029" s="101"/>
    </row>
    <row r="1030" spans="1:42">
      <c r="A1030" s="2"/>
      <c r="AP1030" s="101"/>
    </row>
    <row r="1031" spans="1:42">
      <c r="A1031" s="2"/>
      <c r="AP1031" s="101"/>
    </row>
    <row r="1032" spans="1:42">
      <c r="A1032" s="2"/>
      <c r="AP1032" s="101"/>
    </row>
    <row r="1033" spans="1:42">
      <c r="A1033" s="2"/>
      <c r="AP1033" s="101"/>
    </row>
    <row r="1034" spans="1:42">
      <c r="A1034" s="2"/>
      <c r="AP1034" s="101"/>
    </row>
    <row r="1035" spans="1:42">
      <c r="A1035" s="2"/>
      <c r="AP1035" s="101"/>
    </row>
    <row r="1036" spans="1:42">
      <c r="A1036" s="2"/>
      <c r="AP1036" s="101"/>
    </row>
    <row r="1037" spans="1:42">
      <c r="A1037" s="2"/>
      <c r="AP1037" s="101"/>
    </row>
    <row r="1038" spans="1:42">
      <c r="A1038" s="2"/>
      <c r="AP1038" s="101"/>
    </row>
    <row r="1039" spans="1:42">
      <c r="A1039" s="2"/>
      <c r="AP1039" s="101"/>
    </row>
    <row r="1040" spans="1:42">
      <c r="A1040" s="2"/>
      <c r="AP1040" s="101"/>
    </row>
    <row r="1041" spans="42:42">
      <c r="AP1041" s="101"/>
    </row>
    <row r="1042" spans="42:42">
      <c r="AP1042" s="101"/>
    </row>
    <row r="1043" spans="42:42">
      <c r="AP1043" s="101"/>
    </row>
    <row r="1044" spans="42:42">
      <c r="AP1044" s="101"/>
    </row>
  </sheetData>
  <sortState xmlns:xlrd2="http://schemas.microsoft.com/office/spreadsheetml/2017/richdata2" columnSort="1" ref="C1:AP92">
    <sortCondition ref="C3:AP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497E-AD84-4731-9D2D-3649530DEF91}">
  <sheetPr>
    <outlinePr summaryBelow="0" summaryRight="0"/>
  </sheetPr>
  <dimension ref="A1:AS1044"/>
  <sheetViews>
    <sheetView zoomScale="90" workbookViewId="0">
      <pane xSplit="2" ySplit="2" topLeftCell="C87" activePane="bottomRight" state="frozen"/>
      <selection pane="topRight" activeCell="C1" sqref="C1"/>
      <selection pane="bottomLeft" activeCell="A3" sqref="A3"/>
      <selection pane="bottomRight" activeCell="D103" sqref="D103"/>
    </sheetView>
  </sheetViews>
  <sheetFormatPr defaultColWidth="12.6640625" defaultRowHeight="15.75" customHeight="1"/>
  <cols>
    <col min="1" max="1" width="19.88671875" customWidth="1"/>
    <col min="2" max="2" width="56.44140625" customWidth="1"/>
  </cols>
  <sheetData>
    <row r="1" spans="1:45">
      <c r="A1" s="1" t="s">
        <v>0</v>
      </c>
      <c r="B1" s="79" t="s">
        <v>5</v>
      </c>
      <c r="C1" s="78">
        <v>31</v>
      </c>
      <c r="D1" s="78">
        <v>4</v>
      </c>
      <c r="E1" s="78">
        <v>15</v>
      </c>
      <c r="F1" s="78">
        <v>24</v>
      </c>
      <c r="G1" s="78">
        <v>18</v>
      </c>
      <c r="H1" s="78">
        <v>32</v>
      </c>
      <c r="I1" s="78">
        <v>5</v>
      </c>
      <c r="J1" s="78">
        <v>16</v>
      </c>
      <c r="K1" s="130">
        <v>28</v>
      </c>
      <c r="L1" s="78" t="s">
        <v>2</v>
      </c>
      <c r="M1" s="78" t="s">
        <v>3</v>
      </c>
      <c r="P1" s="159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59"/>
      <c r="AS1" s="78"/>
    </row>
    <row r="2" spans="1:45">
      <c r="A2" s="5" t="s">
        <v>4</v>
      </c>
      <c r="B2" s="5" t="s">
        <v>6</v>
      </c>
      <c r="C2" s="5"/>
      <c r="D2" s="5"/>
      <c r="E2" s="5"/>
      <c r="F2" s="5"/>
      <c r="G2" s="5"/>
      <c r="H2" s="5"/>
      <c r="I2" s="5"/>
      <c r="J2" s="5"/>
      <c r="K2" s="131"/>
      <c r="L2" s="5"/>
      <c r="M2" s="5"/>
      <c r="P2" s="159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59"/>
      <c r="AS2" s="5"/>
    </row>
    <row r="3" spans="1:45">
      <c r="A3" s="5"/>
      <c r="B3" s="5" t="s">
        <v>74</v>
      </c>
      <c r="C3" s="5">
        <v>9</v>
      </c>
      <c r="D3" s="5">
        <v>10</v>
      </c>
      <c r="E3" s="5">
        <v>10</v>
      </c>
      <c r="F3" s="5">
        <v>11</v>
      </c>
      <c r="G3" s="5">
        <v>12</v>
      </c>
      <c r="H3" s="5">
        <v>12</v>
      </c>
      <c r="I3" s="5">
        <v>13</v>
      </c>
      <c r="J3" s="5">
        <v>13</v>
      </c>
      <c r="K3" s="131">
        <v>13</v>
      </c>
      <c r="L3" s="5"/>
      <c r="M3" s="5"/>
      <c r="P3" s="159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59"/>
      <c r="AS3" s="5"/>
    </row>
    <row r="4" spans="1:45">
      <c r="A4" s="5"/>
      <c r="B4" s="5" t="s">
        <v>8</v>
      </c>
      <c r="C4" s="5" t="s">
        <v>9</v>
      </c>
      <c r="D4" s="5" t="s">
        <v>9</v>
      </c>
      <c r="E4" s="5" t="s">
        <v>10</v>
      </c>
      <c r="F4" s="5" t="s">
        <v>9</v>
      </c>
      <c r="G4" s="5" t="s">
        <v>9</v>
      </c>
      <c r="H4" s="5" t="s">
        <v>10</v>
      </c>
      <c r="I4" s="5" t="s">
        <v>10</v>
      </c>
      <c r="J4" s="5" t="s">
        <v>9</v>
      </c>
      <c r="K4" s="131" t="s">
        <v>9</v>
      </c>
      <c r="L4" s="5"/>
      <c r="M4" s="5"/>
      <c r="P4" s="159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59"/>
      <c r="AS4" s="5"/>
    </row>
    <row r="5" spans="1:45">
      <c r="A5" s="5"/>
      <c r="B5" s="5" t="s">
        <v>11</v>
      </c>
      <c r="C5" s="5" t="s">
        <v>12</v>
      </c>
      <c r="D5" s="5" t="s">
        <v>12</v>
      </c>
      <c r="E5" s="5" t="s">
        <v>12</v>
      </c>
      <c r="F5" s="5"/>
      <c r="G5" s="5" t="s">
        <v>12</v>
      </c>
      <c r="H5" s="5" t="s">
        <v>12</v>
      </c>
      <c r="I5" s="5" t="s">
        <v>12</v>
      </c>
      <c r="J5" s="5" t="s">
        <v>12</v>
      </c>
      <c r="K5" s="131" t="s">
        <v>12</v>
      </c>
      <c r="L5" s="5"/>
      <c r="M5" s="5"/>
      <c r="P5" s="159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59"/>
      <c r="AS5" s="5"/>
    </row>
    <row r="6" spans="1:45">
      <c r="A6" s="5"/>
      <c r="B6" s="5" t="s">
        <v>76</v>
      </c>
      <c r="C6" s="7"/>
      <c r="D6" s="5" t="s">
        <v>59</v>
      </c>
      <c r="E6" s="5" t="s">
        <v>59</v>
      </c>
      <c r="F6" s="5" t="s">
        <v>59</v>
      </c>
      <c r="G6" s="5" t="s">
        <v>59</v>
      </c>
      <c r="H6" s="7"/>
      <c r="I6" s="5" t="s">
        <v>59</v>
      </c>
      <c r="J6" s="5" t="s">
        <v>61</v>
      </c>
      <c r="K6" s="131" t="s">
        <v>61</v>
      </c>
      <c r="L6" s="5"/>
      <c r="M6" s="5"/>
      <c r="P6" s="159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1"/>
      <c r="AD6" s="160"/>
      <c r="AE6" s="160"/>
      <c r="AF6" s="160"/>
      <c r="AG6" s="160"/>
      <c r="AH6" s="159"/>
      <c r="AS6" s="5"/>
    </row>
    <row r="7" spans="1:45">
      <c r="A7" s="5"/>
      <c r="B7" s="82" t="s">
        <v>80</v>
      </c>
      <c r="C7" s="5" t="s">
        <v>81</v>
      </c>
      <c r="D7" s="5" t="s">
        <v>81</v>
      </c>
      <c r="E7" s="5" t="s">
        <v>81</v>
      </c>
      <c r="F7" s="7"/>
      <c r="G7" s="5" t="s">
        <v>84</v>
      </c>
      <c r="H7" s="5" t="s">
        <v>81</v>
      </c>
      <c r="I7" s="5" t="s">
        <v>81</v>
      </c>
      <c r="J7" s="5" t="s">
        <v>81</v>
      </c>
      <c r="K7" s="131" t="s">
        <v>81</v>
      </c>
      <c r="L7" s="7"/>
      <c r="M7" s="7"/>
      <c r="P7" s="159"/>
      <c r="Q7" s="160"/>
      <c r="R7" s="160"/>
      <c r="S7" s="160"/>
      <c r="T7" s="160"/>
      <c r="U7" s="160"/>
      <c r="V7" s="160"/>
      <c r="W7" s="161"/>
      <c r="X7" s="160"/>
      <c r="Y7" s="160"/>
      <c r="Z7" s="161"/>
      <c r="AA7" s="161"/>
      <c r="AB7" s="160"/>
      <c r="AC7" s="160"/>
      <c r="AD7" s="160"/>
      <c r="AE7" s="160"/>
      <c r="AF7" s="160"/>
      <c r="AG7" s="160"/>
      <c r="AH7" s="159"/>
      <c r="AS7" s="7"/>
    </row>
    <row r="8" spans="1:45">
      <c r="A8" s="5"/>
      <c r="B8" s="82" t="s">
        <v>85</v>
      </c>
      <c r="C8" s="5" t="s">
        <v>81</v>
      </c>
      <c r="D8" s="5" t="s">
        <v>81</v>
      </c>
      <c r="E8" s="5" t="s">
        <v>81</v>
      </c>
      <c r="F8" s="7"/>
      <c r="G8" s="5" t="s">
        <v>84</v>
      </c>
      <c r="H8" s="5" t="s">
        <v>81</v>
      </c>
      <c r="I8" s="5" t="s">
        <v>81</v>
      </c>
      <c r="J8" s="5" t="s">
        <v>81</v>
      </c>
      <c r="K8" s="131" t="s">
        <v>81</v>
      </c>
      <c r="L8" s="7"/>
      <c r="M8" s="7"/>
      <c r="P8" s="159"/>
      <c r="Q8" s="160"/>
      <c r="R8" s="160"/>
      <c r="S8" s="160"/>
      <c r="T8" s="160"/>
      <c r="U8" s="160"/>
      <c r="V8" s="160"/>
      <c r="W8" s="161"/>
      <c r="X8" s="160"/>
      <c r="Y8" s="160"/>
      <c r="Z8" s="161"/>
      <c r="AA8" s="161"/>
      <c r="AB8" s="160"/>
      <c r="AC8" s="160"/>
      <c r="AD8" s="160"/>
      <c r="AE8" s="160"/>
      <c r="AF8" s="160"/>
      <c r="AG8" s="160"/>
      <c r="AH8" s="159"/>
      <c r="AS8" s="7"/>
    </row>
    <row r="9" spans="1:45">
      <c r="A9" s="8" t="s">
        <v>87</v>
      </c>
      <c r="B9" s="83" t="s">
        <v>19</v>
      </c>
      <c r="C9" s="9"/>
      <c r="D9" s="9"/>
      <c r="E9" s="9"/>
      <c r="F9" s="9"/>
      <c r="G9" s="9"/>
      <c r="H9" s="9"/>
      <c r="I9" s="9"/>
      <c r="J9" s="9"/>
      <c r="K9" s="133"/>
      <c r="L9" s="9"/>
      <c r="M9" s="9"/>
      <c r="P9" s="159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59"/>
      <c r="AS9" s="9"/>
    </row>
    <row r="10" spans="1:45">
      <c r="A10" s="8" t="s">
        <v>88</v>
      </c>
      <c r="B10" s="75" t="s">
        <v>89</v>
      </c>
      <c r="C10" s="9"/>
      <c r="D10" s="9"/>
      <c r="E10" s="9"/>
      <c r="F10" s="9"/>
      <c r="G10" s="9"/>
      <c r="H10" s="9"/>
      <c r="I10" s="9"/>
      <c r="J10" s="9"/>
      <c r="K10" s="133"/>
      <c r="L10" s="9"/>
      <c r="M10" s="9"/>
      <c r="P10" s="159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59"/>
      <c r="AS10" s="9"/>
    </row>
    <row r="11" spans="1:45">
      <c r="A11" s="8"/>
      <c r="B11" s="12" t="s">
        <v>23</v>
      </c>
      <c r="C11" s="75">
        <v>1.2</v>
      </c>
      <c r="D11" s="75">
        <v>3</v>
      </c>
      <c r="E11" s="75">
        <v>1</v>
      </c>
      <c r="F11" s="75">
        <v>2</v>
      </c>
      <c r="G11" s="75">
        <v>1</v>
      </c>
      <c r="H11" s="75">
        <v>1.2</v>
      </c>
      <c r="I11" s="75">
        <v>3</v>
      </c>
      <c r="J11" s="75">
        <v>1</v>
      </c>
      <c r="K11" s="134">
        <v>3.5</v>
      </c>
      <c r="L11" s="75" cm="1">
        <f t="array" ref="L11">SUM(15-ROUND(C11:K11,0))</f>
        <v>118</v>
      </c>
      <c r="M11" s="75">
        <f>0.61*(L11/COLUMNS(C11:K11))</f>
        <v>7.9977777777777774</v>
      </c>
      <c r="P11" s="159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59"/>
      <c r="AS11" s="75"/>
    </row>
    <row r="12" spans="1:45">
      <c r="A12" s="8"/>
      <c r="B12" s="12" t="s">
        <v>24</v>
      </c>
      <c r="C12" s="75">
        <v>4</v>
      </c>
      <c r="D12" s="75">
        <v>5</v>
      </c>
      <c r="E12" s="75">
        <v>2</v>
      </c>
      <c r="F12" s="75">
        <v>4</v>
      </c>
      <c r="G12" s="75">
        <v>1</v>
      </c>
      <c r="H12" s="75">
        <v>5</v>
      </c>
      <c r="I12" s="75">
        <v>7</v>
      </c>
      <c r="J12" s="75">
        <v>2</v>
      </c>
      <c r="K12" s="134">
        <v>3.5</v>
      </c>
      <c r="L12" s="75" cm="1">
        <f t="array" ref="L12">SUM(15-ROUND(C12:K12,0))</f>
        <v>101</v>
      </c>
      <c r="M12" s="75">
        <f>0.61*(L12/COLUMNS(C12:K12))</f>
        <v>6.8455555555555545</v>
      </c>
      <c r="P12" s="159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59"/>
      <c r="AS12" s="75"/>
    </row>
    <row r="13" spans="1:45">
      <c r="A13" s="8" t="s">
        <v>88</v>
      </c>
      <c r="B13" s="75" t="s">
        <v>90</v>
      </c>
      <c r="C13" s="9"/>
      <c r="D13" s="9"/>
      <c r="E13" s="9"/>
      <c r="F13" s="9"/>
      <c r="G13" s="9"/>
      <c r="H13" s="9"/>
      <c r="I13" s="9"/>
      <c r="J13" s="9"/>
      <c r="K13" s="133"/>
      <c r="L13" s="75"/>
      <c r="M13" s="75"/>
      <c r="P13" s="159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59"/>
      <c r="AS13" s="9"/>
    </row>
    <row r="14" spans="1:45">
      <c r="A14" s="8"/>
      <c r="B14" s="12" t="s">
        <v>23</v>
      </c>
      <c r="C14" s="75">
        <v>2</v>
      </c>
      <c r="D14" s="75">
        <v>5</v>
      </c>
      <c r="E14" s="75">
        <v>1</v>
      </c>
      <c r="F14" s="75">
        <v>4</v>
      </c>
      <c r="G14" s="75">
        <v>5</v>
      </c>
      <c r="H14" s="75">
        <v>3</v>
      </c>
      <c r="I14" s="75">
        <v>5</v>
      </c>
      <c r="J14" s="75">
        <v>1</v>
      </c>
      <c r="K14" s="134">
        <v>4.5</v>
      </c>
      <c r="L14" s="75" cm="1">
        <f t="array" ref="L14">SUM(15-ROUND(C14:K14,0))</f>
        <v>104</v>
      </c>
      <c r="M14" s="75">
        <f>0.61*(L14/COLUMNS(C14:K14))</f>
        <v>7.0488888888888885</v>
      </c>
      <c r="P14" s="159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59"/>
      <c r="AS14" s="75"/>
    </row>
    <row r="15" spans="1:45">
      <c r="A15" s="8"/>
      <c r="B15" s="12" t="s">
        <v>24</v>
      </c>
      <c r="C15" s="75">
        <v>7</v>
      </c>
      <c r="D15" s="75">
        <v>9</v>
      </c>
      <c r="E15" s="75">
        <v>2</v>
      </c>
      <c r="F15" s="75">
        <v>5</v>
      </c>
      <c r="G15" s="75">
        <v>6</v>
      </c>
      <c r="H15" s="75">
        <v>7</v>
      </c>
      <c r="I15" s="75">
        <v>10</v>
      </c>
      <c r="J15" s="75">
        <v>2</v>
      </c>
      <c r="K15" s="134">
        <v>4</v>
      </c>
      <c r="L15" s="75" cm="1">
        <f t="array" ref="L15">SUM(15-ROUND(C15:K15,0))</f>
        <v>83</v>
      </c>
      <c r="M15" s="75">
        <f>0.61*(L15/COLUMNS(C15:K15))</f>
        <v>5.6255555555555548</v>
      </c>
      <c r="P15" s="159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59"/>
      <c r="AS15" s="75"/>
    </row>
    <row r="16" spans="1:45">
      <c r="A16" s="8" t="s">
        <v>26</v>
      </c>
      <c r="B16" s="75" t="s">
        <v>91</v>
      </c>
      <c r="C16" s="9"/>
      <c r="D16" s="9"/>
      <c r="E16" s="9"/>
      <c r="F16" s="9"/>
      <c r="G16" s="9"/>
      <c r="H16" s="9"/>
      <c r="I16" s="9"/>
      <c r="J16" s="9"/>
      <c r="K16" s="133"/>
      <c r="L16" s="9"/>
      <c r="M16" s="75"/>
      <c r="P16" s="159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59"/>
      <c r="AS16" s="9"/>
    </row>
    <row r="17" spans="1:45">
      <c r="A17" s="8"/>
      <c r="B17" s="12" t="s">
        <v>23</v>
      </c>
      <c r="C17" s="75">
        <v>9</v>
      </c>
      <c r="D17" s="75">
        <v>10</v>
      </c>
      <c r="E17" s="75">
        <v>10</v>
      </c>
      <c r="F17" s="75">
        <v>11</v>
      </c>
      <c r="G17" s="75">
        <v>12</v>
      </c>
      <c r="H17" s="75">
        <v>12</v>
      </c>
      <c r="I17" s="75">
        <v>10</v>
      </c>
      <c r="J17" s="75">
        <v>13</v>
      </c>
      <c r="K17" s="134">
        <v>13</v>
      </c>
      <c r="L17" s="75">
        <f>SUM(C17:K17,0)</f>
        <v>100</v>
      </c>
      <c r="M17" s="75">
        <f>0.61*(L17/COLUMNS(C17:K17))</f>
        <v>6.7777777777777777</v>
      </c>
      <c r="P17" s="159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59"/>
      <c r="AS17" s="75"/>
    </row>
    <row r="18" spans="1:45">
      <c r="A18" s="8"/>
      <c r="B18" s="12" t="s">
        <v>24</v>
      </c>
      <c r="C18" s="75">
        <v>9</v>
      </c>
      <c r="D18" s="75">
        <v>10</v>
      </c>
      <c r="E18" s="75">
        <v>10</v>
      </c>
      <c r="F18" s="75">
        <v>11</v>
      </c>
      <c r="G18" s="75">
        <v>12</v>
      </c>
      <c r="H18" s="75">
        <v>12</v>
      </c>
      <c r="I18" s="75">
        <v>13</v>
      </c>
      <c r="J18" s="75">
        <v>13</v>
      </c>
      <c r="K18" s="134">
        <v>13</v>
      </c>
      <c r="L18" s="75">
        <f>SUM(C18:K18,0)</f>
        <v>103</v>
      </c>
      <c r="M18" s="75">
        <f>0.61*(L18/COLUMNS(C18:K18))</f>
        <v>6.9811111111111108</v>
      </c>
      <c r="P18" s="159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59"/>
      <c r="AS18" s="75"/>
    </row>
    <row r="19" spans="1:45">
      <c r="A19" s="8" t="s">
        <v>26</v>
      </c>
      <c r="B19" s="75" t="s">
        <v>92</v>
      </c>
      <c r="C19" s="9"/>
      <c r="D19" s="9"/>
      <c r="E19" s="9"/>
      <c r="F19" s="9"/>
      <c r="G19" s="9"/>
      <c r="H19" s="9"/>
      <c r="I19" s="9"/>
      <c r="J19" s="9"/>
      <c r="K19" s="133"/>
      <c r="L19" s="75">
        <f>SUM(C19:K19,0)</f>
        <v>0</v>
      </c>
      <c r="M19" s="75">
        <f>0.61*(L19/COLUMNS(C19:K19))</f>
        <v>0</v>
      </c>
      <c r="P19" s="159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59"/>
      <c r="AS19" s="9"/>
    </row>
    <row r="20" spans="1:45">
      <c r="A20" s="8"/>
      <c r="B20" s="12" t="s">
        <v>23</v>
      </c>
      <c r="C20" s="9"/>
      <c r="D20" s="75">
        <v>4</v>
      </c>
      <c r="E20" s="9"/>
      <c r="F20" s="75">
        <v>2</v>
      </c>
      <c r="G20" s="75">
        <v>4</v>
      </c>
      <c r="H20" s="9"/>
      <c r="I20" s="75">
        <v>2</v>
      </c>
      <c r="J20" s="9"/>
      <c r="K20" s="134">
        <v>1</v>
      </c>
      <c r="L20" s="75">
        <f>SUM(C20:K20,0)</f>
        <v>13</v>
      </c>
      <c r="M20" s="75">
        <f>0.61*(L20/COLUMNS(C20:K20))</f>
        <v>0.88111111111111107</v>
      </c>
      <c r="P20" s="159"/>
      <c r="Q20" s="160"/>
      <c r="R20" s="160"/>
      <c r="S20" s="160"/>
      <c r="T20" s="161"/>
      <c r="U20" s="161"/>
      <c r="V20" s="160"/>
      <c r="W20" s="160"/>
      <c r="X20" s="161"/>
      <c r="Y20" s="161"/>
      <c r="Z20" s="161"/>
      <c r="AA20" s="160"/>
      <c r="AB20" s="160"/>
      <c r="AC20" s="160"/>
      <c r="AD20" s="160"/>
      <c r="AE20" s="160"/>
      <c r="AF20" s="160"/>
      <c r="AG20" s="161"/>
      <c r="AH20" s="159"/>
      <c r="AS20" s="75"/>
    </row>
    <row r="21" spans="1:45">
      <c r="A21" s="8"/>
      <c r="B21" s="12" t="s">
        <v>24</v>
      </c>
      <c r="C21" s="9"/>
      <c r="D21" s="75">
        <v>4</v>
      </c>
      <c r="E21" s="75"/>
      <c r="F21" s="75">
        <v>1</v>
      </c>
      <c r="G21" s="75">
        <v>4</v>
      </c>
      <c r="H21" s="9"/>
      <c r="I21" s="75">
        <v>1</v>
      </c>
      <c r="J21" s="9"/>
      <c r="K21" s="134">
        <v>1</v>
      </c>
      <c r="L21" s="75">
        <f>SUM(C21:K21,0)</f>
        <v>11</v>
      </c>
      <c r="M21" s="75">
        <f>0.61*(L21/COLUMNS(C21:K21))</f>
        <v>0.74555555555555564</v>
      </c>
      <c r="P21" s="159"/>
      <c r="Q21" s="160"/>
      <c r="R21" s="160"/>
      <c r="S21" s="160"/>
      <c r="T21" s="161"/>
      <c r="U21" s="160"/>
      <c r="V21" s="160"/>
      <c r="W21" s="160"/>
      <c r="X21" s="161"/>
      <c r="Y21" s="161"/>
      <c r="Z21" s="161"/>
      <c r="AA21" s="160"/>
      <c r="AB21" s="160"/>
      <c r="AC21" s="160"/>
      <c r="AD21" s="160"/>
      <c r="AE21" s="160"/>
      <c r="AF21" s="160"/>
      <c r="AG21" s="161"/>
      <c r="AH21" s="159"/>
      <c r="AS21" s="75"/>
    </row>
    <row r="22" spans="1:45">
      <c r="A22" s="8" t="s">
        <v>26</v>
      </c>
      <c r="B22" s="75" t="s">
        <v>93</v>
      </c>
      <c r="C22" s="9"/>
      <c r="D22" s="9"/>
      <c r="E22" s="9"/>
      <c r="F22" s="9"/>
      <c r="G22" s="9"/>
      <c r="H22" s="9"/>
      <c r="I22" s="9"/>
      <c r="J22" s="9"/>
      <c r="K22" s="133"/>
      <c r="L22" s="75">
        <f>SUM(C22:K22,0)</f>
        <v>0</v>
      </c>
      <c r="M22" s="75">
        <f>0.61*(L22/COLUMNS(C22:K22))</f>
        <v>0</v>
      </c>
      <c r="P22" s="159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59"/>
      <c r="AS22" s="9"/>
    </row>
    <row r="23" spans="1:45">
      <c r="A23" s="8"/>
      <c r="B23" s="12" t="s">
        <v>23</v>
      </c>
      <c r="C23" s="75">
        <v>3</v>
      </c>
      <c r="D23" s="75">
        <v>4</v>
      </c>
      <c r="E23" s="75">
        <v>4</v>
      </c>
      <c r="F23" s="75">
        <v>1</v>
      </c>
      <c r="G23" s="75">
        <v>4</v>
      </c>
      <c r="H23" s="75">
        <v>3</v>
      </c>
      <c r="I23" s="75">
        <v>3</v>
      </c>
      <c r="J23" s="75">
        <v>4</v>
      </c>
      <c r="K23" s="134">
        <v>2</v>
      </c>
      <c r="L23" s="75">
        <f>SUM(C23:K23,0)</f>
        <v>28</v>
      </c>
      <c r="M23" s="75">
        <f>0.61*(L23/COLUMNS(C23:K23))</f>
        <v>1.8977777777777778</v>
      </c>
      <c r="P23" s="159"/>
      <c r="Q23" s="160"/>
      <c r="R23" s="160"/>
      <c r="S23" s="160"/>
      <c r="T23" s="161"/>
      <c r="U23" s="161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59"/>
      <c r="AS23" s="75"/>
    </row>
    <row r="24" spans="1:45">
      <c r="A24" s="8"/>
      <c r="B24" s="12" t="s">
        <v>24</v>
      </c>
      <c r="C24" s="75">
        <v>3</v>
      </c>
      <c r="D24" s="75">
        <v>4</v>
      </c>
      <c r="E24" s="75">
        <v>4</v>
      </c>
      <c r="F24" s="75">
        <v>1</v>
      </c>
      <c r="G24" s="75">
        <v>4</v>
      </c>
      <c r="H24" s="75">
        <v>3</v>
      </c>
      <c r="I24" s="75">
        <v>1</v>
      </c>
      <c r="J24" s="75">
        <v>4</v>
      </c>
      <c r="K24" s="134">
        <v>2</v>
      </c>
      <c r="L24" s="75">
        <f>SUM(C24:K24,0)</f>
        <v>26</v>
      </c>
      <c r="M24" s="75">
        <f>0.61*(L24/COLUMNS(C24:K24))</f>
        <v>1.7622222222222221</v>
      </c>
      <c r="P24" s="159"/>
      <c r="Q24" s="160"/>
      <c r="R24" s="160"/>
      <c r="S24" s="160"/>
      <c r="T24" s="161"/>
      <c r="U24" s="161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59"/>
      <c r="AS24" s="75"/>
    </row>
    <row r="25" spans="1:45">
      <c r="A25" s="8" t="s">
        <v>26</v>
      </c>
      <c r="B25" s="75" t="s">
        <v>94</v>
      </c>
      <c r="C25" s="9"/>
      <c r="D25" s="9"/>
      <c r="E25" s="9"/>
      <c r="F25" s="9"/>
      <c r="G25" s="9"/>
      <c r="H25" s="9"/>
      <c r="I25" s="9"/>
      <c r="J25" s="9"/>
      <c r="K25" s="133"/>
      <c r="L25" s="75">
        <f>SUM(C25:K25,0)</f>
        <v>0</v>
      </c>
      <c r="M25" s="75">
        <f>0.61*(L25/COLUMNS(C25:K25))</f>
        <v>0</v>
      </c>
      <c r="P25" s="159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59"/>
      <c r="AS25" s="9"/>
    </row>
    <row r="26" spans="1:45">
      <c r="A26" s="8"/>
      <c r="B26" s="12" t="s">
        <v>23</v>
      </c>
      <c r="C26" s="75">
        <v>3</v>
      </c>
      <c r="D26" s="75">
        <v>3</v>
      </c>
      <c r="E26" s="75">
        <v>4</v>
      </c>
      <c r="F26" s="75">
        <v>4</v>
      </c>
      <c r="G26" s="75">
        <v>6</v>
      </c>
      <c r="H26" s="75">
        <v>8</v>
      </c>
      <c r="I26" s="75">
        <v>9</v>
      </c>
      <c r="J26" s="9"/>
      <c r="K26" s="134">
        <v>7</v>
      </c>
      <c r="L26" s="75">
        <f>SUM(C26:K26,0)</f>
        <v>44</v>
      </c>
      <c r="M26" s="75">
        <f>0.61*(L26/COLUMNS(C26:K26))</f>
        <v>2.9822222222222226</v>
      </c>
      <c r="P26" s="159"/>
      <c r="Q26" s="160"/>
      <c r="R26" s="160"/>
      <c r="S26" s="160"/>
      <c r="T26" s="160"/>
      <c r="U26" s="160"/>
      <c r="V26" s="160"/>
      <c r="W26" s="160"/>
      <c r="X26" s="161"/>
      <c r="Y26" s="160"/>
      <c r="Z26" s="160"/>
      <c r="AA26" s="160"/>
      <c r="AB26" s="160"/>
      <c r="AC26" s="160"/>
      <c r="AD26" s="160"/>
      <c r="AE26" s="160"/>
      <c r="AF26" s="160"/>
      <c r="AG26" s="160"/>
      <c r="AH26" s="159"/>
      <c r="AS26" s="75"/>
    </row>
    <row r="27" spans="1:45">
      <c r="A27" s="12"/>
      <c r="B27" s="12" t="s">
        <v>24</v>
      </c>
      <c r="C27" s="75">
        <v>3</v>
      </c>
      <c r="D27" s="75">
        <v>3</v>
      </c>
      <c r="E27" s="75">
        <v>4</v>
      </c>
      <c r="F27" s="75">
        <v>4</v>
      </c>
      <c r="G27" s="75">
        <v>6</v>
      </c>
      <c r="H27" s="75">
        <v>8</v>
      </c>
      <c r="I27" s="75">
        <v>1</v>
      </c>
      <c r="J27" s="9"/>
      <c r="K27" s="134">
        <v>7</v>
      </c>
      <c r="L27" s="75">
        <f>SUM(C27:K27,0)</f>
        <v>36</v>
      </c>
      <c r="M27" s="75">
        <f>0.61*(L27/COLUMNS(C27:K27))</f>
        <v>2.44</v>
      </c>
      <c r="P27" s="159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59"/>
      <c r="AS27" s="75"/>
    </row>
    <row r="28" spans="1:45">
      <c r="A28" s="14"/>
      <c r="B28" s="14" t="s">
        <v>32</v>
      </c>
      <c r="C28" s="15">
        <f t="shared" ref="C28:I28" si="0">0.61*((15-ROUND(C11,0))+(15-ROUND(C14,0))+C17+C20+C23+C26)</f>
        <v>25.62</v>
      </c>
      <c r="D28" s="15">
        <f t="shared" si="0"/>
        <v>26.23</v>
      </c>
      <c r="E28" s="15">
        <f t="shared" si="0"/>
        <v>28.06</v>
      </c>
      <c r="F28" s="15">
        <f t="shared" si="0"/>
        <v>25.62</v>
      </c>
      <c r="G28" s="15">
        <f t="shared" si="0"/>
        <v>30.5</v>
      </c>
      <c r="H28" s="15">
        <f t="shared" si="0"/>
        <v>29.89</v>
      </c>
      <c r="I28" s="15">
        <f t="shared" si="0"/>
        <v>28.06</v>
      </c>
      <c r="J28" s="15">
        <f>0.61*((15-ROUND(J11,0))+(15-ROUND(J14,0))+J17+J20+J23+J26)</f>
        <v>27.45</v>
      </c>
      <c r="K28" s="135">
        <f>0.61*((15-ROUND(K11,0))+(15-ROUND(K14,0))+K17+K20+K23+K26)</f>
        <v>26.84</v>
      </c>
      <c r="L28" s="15">
        <f>AVERAGE(C28:K28)</f>
        <v>27.585555555555558</v>
      </c>
      <c r="M28" s="17">
        <f t="shared" ref="M28:M29" si="1">M11+M14+M17+M20+M23+M26</f>
        <v>27.585555555555555</v>
      </c>
      <c r="P28" s="159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59"/>
      <c r="AS28" s="75"/>
    </row>
    <row r="29" spans="1:45">
      <c r="A29" s="12"/>
      <c r="B29" s="12" t="s">
        <v>33</v>
      </c>
      <c r="C29" s="75">
        <f t="shared" ref="C29:I29" si="2">0.61*((15-ROUND(C12,0))+(15-ROUND(C15,0))+C18+C21+C24+C27)</f>
        <v>20.74</v>
      </c>
      <c r="D29" s="75">
        <f t="shared" si="2"/>
        <v>22.57</v>
      </c>
      <c r="E29" s="75">
        <f t="shared" si="2"/>
        <v>26.84</v>
      </c>
      <c r="F29" s="75">
        <f t="shared" si="2"/>
        <v>23.18</v>
      </c>
      <c r="G29" s="75">
        <f t="shared" si="2"/>
        <v>29.89</v>
      </c>
      <c r="H29" s="75">
        <f t="shared" si="2"/>
        <v>25.009999999999998</v>
      </c>
      <c r="I29" s="75">
        <f t="shared" si="2"/>
        <v>17.690000000000001</v>
      </c>
      <c r="J29" s="75">
        <f>0.61*((15-ROUND(J12,0))+(15-ROUND(J15,0))+J18+J21+J24+J27)</f>
        <v>26.23</v>
      </c>
      <c r="K29" s="134">
        <f>0.61*((15-ROUND(K12,0))+(15-ROUND(K15,0))+K18+K21+K24+K27)</f>
        <v>27.45</v>
      </c>
      <c r="L29" s="114">
        <f>AVERAGE(C29:K29)</f>
        <v>24.4</v>
      </c>
      <c r="M29" s="18">
        <f t="shared" si="1"/>
        <v>24.4</v>
      </c>
      <c r="P29" s="159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59"/>
      <c r="AS29" s="75"/>
    </row>
    <row r="30" spans="1:45">
      <c r="A30" s="19"/>
      <c r="B30" s="19" t="s">
        <v>34</v>
      </c>
      <c r="C30" s="20">
        <f t="shared" ref="C30:I30" si="3">C28-C29</f>
        <v>4.8800000000000026</v>
      </c>
      <c r="D30" s="20">
        <f t="shared" si="3"/>
        <v>3.66</v>
      </c>
      <c r="E30" s="20">
        <f t="shared" si="3"/>
        <v>1.2199999999999989</v>
      </c>
      <c r="F30" s="20">
        <f t="shared" si="3"/>
        <v>2.4400000000000013</v>
      </c>
      <c r="G30" s="20">
        <f t="shared" si="3"/>
        <v>0.60999999999999943</v>
      </c>
      <c r="H30" s="20">
        <f t="shared" si="3"/>
        <v>4.8800000000000026</v>
      </c>
      <c r="I30" s="20">
        <f t="shared" si="3"/>
        <v>10.369999999999997</v>
      </c>
      <c r="J30" s="20">
        <f>J28-J29</f>
        <v>1.2199999999999989</v>
      </c>
      <c r="K30" s="136">
        <f>K28-K29</f>
        <v>-0.60999999999999943</v>
      </c>
      <c r="L30" s="20">
        <f>AVERAGE(C30:K30)</f>
        <v>3.1855555555555557</v>
      </c>
      <c r="M30" s="22">
        <f>M28-M29</f>
        <v>3.1855555555555561</v>
      </c>
      <c r="P30" s="159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59"/>
      <c r="AS30" s="75"/>
    </row>
    <row r="31" spans="1:45">
      <c r="A31" s="23" t="s">
        <v>95</v>
      </c>
      <c r="B31" s="85" t="s">
        <v>36</v>
      </c>
      <c r="C31" s="24"/>
      <c r="D31" s="24"/>
      <c r="E31" s="24"/>
      <c r="F31" s="24"/>
      <c r="G31" s="24"/>
      <c r="H31" s="24"/>
      <c r="I31" s="24"/>
      <c r="J31" s="24"/>
      <c r="K31" s="137"/>
      <c r="L31" s="24"/>
      <c r="M31" s="76"/>
      <c r="P31" s="159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59"/>
      <c r="AS31" s="24"/>
    </row>
    <row r="32" spans="1:45">
      <c r="A32" s="76"/>
      <c r="B32" s="76" t="s">
        <v>96</v>
      </c>
      <c r="C32" s="24"/>
      <c r="D32" s="24"/>
      <c r="E32" s="24"/>
      <c r="F32" s="24"/>
      <c r="G32" s="24"/>
      <c r="H32" s="24"/>
      <c r="I32" s="24"/>
      <c r="J32" s="24"/>
      <c r="K32" s="137"/>
      <c r="L32" s="24"/>
      <c r="M32" s="76"/>
      <c r="P32" s="159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59"/>
      <c r="AS32" s="24"/>
    </row>
    <row r="33" spans="1:45">
      <c r="A33" s="27"/>
      <c r="B33" s="27" t="s">
        <v>23</v>
      </c>
      <c r="C33" s="76">
        <v>90</v>
      </c>
      <c r="D33" s="76">
        <v>77</v>
      </c>
      <c r="E33" s="76">
        <v>100</v>
      </c>
      <c r="F33" s="76">
        <v>90</v>
      </c>
      <c r="G33" s="76">
        <v>67</v>
      </c>
      <c r="H33" s="76">
        <v>100</v>
      </c>
      <c r="I33" s="76">
        <v>50</v>
      </c>
      <c r="J33" s="76">
        <v>95</v>
      </c>
      <c r="K33" s="138">
        <v>85</v>
      </c>
      <c r="L33" s="76">
        <f>SUM(C33:K33)</f>
        <v>754</v>
      </c>
      <c r="M33" s="76">
        <f>0.136*(L33/COLUMNS(C33:K33))</f>
        <v>11.393777777777778</v>
      </c>
      <c r="P33" s="159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59"/>
      <c r="AS33" s="76"/>
    </row>
    <row r="34" spans="1:45">
      <c r="A34" s="27"/>
      <c r="B34" s="27" t="s">
        <v>24</v>
      </c>
      <c r="C34" s="76">
        <v>10</v>
      </c>
      <c r="D34" s="76">
        <v>23</v>
      </c>
      <c r="E34" s="76"/>
      <c r="F34" s="76">
        <v>10</v>
      </c>
      <c r="G34" s="76">
        <v>33</v>
      </c>
      <c r="H34" s="76"/>
      <c r="I34" s="76">
        <v>50</v>
      </c>
      <c r="J34" s="76">
        <v>5</v>
      </c>
      <c r="K34" s="138">
        <v>10</v>
      </c>
      <c r="L34" s="76">
        <f>SUM(C34:K34)</f>
        <v>141</v>
      </c>
      <c r="M34" s="76">
        <f>0.136*(L34/COLUMNS(C34:K34))</f>
        <v>2.1306666666666669</v>
      </c>
      <c r="O34" s="160"/>
      <c r="P34" s="159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1"/>
      <c r="AD34" s="160"/>
      <c r="AE34" s="160"/>
      <c r="AF34" s="160"/>
      <c r="AG34" s="160"/>
      <c r="AH34" s="159"/>
      <c r="AS34" s="76"/>
    </row>
    <row r="35" spans="1:45">
      <c r="A35" s="27"/>
      <c r="B35" s="27" t="s">
        <v>38</v>
      </c>
      <c r="C35" s="24"/>
      <c r="D35" s="24"/>
      <c r="E35" s="24"/>
      <c r="F35" s="24"/>
      <c r="G35" s="24"/>
      <c r="H35" s="24"/>
      <c r="I35" s="24"/>
      <c r="J35" s="24"/>
      <c r="K35" s="138">
        <v>5</v>
      </c>
      <c r="L35" s="76">
        <f>SUM(C35:K35)</f>
        <v>5</v>
      </c>
      <c r="M35" s="76">
        <f>0.136*(L35/COLUMNS(C35:K35))</f>
        <v>7.555555555555557E-2</v>
      </c>
      <c r="O35" s="161"/>
      <c r="P35" s="159"/>
      <c r="Q35" s="161"/>
      <c r="R35" s="160"/>
      <c r="S35" s="161"/>
      <c r="T35" s="161"/>
      <c r="U35" s="161"/>
      <c r="V35" s="161"/>
      <c r="W35" s="160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59"/>
      <c r="AS35" s="76"/>
    </row>
    <row r="36" spans="1:45">
      <c r="A36" s="76"/>
      <c r="B36" s="76" t="s">
        <v>97</v>
      </c>
      <c r="C36" s="24"/>
      <c r="D36" s="24"/>
      <c r="E36" s="24"/>
      <c r="F36" s="24"/>
      <c r="G36" s="24"/>
      <c r="H36" s="24"/>
      <c r="I36" s="24"/>
      <c r="J36" s="24"/>
      <c r="K36" s="137"/>
      <c r="L36" s="76">
        <f>SUM(C36:K36)</f>
        <v>0</v>
      </c>
      <c r="M36" s="76">
        <f>0.136*(L36/COLUMNS(C36:K36))</f>
        <v>0</v>
      </c>
      <c r="O36" s="161"/>
      <c r="P36" s="159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59"/>
      <c r="AS36" s="24"/>
    </row>
    <row r="37" spans="1:45">
      <c r="A37" s="27"/>
      <c r="B37" s="27" t="s">
        <v>23</v>
      </c>
      <c r="C37" s="76">
        <v>70</v>
      </c>
      <c r="D37" s="76">
        <v>77</v>
      </c>
      <c r="E37" s="76">
        <v>100</v>
      </c>
      <c r="F37" s="76">
        <v>85</v>
      </c>
      <c r="G37" s="76">
        <v>67</v>
      </c>
      <c r="H37" s="76">
        <v>90</v>
      </c>
      <c r="I37" s="76">
        <v>30</v>
      </c>
      <c r="J37" s="76">
        <v>95</v>
      </c>
      <c r="K37" s="138">
        <v>80</v>
      </c>
      <c r="L37" s="76">
        <f>SUM(C37:K37)</f>
        <v>694</v>
      </c>
      <c r="M37" s="76">
        <f>0.136*(L37/COLUMNS(C37:K37))</f>
        <v>10.487111111111112</v>
      </c>
      <c r="O37" s="160"/>
      <c r="P37" s="159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59"/>
      <c r="AS37" s="76"/>
    </row>
    <row r="38" spans="1:45">
      <c r="A38" s="27"/>
      <c r="B38" s="27" t="s">
        <v>24</v>
      </c>
      <c r="C38" s="76">
        <v>30</v>
      </c>
      <c r="D38" s="76">
        <v>23</v>
      </c>
      <c r="E38" s="76"/>
      <c r="F38" s="76">
        <v>15</v>
      </c>
      <c r="G38" s="76">
        <v>33</v>
      </c>
      <c r="H38" s="76">
        <v>10</v>
      </c>
      <c r="I38" s="76">
        <v>70</v>
      </c>
      <c r="J38" s="76">
        <v>5</v>
      </c>
      <c r="K38" s="138">
        <v>20</v>
      </c>
      <c r="L38" s="76">
        <f>SUM(C38:K38)</f>
        <v>206</v>
      </c>
      <c r="M38" s="76">
        <f>0.136*(L38/COLUMNS(C38:K38))</f>
        <v>3.112888888888889</v>
      </c>
      <c r="O38" s="160"/>
      <c r="P38" s="159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59"/>
      <c r="AS38" s="76"/>
    </row>
    <row r="39" spans="1:45">
      <c r="A39" s="27"/>
      <c r="B39" s="27" t="s">
        <v>38</v>
      </c>
      <c r="C39" s="24"/>
      <c r="D39" s="24"/>
      <c r="E39" s="24"/>
      <c r="F39" s="24"/>
      <c r="G39" s="24"/>
      <c r="H39" s="24"/>
      <c r="I39" s="24"/>
      <c r="J39" s="24"/>
      <c r="K39" s="137"/>
      <c r="L39" s="76">
        <f>SUM(C39:K39)</f>
        <v>0</v>
      </c>
      <c r="M39" s="76">
        <f>0.136*(L39/COLUMNS(C39:K39))</f>
        <v>0</v>
      </c>
      <c r="O39" s="161"/>
      <c r="P39" s="159"/>
      <c r="Q39" s="161"/>
      <c r="R39" s="160"/>
      <c r="S39" s="160"/>
      <c r="T39" s="161"/>
      <c r="U39" s="161"/>
      <c r="V39" s="161"/>
      <c r="W39" s="161"/>
      <c r="X39" s="161"/>
      <c r="Y39" s="161"/>
      <c r="Z39" s="161"/>
      <c r="AA39" s="161"/>
      <c r="AB39" s="160"/>
      <c r="AC39" s="161"/>
      <c r="AD39" s="160"/>
      <c r="AE39" s="161"/>
      <c r="AF39" s="161"/>
      <c r="AG39" s="161"/>
      <c r="AH39" s="159"/>
      <c r="AS39" s="24"/>
    </row>
    <row r="40" spans="1:45">
      <c r="A40" s="76"/>
      <c r="B40" s="76" t="s">
        <v>98</v>
      </c>
      <c r="C40" s="24"/>
      <c r="D40" s="24"/>
      <c r="E40" s="24"/>
      <c r="F40" s="24"/>
      <c r="G40" s="24"/>
      <c r="H40" s="24"/>
      <c r="I40" s="24"/>
      <c r="J40" s="24"/>
      <c r="K40" s="137"/>
      <c r="L40" s="76">
        <f>SUM(C40:K40)</f>
        <v>0</v>
      </c>
      <c r="M40" s="76">
        <f>0.136*(L40/COLUMNS(C40:K40))</f>
        <v>0</v>
      </c>
      <c r="O40" s="161"/>
      <c r="P40" s="159"/>
      <c r="Q40" s="161"/>
      <c r="R40" s="161"/>
      <c r="S40" s="161"/>
      <c r="T40" s="161"/>
      <c r="U40" s="161"/>
      <c r="V40" s="161"/>
      <c r="W40" s="160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59"/>
      <c r="AS40" s="76"/>
    </row>
    <row r="41" spans="1:45">
      <c r="A41" s="27"/>
      <c r="B41" s="27" t="s">
        <v>23</v>
      </c>
      <c r="C41" s="76">
        <v>100</v>
      </c>
      <c r="D41" s="76">
        <v>83</v>
      </c>
      <c r="E41" s="76">
        <v>100</v>
      </c>
      <c r="F41" s="76">
        <v>100</v>
      </c>
      <c r="G41" s="76">
        <v>67</v>
      </c>
      <c r="H41" s="76">
        <v>100</v>
      </c>
      <c r="I41" s="76">
        <v>60</v>
      </c>
      <c r="J41" s="76">
        <v>95</v>
      </c>
      <c r="K41" s="138">
        <v>90</v>
      </c>
      <c r="L41" s="76">
        <f>SUM(C41:K41)</f>
        <v>795</v>
      </c>
      <c r="M41" s="76">
        <f>0.136*(L41/COLUMNS(C41:K41))</f>
        <v>12.013333333333334</v>
      </c>
      <c r="O41" s="160"/>
      <c r="P41" s="159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59"/>
      <c r="AS41" s="76"/>
    </row>
    <row r="42" spans="1:45">
      <c r="A42" s="27"/>
      <c r="B42" s="27" t="s">
        <v>24</v>
      </c>
      <c r="C42" s="76"/>
      <c r="D42" s="76">
        <v>17</v>
      </c>
      <c r="E42" s="76"/>
      <c r="F42" s="76"/>
      <c r="G42" s="76">
        <v>33</v>
      </c>
      <c r="H42" s="76"/>
      <c r="I42" s="76">
        <v>40</v>
      </c>
      <c r="J42" s="76">
        <v>5</v>
      </c>
      <c r="K42" s="138">
        <v>10</v>
      </c>
      <c r="L42" s="76">
        <f>SUM(C42:K42)</f>
        <v>105</v>
      </c>
      <c r="M42" s="76">
        <f>0.136*(L42/COLUMNS(C42:K42))</f>
        <v>1.5866666666666667</v>
      </c>
      <c r="O42" s="160"/>
      <c r="P42" s="159"/>
      <c r="Q42" s="160"/>
      <c r="R42" s="160"/>
      <c r="S42" s="160"/>
      <c r="T42" s="160"/>
      <c r="U42" s="160"/>
      <c r="V42" s="160"/>
      <c r="W42" s="160"/>
      <c r="X42" s="160"/>
      <c r="Y42" s="161"/>
      <c r="Z42" s="160"/>
      <c r="AA42" s="160"/>
      <c r="AB42" s="160"/>
      <c r="AC42" s="161"/>
      <c r="AD42" s="160"/>
      <c r="AE42" s="160"/>
      <c r="AF42" s="160"/>
      <c r="AG42" s="160"/>
      <c r="AH42" s="159"/>
      <c r="AS42" s="76"/>
    </row>
    <row r="43" spans="1:45">
      <c r="A43" s="27"/>
      <c r="B43" s="27" t="s">
        <v>38</v>
      </c>
      <c r="C43" s="24"/>
      <c r="D43" s="24"/>
      <c r="E43" s="24"/>
      <c r="F43" s="24"/>
      <c r="G43" s="24"/>
      <c r="H43" s="24"/>
      <c r="I43" s="24"/>
      <c r="J43" s="24"/>
      <c r="K43" s="137"/>
      <c r="L43" s="76">
        <f>SUM(C43:K43)</f>
        <v>0</v>
      </c>
      <c r="M43" s="76">
        <f>0.136*(L43/COLUMNS(C43:K43))</f>
        <v>0</v>
      </c>
      <c r="O43" s="161"/>
      <c r="P43" s="159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59"/>
      <c r="AS43" s="24"/>
    </row>
    <row r="44" spans="1:45">
      <c r="A44" s="76"/>
      <c r="B44" s="76" t="s">
        <v>99</v>
      </c>
      <c r="C44" s="24"/>
      <c r="D44" s="24"/>
      <c r="E44" s="24"/>
      <c r="F44" s="24"/>
      <c r="G44" s="24"/>
      <c r="H44" s="24"/>
      <c r="I44" s="24"/>
      <c r="J44" s="24"/>
      <c r="K44" s="137"/>
      <c r="L44" s="76">
        <f>SUM(C44:K44)</f>
        <v>0</v>
      </c>
      <c r="M44" s="76">
        <f>0.136*(L44/COLUMNS(C44:K44))</f>
        <v>0</v>
      </c>
      <c r="O44" s="161"/>
      <c r="P44" s="159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59"/>
      <c r="AS44" s="24"/>
    </row>
    <row r="45" spans="1:45">
      <c r="A45" s="27"/>
      <c r="B45" s="27" t="s">
        <v>23</v>
      </c>
      <c r="C45" s="76">
        <v>90</v>
      </c>
      <c r="D45" s="76">
        <v>77</v>
      </c>
      <c r="E45" s="76">
        <v>90</v>
      </c>
      <c r="F45" s="76">
        <v>80</v>
      </c>
      <c r="G45" s="76">
        <v>67</v>
      </c>
      <c r="H45" s="76">
        <v>80</v>
      </c>
      <c r="I45" s="76">
        <v>20</v>
      </c>
      <c r="J45" s="76">
        <v>80</v>
      </c>
      <c r="K45" s="138">
        <v>60</v>
      </c>
      <c r="L45" s="76">
        <f>SUM(C45:K45)</f>
        <v>644</v>
      </c>
      <c r="M45" s="76">
        <f>0.136*(L45/COLUMNS(C45:K45))</f>
        <v>9.7315555555555573</v>
      </c>
      <c r="O45" s="160"/>
      <c r="P45" s="159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59"/>
      <c r="AS45" s="76"/>
    </row>
    <row r="46" spans="1:45">
      <c r="A46" s="27"/>
      <c r="B46" s="27" t="s">
        <v>24</v>
      </c>
      <c r="C46" s="76">
        <v>10</v>
      </c>
      <c r="D46" s="76">
        <v>23</v>
      </c>
      <c r="E46" s="76">
        <v>10</v>
      </c>
      <c r="F46" s="76">
        <v>20</v>
      </c>
      <c r="G46" s="76">
        <v>33</v>
      </c>
      <c r="H46" s="76">
        <v>20</v>
      </c>
      <c r="I46" s="76">
        <v>80</v>
      </c>
      <c r="J46" s="76">
        <v>20</v>
      </c>
      <c r="K46" s="138">
        <v>35</v>
      </c>
      <c r="L46" s="76">
        <f>SUM(C46:K46)</f>
        <v>251</v>
      </c>
      <c r="M46" s="76">
        <f>0.136*(L46/COLUMNS(C46:K46))</f>
        <v>3.7928888888888892</v>
      </c>
      <c r="O46" s="160"/>
      <c r="P46" s="159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59"/>
      <c r="AS46" s="76"/>
    </row>
    <row r="47" spans="1:45">
      <c r="A47" s="27"/>
      <c r="B47" s="27" t="s">
        <v>38</v>
      </c>
      <c r="C47" s="24"/>
      <c r="D47" s="24"/>
      <c r="E47" s="24"/>
      <c r="F47" s="24"/>
      <c r="G47" s="24"/>
      <c r="H47" s="24"/>
      <c r="I47" s="24"/>
      <c r="J47" s="24"/>
      <c r="K47" s="138">
        <v>5</v>
      </c>
      <c r="L47" s="76">
        <f>SUM(C47:K47)</f>
        <v>5</v>
      </c>
      <c r="M47" s="76">
        <f>0.136*(L47/COLUMNS(C47:K47))</f>
        <v>7.555555555555557E-2</v>
      </c>
      <c r="O47" s="161"/>
      <c r="P47" s="159"/>
      <c r="Q47" s="161"/>
      <c r="R47" s="160"/>
      <c r="S47" s="161"/>
      <c r="T47" s="161"/>
      <c r="U47" s="161"/>
      <c r="V47" s="161"/>
      <c r="W47" s="161"/>
      <c r="X47" s="161"/>
      <c r="Y47" s="161"/>
      <c r="Z47" s="161"/>
      <c r="AA47" s="161"/>
      <c r="AB47" s="160"/>
      <c r="AC47" s="161"/>
      <c r="AD47" s="161"/>
      <c r="AE47" s="161"/>
      <c r="AF47" s="160"/>
      <c r="AG47" s="161"/>
      <c r="AH47" s="159"/>
      <c r="AS47" s="24"/>
    </row>
    <row r="48" spans="1:45">
      <c r="A48" s="29"/>
      <c r="B48" s="29" t="s">
        <v>32</v>
      </c>
      <c r="C48" s="30">
        <f t="shared" ref="C48:I48" si="4">0.136*(C33+C37+C41+C45)</f>
        <v>47.6</v>
      </c>
      <c r="D48" s="30">
        <f t="shared" si="4"/>
        <v>42.704000000000001</v>
      </c>
      <c r="E48" s="30">
        <f t="shared" si="4"/>
        <v>53.040000000000006</v>
      </c>
      <c r="F48" s="30">
        <f t="shared" si="4"/>
        <v>48.28</v>
      </c>
      <c r="G48" s="30">
        <f t="shared" si="4"/>
        <v>36.448</v>
      </c>
      <c r="H48" s="30">
        <f t="shared" si="4"/>
        <v>50.32</v>
      </c>
      <c r="I48" s="30">
        <f t="shared" si="4"/>
        <v>21.76</v>
      </c>
      <c r="J48" s="30">
        <f>0.136*(J33+J37+J41+J45)</f>
        <v>49.64</v>
      </c>
      <c r="K48" s="139">
        <f>0.136*(K33+K37+K41+K45)</f>
        <v>42.84</v>
      </c>
      <c r="L48" s="30">
        <f>AVERAGE(C48:K48)</f>
        <v>43.62577777777777</v>
      </c>
      <c r="M48" s="87">
        <f t="shared" ref="M48:M49" si="5">M33+M37+M41+M45</f>
        <v>43.625777777777785</v>
      </c>
      <c r="O48" s="161"/>
      <c r="P48" s="159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59"/>
      <c r="AS48" s="24"/>
    </row>
    <row r="49" spans="1:45">
      <c r="A49" s="27"/>
      <c r="B49" s="27" t="s">
        <v>33</v>
      </c>
      <c r="C49" s="24">
        <f t="shared" ref="C49:I49" si="6">0.136*(C34+C38+C42+C46)</f>
        <v>6.8000000000000007</v>
      </c>
      <c r="D49" s="24">
        <f t="shared" si="6"/>
        <v>11.696000000000002</v>
      </c>
      <c r="E49" s="24">
        <f t="shared" si="6"/>
        <v>1.36</v>
      </c>
      <c r="F49" s="24">
        <f t="shared" si="6"/>
        <v>6.12</v>
      </c>
      <c r="G49" s="24">
        <f t="shared" si="6"/>
        <v>17.952000000000002</v>
      </c>
      <c r="H49" s="24">
        <f t="shared" si="6"/>
        <v>4.08</v>
      </c>
      <c r="I49" s="24">
        <f t="shared" si="6"/>
        <v>32.64</v>
      </c>
      <c r="J49" s="24">
        <f>0.136*(J34+J38+J42+J46)</f>
        <v>4.7600000000000007</v>
      </c>
      <c r="K49" s="137">
        <f>0.136*(K34+K38+K42+K46)</f>
        <v>10.200000000000001</v>
      </c>
      <c r="L49" s="115">
        <f>AVERAGE(C49:K49)</f>
        <v>10.623111111111111</v>
      </c>
      <c r="M49" s="86">
        <f t="shared" si="5"/>
        <v>10.623111111111111</v>
      </c>
      <c r="O49" s="161"/>
      <c r="P49" s="159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59"/>
      <c r="AS49" s="24"/>
    </row>
    <row r="50" spans="1:45">
      <c r="A50" s="34"/>
      <c r="B50" s="34" t="s">
        <v>34</v>
      </c>
      <c r="C50" s="35">
        <f t="shared" ref="C50:I50" si="7">C48-C49</f>
        <v>40.799999999999997</v>
      </c>
      <c r="D50" s="35">
        <f t="shared" si="7"/>
        <v>31.007999999999999</v>
      </c>
      <c r="E50" s="35">
        <f t="shared" si="7"/>
        <v>51.680000000000007</v>
      </c>
      <c r="F50" s="35">
        <f t="shared" si="7"/>
        <v>42.160000000000004</v>
      </c>
      <c r="G50" s="35">
        <f t="shared" si="7"/>
        <v>18.495999999999999</v>
      </c>
      <c r="H50" s="35">
        <f t="shared" si="7"/>
        <v>46.24</v>
      </c>
      <c r="I50" s="35">
        <f t="shared" si="7"/>
        <v>-10.879999999999999</v>
      </c>
      <c r="J50" s="35">
        <f>J48-J49</f>
        <v>44.88</v>
      </c>
      <c r="K50" s="140">
        <f>K48-K49</f>
        <v>32.64</v>
      </c>
      <c r="L50" s="35">
        <f>AVERAGE(C50:K50)</f>
        <v>33.00266666666667</v>
      </c>
      <c r="M50" s="88">
        <f>M48-M49</f>
        <v>33.00266666666667</v>
      </c>
      <c r="O50" s="161"/>
      <c r="P50" s="159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59"/>
      <c r="AS50" s="24"/>
    </row>
    <row r="51" spans="1:45">
      <c r="A51" s="38" t="s">
        <v>43</v>
      </c>
      <c r="B51" s="39" t="s">
        <v>44</v>
      </c>
      <c r="C51" s="40"/>
      <c r="D51" s="40"/>
      <c r="E51" s="40"/>
      <c r="F51" s="40"/>
      <c r="G51" s="40"/>
      <c r="H51" s="40"/>
      <c r="I51" s="40"/>
      <c r="J51" s="40"/>
      <c r="K51" s="141"/>
      <c r="L51" s="40"/>
      <c r="M51" s="77"/>
      <c r="P51" s="159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59"/>
      <c r="AS51" s="40"/>
    </row>
    <row r="52" spans="1:45">
      <c r="A52" s="38"/>
      <c r="B52" s="77" t="s">
        <v>100</v>
      </c>
      <c r="C52" s="40"/>
      <c r="D52" s="40"/>
      <c r="E52" s="40"/>
      <c r="F52" s="40"/>
      <c r="G52" s="40"/>
      <c r="H52" s="40"/>
      <c r="I52" s="40"/>
      <c r="J52" s="40"/>
      <c r="K52" s="141"/>
      <c r="L52" s="40"/>
      <c r="M52" s="77"/>
      <c r="P52" s="159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59"/>
      <c r="AS52" s="40"/>
    </row>
    <row r="53" spans="1:45">
      <c r="A53" s="43"/>
      <c r="B53" s="43" t="s">
        <v>23</v>
      </c>
      <c r="C53" s="77">
        <v>6</v>
      </c>
      <c r="D53" s="77">
        <v>6</v>
      </c>
      <c r="E53" s="77">
        <v>6</v>
      </c>
      <c r="F53" s="77">
        <v>5</v>
      </c>
      <c r="G53" s="77">
        <v>5</v>
      </c>
      <c r="H53" s="77">
        <v>6</v>
      </c>
      <c r="I53" s="77">
        <v>3</v>
      </c>
      <c r="J53" s="77">
        <v>6</v>
      </c>
      <c r="K53" s="142">
        <v>5</v>
      </c>
      <c r="L53" s="77">
        <f>SUM(C53:K53)</f>
        <v>48</v>
      </c>
      <c r="M53" s="77">
        <f>2.27*(L53/COLUMNS(C53:K53))</f>
        <v>12.106666666666666</v>
      </c>
      <c r="O53" s="160"/>
      <c r="P53" s="159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59"/>
      <c r="AS53" s="77"/>
    </row>
    <row r="54" spans="1:45">
      <c r="A54" s="43"/>
      <c r="B54" s="43" t="s">
        <v>24</v>
      </c>
      <c r="C54" s="77">
        <v>3</v>
      </c>
      <c r="D54" s="77">
        <v>3</v>
      </c>
      <c r="E54" s="77">
        <v>6</v>
      </c>
      <c r="F54" s="77">
        <v>6</v>
      </c>
      <c r="G54" s="77">
        <v>4</v>
      </c>
      <c r="H54" s="77">
        <v>4</v>
      </c>
      <c r="I54" s="77">
        <v>5</v>
      </c>
      <c r="J54" s="77">
        <v>6</v>
      </c>
      <c r="K54" s="142">
        <v>6</v>
      </c>
      <c r="L54" s="77">
        <f>SUM(C54:K54)</f>
        <v>43</v>
      </c>
      <c r="M54" s="77">
        <f>2.27*(L54/COLUMNS(C54:K54))</f>
        <v>10.845555555555556</v>
      </c>
      <c r="O54" s="160"/>
      <c r="P54" s="159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59"/>
      <c r="AS54" s="77"/>
    </row>
    <row r="55" spans="1:45">
      <c r="A55" s="77"/>
      <c r="B55" s="77" t="s">
        <v>101</v>
      </c>
      <c r="C55" s="40"/>
      <c r="D55" s="40"/>
      <c r="E55" s="40"/>
      <c r="F55" s="40"/>
      <c r="G55" s="40"/>
      <c r="H55" s="40"/>
      <c r="I55" s="40"/>
      <c r="J55" s="40"/>
      <c r="K55" s="141"/>
      <c r="L55" s="77">
        <f>SUM(C55:K55)</f>
        <v>0</v>
      </c>
      <c r="M55" s="77">
        <f>2.27*(L55/COLUMNS(C55:K55))</f>
        <v>0</v>
      </c>
      <c r="O55" s="161"/>
      <c r="P55" s="159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59"/>
      <c r="AS55" s="40"/>
    </row>
    <row r="56" spans="1:45">
      <c r="A56" s="43"/>
      <c r="B56" s="43" t="s">
        <v>23</v>
      </c>
      <c r="C56" s="77">
        <v>6</v>
      </c>
      <c r="D56" s="77">
        <v>6</v>
      </c>
      <c r="E56" s="77">
        <v>6</v>
      </c>
      <c r="F56" s="77">
        <v>6</v>
      </c>
      <c r="G56" s="77">
        <v>5</v>
      </c>
      <c r="H56" s="77">
        <v>6</v>
      </c>
      <c r="I56" s="77">
        <v>5</v>
      </c>
      <c r="J56" s="77">
        <v>6</v>
      </c>
      <c r="K56" s="142">
        <v>5</v>
      </c>
      <c r="L56" s="77">
        <f>SUM(C56:K56)</f>
        <v>51</v>
      </c>
      <c r="M56" s="77">
        <f>2.27*(L56/COLUMNS(C56:K56))</f>
        <v>12.863333333333333</v>
      </c>
      <c r="O56" s="160"/>
      <c r="P56" s="159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59"/>
      <c r="AS56" s="77"/>
    </row>
    <row r="57" spans="1:45">
      <c r="A57" s="43"/>
      <c r="B57" s="43" t="s">
        <v>24</v>
      </c>
      <c r="C57" s="77">
        <v>4</v>
      </c>
      <c r="D57" s="77">
        <v>6</v>
      </c>
      <c r="E57" s="77">
        <v>6</v>
      </c>
      <c r="F57" s="77">
        <v>6</v>
      </c>
      <c r="G57" s="77">
        <v>5</v>
      </c>
      <c r="H57" s="77">
        <v>4</v>
      </c>
      <c r="I57" s="77">
        <v>6</v>
      </c>
      <c r="J57" s="77">
        <v>6</v>
      </c>
      <c r="K57" s="142">
        <v>6</v>
      </c>
      <c r="L57" s="77">
        <f>SUM(C57:K57)</f>
        <v>49</v>
      </c>
      <c r="M57" s="77">
        <f>2.27*(L57/COLUMNS(C57:K57))</f>
        <v>12.35888888888889</v>
      </c>
      <c r="O57" s="160"/>
      <c r="P57" s="159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59"/>
      <c r="AS57" s="77"/>
    </row>
    <row r="58" spans="1:45">
      <c r="A58" s="77"/>
      <c r="B58" s="77" t="s">
        <v>102</v>
      </c>
      <c r="C58" s="40"/>
      <c r="D58" s="40"/>
      <c r="E58" s="40"/>
      <c r="F58" s="40"/>
      <c r="G58" s="40"/>
      <c r="H58" s="40"/>
      <c r="I58" s="40"/>
      <c r="J58" s="40"/>
      <c r="K58" s="141"/>
      <c r="L58" s="77">
        <f>SUM(C58:K58)</f>
        <v>0</v>
      </c>
      <c r="M58" s="77">
        <f>2.27*(L58/COLUMNS(C58:K58))</f>
        <v>0</v>
      </c>
      <c r="O58" s="161"/>
      <c r="P58" s="159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59"/>
      <c r="AS58" s="40"/>
    </row>
    <row r="59" spans="1:45">
      <c r="A59" s="43"/>
      <c r="B59" s="43" t="s">
        <v>23</v>
      </c>
      <c r="C59" s="77">
        <v>6</v>
      </c>
      <c r="D59" s="77">
        <v>6</v>
      </c>
      <c r="E59" s="77">
        <v>6</v>
      </c>
      <c r="F59" s="77">
        <v>5</v>
      </c>
      <c r="G59" s="77">
        <v>4</v>
      </c>
      <c r="H59" s="77">
        <v>6</v>
      </c>
      <c r="I59" s="77">
        <v>4</v>
      </c>
      <c r="J59" s="77">
        <v>6</v>
      </c>
      <c r="K59" s="142">
        <v>4</v>
      </c>
      <c r="L59" s="77">
        <f>SUM(C59:K59)</f>
        <v>47</v>
      </c>
      <c r="M59" s="77">
        <f>2.27*(L59/COLUMNS(C59:K59))</f>
        <v>11.854444444444445</v>
      </c>
      <c r="O59" s="160"/>
      <c r="P59" s="159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59"/>
      <c r="AS59" s="77"/>
    </row>
    <row r="60" spans="1:45">
      <c r="A60" s="43"/>
      <c r="B60" s="43" t="s">
        <v>24</v>
      </c>
      <c r="C60" s="77">
        <v>6</v>
      </c>
      <c r="D60" s="77">
        <v>4</v>
      </c>
      <c r="E60" s="77">
        <v>6</v>
      </c>
      <c r="F60" s="77">
        <v>6</v>
      </c>
      <c r="G60" s="77">
        <v>6</v>
      </c>
      <c r="H60" s="77">
        <v>6</v>
      </c>
      <c r="I60" s="77">
        <v>6</v>
      </c>
      <c r="J60" s="77">
        <v>6</v>
      </c>
      <c r="K60" s="142">
        <v>5</v>
      </c>
      <c r="L60" s="77">
        <f>SUM(C60:K60)</f>
        <v>51</v>
      </c>
      <c r="M60" s="77">
        <f>2.27*(L60/COLUMNS(C60:K60))</f>
        <v>12.863333333333333</v>
      </c>
      <c r="O60" s="160"/>
      <c r="P60" s="159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59"/>
      <c r="AS60" s="77"/>
    </row>
    <row r="61" spans="1:45">
      <c r="A61" s="77"/>
      <c r="B61" s="77" t="s">
        <v>103</v>
      </c>
      <c r="C61" s="40"/>
      <c r="D61" s="40"/>
      <c r="E61" s="40"/>
      <c r="F61" s="40"/>
      <c r="G61" s="40"/>
      <c r="H61" s="40"/>
      <c r="I61" s="40"/>
      <c r="J61" s="40"/>
      <c r="K61" s="141"/>
      <c r="L61" s="77">
        <f>SUM(C61:K61)</f>
        <v>0</v>
      </c>
      <c r="M61" s="77">
        <f>2.27*(L61/COLUMNS(C61:K61))</f>
        <v>0</v>
      </c>
      <c r="O61" s="161"/>
      <c r="P61" s="159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59"/>
      <c r="AS61" s="40"/>
    </row>
    <row r="62" spans="1:45">
      <c r="A62" s="43"/>
      <c r="B62" s="43" t="s">
        <v>23</v>
      </c>
      <c r="C62" s="77">
        <v>6</v>
      </c>
      <c r="D62" s="77">
        <v>6</v>
      </c>
      <c r="E62" s="77">
        <v>6</v>
      </c>
      <c r="F62" s="77">
        <v>6</v>
      </c>
      <c r="G62" s="77">
        <v>5</v>
      </c>
      <c r="H62" s="77">
        <v>6</v>
      </c>
      <c r="I62" s="77">
        <v>3</v>
      </c>
      <c r="J62" s="77">
        <v>6</v>
      </c>
      <c r="K62" s="142">
        <v>5</v>
      </c>
      <c r="L62" s="77">
        <f>SUM(C62:K62)</f>
        <v>49</v>
      </c>
      <c r="M62" s="77">
        <f>2.27*(L62/COLUMNS(C62:K62))</f>
        <v>12.35888888888889</v>
      </c>
      <c r="O62" s="160"/>
      <c r="P62" s="159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59"/>
      <c r="AS62" s="77"/>
    </row>
    <row r="63" spans="1:45">
      <c r="A63" s="43"/>
      <c r="B63" s="43" t="s">
        <v>24</v>
      </c>
      <c r="C63" s="77">
        <v>6</v>
      </c>
      <c r="D63" s="77">
        <v>5</v>
      </c>
      <c r="E63" s="77">
        <v>6</v>
      </c>
      <c r="F63" s="77">
        <v>6</v>
      </c>
      <c r="G63" s="77">
        <v>6</v>
      </c>
      <c r="H63" s="77">
        <v>6</v>
      </c>
      <c r="I63" s="77">
        <v>4</v>
      </c>
      <c r="J63" s="77">
        <v>6</v>
      </c>
      <c r="K63" s="142">
        <v>6</v>
      </c>
      <c r="L63" s="77">
        <f>SUM(C63:K63)</f>
        <v>51</v>
      </c>
      <c r="M63" s="77">
        <f>2.27*(L63/COLUMNS(C63:K63))</f>
        <v>12.863333333333333</v>
      </c>
      <c r="O63" s="160"/>
      <c r="P63" s="159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59"/>
      <c r="AS63" s="77"/>
    </row>
    <row r="64" spans="1:45">
      <c r="A64" s="44"/>
      <c r="B64" s="44" t="s">
        <v>32</v>
      </c>
      <c r="C64" s="45">
        <f t="shared" ref="C64:I64" si="8">2.27*(C53+C56+C59+C62)</f>
        <v>54.480000000000004</v>
      </c>
      <c r="D64" s="45">
        <f t="shared" si="8"/>
        <v>54.480000000000004</v>
      </c>
      <c r="E64" s="45">
        <f t="shared" si="8"/>
        <v>54.480000000000004</v>
      </c>
      <c r="F64" s="45">
        <f t="shared" si="8"/>
        <v>49.94</v>
      </c>
      <c r="G64" s="45">
        <f t="shared" si="8"/>
        <v>43.13</v>
      </c>
      <c r="H64" s="45">
        <f t="shared" si="8"/>
        <v>54.480000000000004</v>
      </c>
      <c r="I64" s="45">
        <f t="shared" si="8"/>
        <v>34.049999999999997</v>
      </c>
      <c r="J64" s="45">
        <f>2.27*(J53+J56+J59+J62)</f>
        <v>54.480000000000004</v>
      </c>
      <c r="K64" s="143">
        <f>2.27*(K53+K56+K59+K62)</f>
        <v>43.13</v>
      </c>
      <c r="L64" s="45">
        <f>AVERAGE(C64:K64)</f>
        <v>49.183333333333337</v>
      </c>
      <c r="M64" s="47">
        <f t="shared" ref="M64:M65" si="9">M53+M56+M59+M62</f>
        <v>49.183333333333337</v>
      </c>
      <c r="P64" s="159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59"/>
      <c r="AS64" s="77"/>
    </row>
    <row r="65" spans="1:45">
      <c r="A65" s="43"/>
      <c r="B65" s="43" t="s">
        <v>33</v>
      </c>
      <c r="C65" s="77">
        <f t="shared" ref="C65:I65" si="10">2.27*(C54+C57+C60+C63)</f>
        <v>43.13</v>
      </c>
      <c r="D65" s="77">
        <f t="shared" si="10"/>
        <v>40.86</v>
      </c>
      <c r="E65" s="77">
        <f t="shared" si="10"/>
        <v>54.480000000000004</v>
      </c>
      <c r="F65" s="77">
        <f t="shared" si="10"/>
        <v>54.480000000000004</v>
      </c>
      <c r="G65" s="77">
        <f t="shared" si="10"/>
        <v>47.67</v>
      </c>
      <c r="H65" s="77">
        <f t="shared" si="10"/>
        <v>45.4</v>
      </c>
      <c r="I65" s="77">
        <f t="shared" si="10"/>
        <v>47.67</v>
      </c>
      <c r="J65" s="77">
        <f>2.27*(J54+J57+J60+J63)</f>
        <v>54.480000000000004</v>
      </c>
      <c r="K65" s="142">
        <f>2.27*(K54+K57+K60+K63)</f>
        <v>52.21</v>
      </c>
      <c r="L65" s="118">
        <f>AVERAGE(C65:K65)</f>
        <v>48.931111111111115</v>
      </c>
      <c r="M65" s="48">
        <f t="shared" si="9"/>
        <v>48.931111111111107</v>
      </c>
      <c r="P65" s="159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59"/>
      <c r="AS65" s="77"/>
    </row>
    <row r="66" spans="1:45">
      <c r="A66" s="49"/>
      <c r="B66" s="49" t="s">
        <v>34</v>
      </c>
      <c r="C66" s="50">
        <f t="shared" ref="C66:I66" si="11">C64-C65</f>
        <v>11.350000000000001</v>
      </c>
      <c r="D66" s="50">
        <f t="shared" si="11"/>
        <v>13.620000000000005</v>
      </c>
      <c r="E66" s="50">
        <f t="shared" si="11"/>
        <v>0</v>
      </c>
      <c r="F66" s="50">
        <f t="shared" si="11"/>
        <v>-4.5400000000000063</v>
      </c>
      <c r="G66" s="50">
        <f t="shared" si="11"/>
        <v>-4.5399999999999991</v>
      </c>
      <c r="H66" s="50">
        <f t="shared" si="11"/>
        <v>9.0800000000000054</v>
      </c>
      <c r="I66" s="50">
        <f t="shared" si="11"/>
        <v>-13.620000000000005</v>
      </c>
      <c r="J66" s="50">
        <f>J64-J65</f>
        <v>0</v>
      </c>
      <c r="K66" s="144">
        <f>K64-K65</f>
        <v>-9.0799999999999983</v>
      </c>
      <c r="L66" s="50">
        <f>AVERAGE(C66:K66)</f>
        <v>0.25222222222222257</v>
      </c>
      <c r="M66" s="52">
        <f>M64-M65</f>
        <v>0.25222222222222968</v>
      </c>
      <c r="P66" s="159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59"/>
      <c r="AS66" s="77"/>
    </row>
    <row r="67" spans="1:45">
      <c r="A67" s="53" t="s">
        <v>104</v>
      </c>
      <c r="B67" s="93" t="s">
        <v>105</v>
      </c>
      <c r="C67" s="54"/>
      <c r="D67" s="54"/>
      <c r="E67" s="54"/>
      <c r="F67" s="54"/>
      <c r="G67" s="54"/>
      <c r="H67" s="54"/>
      <c r="I67" s="54"/>
      <c r="J67" s="54"/>
      <c r="K67" s="145"/>
      <c r="L67" s="54"/>
      <c r="M67" s="55"/>
      <c r="P67" s="159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59"/>
      <c r="AS67" s="54"/>
    </row>
    <row r="68" spans="1:45">
      <c r="A68" s="55"/>
      <c r="B68" s="55" t="s">
        <v>106</v>
      </c>
      <c r="C68" s="54"/>
      <c r="D68" s="54"/>
      <c r="E68" s="54"/>
      <c r="F68" s="54"/>
      <c r="G68" s="54"/>
      <c r="H68" s="54"/>
      <c r="I68" s="54"/>
      <c r="J68" s="54"/>
      <c r="K68" s="145"/>
      <c r="L68" s="54"/>
      <c r="M68" s="55"/>
      <c r="P68" s="159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59"/>
      <c r="AS68" s="54"/>
    </row>
    <row r="69" spans="1:45">
      <c r="A69" s="57"/>
      <c r="B69" s="57" t="s">
        <v>23</v>
      </c>
      <c r="C69" s="55">
        <v>6</v>
      </c>
      <c r="D69" s="55">
        <v>6</v>
      </c>
      <c r="E69" s="55">
        <v>6</v>
      </c>
      <c r="F69" s="55">
        <v>6</v>
      </c>
      <c r="G69" s="55">
        <v>5</v>
      </c>
      <c r="H69" s="55">
        <v>6</v>
      </c>
      <c r="I69" s="55">
        <v>3</v>
      </c>
      <c r="J69" s="55">
        <v>6</v>
      </c>
      <c r="K69" s="146">
        <v>6</v>
      </c>
      <c r="L69" s="55">
        <f>SUM(C69:K69)</f>
        <v>50</v>
      </c>
      <c r="M69" s="55">
        <f>1.8*(L69/COLUMNS(C69:K69))</f>
        <v>10</v>
      </c>
      <c r="P69" s="159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59"/>
      <c r="AS69" s="55"/>
    </row>
    <row r="70" spans="1:45">
      <c r="A70" s="57"/>
      <c r="B70" s="57" t="s">
        <v>24</v>
      </c>
      <c r="C70" s="55">
        <v>3</v>
      </c>
      <c r="D70" s="55">
        <v>6</v>
      </c>
      <c r="E70" s="55">
        <v>6</v>
      </c>
      <c r="F70" s="55">
        <v>6</v>
      </c>
      <c r="G70" s="55">
        <v>6</v>
      </c>
      <c r="H70" s="55">
        <v>5</v>
      </c>
      <c r="I70" s="55">
        <v>5</v>
      </c>
      <c r="J70" s="55">
        <v>6</v>
      </c>
      <c r="K70" s="146">
        <v>6</v>
      </c>
      <c r="L70" s="55">
        <f>SUM(C70:K70)</f>
        <v>49</v>
      </c>
      <c r="M70" s="55">
        <f>1.8*(L70/COLUMNS(C70:K70))</f>
        <v>9.8000000000000007</v>
      </c>
      <c r="P70" s="159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59"/>
      <c r="AS70" s="55"/>
    </row>
    <row r="71" spans="1:45">
      <c r="A71" s="55"/>
      <c r="B71" s="55" t="s">
        <v>107</v>
      </c>
      <c r="C71" s="54"/>
      <c r="D71" s="54"/>
      <c r="E71" s="54"/>
      <c r="F71" s="54"/>
      <c r="G71" s="54"/>
      <c r="H71" s="54"/>
      <c r="I71" s="54"/>
      <c r="J71" s="54"/>
      <c r="K71" s="145"/>
      <c r="L71" s="55">
        <f>SUM(C71:K71)</f>
        <v>0</v>
      </c>
      <c r="M71" s="55">
        <f>1.8*(L71/COLUMNS(C71:K71))</f>
        <v>0</v>
      </c>
      <c r="P71" s="159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59"/>
      <c r="AS71" s="54"/>
    </row>
    <row r="72" spans="1:45">
      <c r="A72" s="57"/>
      <c r="B72" s="57" t="s">
        <v>23</v>
      </c>
      <c r="C72" s="55">
        <v>6</v>
      </c>
      <c r="D72" s="55">
        <v>6</v>
      </c>
      <c r="E72" s="55">
        <v>6</v>
      </c>
      <c r="F72" s="55">
        <v>6</v>
      </c>
      <c r="G72" s="55">
        <v>5</v>
      </c>
      <c r="H72" s="55">
        <v>6</v>
      </c>
      <c r="I72" s="55">
        <v>0</v>
      </c>
      <c r="J72" s="55">
        <v>6</v>
      </c>
      <c r="K72" s="146">
        <v>6</v>
      </c>
      <c r="L72" s="55">
        <f>SUM(C72:K72)</f>
        <v>47</v>
      </c>
      <c r="M72" s="55">
        <f>1.8*(L72/COLUMNS(C72:K72))</f>
        <v>9.4</v>
      </c>
      <c r="P72" s="159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59"/>
      <c r="AS72" s="55"/>
    </row>
    <row r="73" spans="1:45">
      <c r="A73" s="57"/>
      <c r="B73" s="57" t="s">
        <v>24</v>
      </c>
      <c r="C73" s="55">
        <v>3</v>
      </c>
      <c r="D73" s="55">
        <v>6</v>
      </c>
      <c r="E73" s="55">
        <v>6</v>
      </c>
      <c r="F73" s="55">
        <v>6</v>
      </c>
      <c r="G73" s="55">
        <v>6</v>
      </c>
      <c r="H73" s="55">
        <v>5</v>
      </c>
      <c r="I73" s="55">
        <v>0</v>
      </c>
      <c r="J73" s="55">
        <v>6</v>
      </c>
      <c r="K73" s="146">
        <v>6</v>
      </c>
      <c r="L73" s="55">
        <f>SUM(C73:K73)</f>
        <v>44</v>
      </c>
      <c r="M73" s="55">
        <f>1.8*(L73/COLUMNS(C73:K73))</f>
        <v>8.8000000000000007</v>
      </c>
      <c r="P73" s="159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59"/>
      <c r="AS73" s="55"/>
    </row>
    <row r="74" spans="1:45">
      <c r="A74" s="55"/>
      <c r="B74" s="55" t="s">
        <v>108</v>
      </c>
      <c r="C74" s="54"/>
      <c r="D74" s="54"/>
      <c r="E74" s="54"/>
      <c r="F74" s="54"/>
      <c r="G74" s="54"/>
      <c r="H74" s="54"/>
      <c r="I74" s="54"/>
      <c r="J74" s="54"/>
      <c r="K74" s="145"/>
      <c r="L74" s="55">
        <f>SUM(C74:K74)</f>
        <v>0</v>
      </c>
      <c r="M74" s="55">
        <f>1.8*(L74/COLUMNS(C74:K74))</f>
        <v>0</v>
      </c>
      <c r="P74" s="159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59"/>
      <c r="AS74" s="54"/>
    </row>
    <row r="75" spans="1:45">
      <c r="A75" s="57"/>
      <c r="B75" s="57" t="s">
        <v>55</v>
      </c>
      <c r="C75" s="55">
        <v>6</v>
      </c>
      <c r="D75" s="55">
        <v>4</v>
      </c>
      <c r="E75" s="55">
        <v>6</v>
      </c>
      <c r="F75" s="55">
        <v>6</v>
      </c>
      <c r="G75" s="55">
        <v>0</v>
      </c>
      <c r="H75" s="55">
        <v>6</v>
      </c>
      <c r="I75" s="55">
        <v>2</v>
      </c>
      <c r="J75" s="55">
        <v>6</v>
      </c>
      <c r="K75" s="146">
        <v>6</v>
      </c>
      <c r="L75" s="55">
        <f>SUM(C75:K75)</f>
        <v>42</v>
      </c>
      <c r="M75" s="55">
        <f>1.8*(L75/COLUMNS(C75:K75))</f>
        <v>8.4</v>
      </c>
      <c r="P75" s="159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59"/>
      <c r="AS75" s="55"/>
    </row>
    <row r="76" spans="1:45">
      <c r="A76" s="57"/>
      <c r="B76" s="57" t="s">
        <v>56</v>
      </c>
      <c r="C76" s="55">
        <v>2</v>
      </c>
      <c r="D76" s="55">
        <v>6</v>
      </c>
      <c r="E76" s="55">
        <v>5</v>
      </c>
      <c r="F76" s="55">
        <v>4</v>
      </c>
      <c r="G76" s="55">
        <v>6</v>
      </c>
      <c r="H76" s="55"/>
      <c r="I76" s="55">
        <v>4</v>
      </c>
      <c r="J76" s="55">
        <v>4</v>
      </c>
      <c r="K76" s="146">
        <v>4</v>
      </c>
      <c r="L76" s="55">
        <f>SUM(C76:K76)</f>
        <v>35</v>
      </c>
      <c r="M76" s="55">
        <f>1.8*(L76/COLUMNS(C76:K76))</f>
        <v>7</v>
      </c>
      <c r="P76" s="159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59"/>
      <c r="AS76" s="55"/>
    </row>
    <row r="77" spans="1:45">
      <c r="A77" s="55"/>
      <c r="B77" s="55" t="s">
        <v>109</v>
      </c>
      <c r="C77" s="54"/>
      <c r="D77" s="54"/>
      <c r="E77" s="54"/>
      <c r="F77" s="54"/>
      <c r="G77" s="54"/>
      <c r="H77" s="54"/>
      <c r="I77" s="54"/>
      <c r="J77" s="54"/>
      <c r="K77" s="145"/>
      <c r="L77" s="55">
        <f>SUM(C77:K77)</f>
        <v>0</v>
      </c>
      <c r="M77" s="55">
        <f>1.8*(L77/COLUMNS(C77:K77))</f>
        <v>0</v>
      </c>
      <c r="P77" s="159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59"/>
      <c r="AS77" s="54"/>
    </row>
    <row r="78" spans="1:45">
      <c r="A78" s="57"/>
      <c r="B78" s="57" t="s">
        <v>55</v>
      </c>
      <c r="C78" s="55">
        <v>6</v>
      </c>
      <c r="D78" s="55">
        <v>4</v>
      </c>
      <c r="E78" s="55">
        <v>6</v>
      </c>
      <c r="F78" s="55">
        <v>5</v>
      </c>
      <c r="G78" s="55">
        <v>6</v>
      </c>
      <c r="H78" s="55">
        <v>5</v>
      </c>
      <c r="I78" s="55">
        <v>1</v>
      </c>
      <c r="J78" s="55">
        <v>6</v>
      </c>
      <c r="K78" s="146">
        <v>5</v>
      </c>
      <c r="L78" s="55">
        <f>SUM(C78:K78)</f>
        <v>44</v>
      </c>
      <c r="M78" s="55">
        <f>1.8*(L78/COLUMNS(C78:K78))</f>
        <v>8.8000000000000007</v>
      </c>
      <c r="P78" s="159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59"/>
      <c r="AS78" s="55"/>
    </row>
    <row r="79" spans="1:45">
      <c r="A79" s="57"/>
      <c r="B79" s="57" t="s">
        <v>56</v>
      </c>
      <c r="C79" s="55">
        <v>2</v>
      </c>
      <c r="D79" s="55">
        <v>6</v>
      </c>
      <c r="E79" s="55">
        <v>4</v>
      </c>
      <c r="F79" s="55">
        <v>6</v>
      </c>
      <c r="G79" s="55">
        <v>0</v>
      </c>
      <c r="H79" s="55">
        <v>5</v>
      </c>
      <c r="I79" s="55">
        <v>1</v>
      </c>
      <c r="J79" s="55">
        <v>5</v>
      </c>
      <c r="K79" s="146">
        <v>5</v>
      </c>
      <c r="L79" s="55">
        <f>SUM(C79:K79)</f>
        <v>34</v>
      </c>
      <c r="M79" s="55">
        <f>1.8*(L79/COLUMNS(C79:K79))</f>
        <v>6.8</v>
      </c>
      <c r="P79" s="159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59"/>
      <c r="AS79" s="55"/>
    </row>
    <row r="80" spans="1:45">
      <c r="A80" s="57"/>
      <c r="B80" s="53" t="s">
        <v>110</v>
      </c>
      <c r="C80" s="57"/>
      <c r="D80" s="57"/>
      <c r="E80" s="57"/>
      <c r="F80" s="57"/>
      <c r="G80" s="57"/>
      <c r="H80" s="57"/>
      <c r="I80" s="57"/>
      <c r="J80" s="57"/>
      <c r="K80" s="147"/>
      <c r="L80" s="55">
        <f>SUM(C80:K80)</f>
        <v>0</v>
      </c>
      <c r="M80" s="55">
        <f>1.8*(L80/COLUMNS(C80:K80))</f>
        <v>0</v>
      </c>
      <c r="P80" s="159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59"/>
      <c r="AS80" s="57"/>
    </row>
    <row r="81" spans="1:45">
      <c r="A81" s="57"/>
      <c r="B81" s="57" t="s">
        <v>55</v>
      </c>
      <c r="C81" s="57">
        <v>6</v>
      </c>
      <c r="D81" s="57">
        <v>5</v>
      </c>
      <c r="E81" s="57">
        <v>6</v>
      </c>
      <c r="F81" s="57">
        <v>6</v>
      </c>
      <c r="G81" s="57">
        <v>0</v>
      </c>
      <c r="H81" s="57">
        <v>6</v>
      </c>
      <c r="I81" s="57">
        <v>6</v>
      </c>
      <c r="J81" s="57">
        <v>6</v>
      </c>
      <c r="K81" s="147">
        <v>5</v>
      </c>
      <c r="L81" s="55">
        <f>SUM(C81:K81)</f>
        <v>46</v>
      </c>
      <c r="M81" s="55">
        <f>1.8*(L81/COLUMNS(C81:K81))</f>
        <v>9.1999999999999993</v>
      </c>
      <c r="P81" s="159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59"/>
      <c r="AS81" s="57"/>
    </row>
    <row r="82" spans="1:45">
      <c r="A82" s="57"/>
      <c r="B82" s="57" t="s">
        <v>56</v>
      </c>
      <c r="C82" s="57">
        <v>1</v>
      </c>
      <c r="D82" s="57">
        <v>6</v>
      </c>
      <c r="E82" s="57">
        <v>5</v>
      </c>
      <c r="F82" s="57">
        <v>6</v>
      </c>
      <c r="G82" s="57">
        <v>6</v>
      </c>
      <c r="H82" s="57"/>
      <c r="I82" s="57">
        <v>6</v>
      </c>
      <c r="J82" s="57">
        <v>5</v>
      </c>
      <c r="K82" s="147">
        <v>6</v>
      </c>
      <c r="L82" s="55">
        <f>SUM(C82:K82)</f>
        <v>41</v>
      </c>
      <c r="M82" s="55">
        <f>1.8*(L82/COLUMNS(C82:K82))</f>
        <v>8.1999999999999993</v>
      </c>
      <c r="P82" s="159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59"/>
      <c r="AS82" s="57"/>
    </row>
    <row r="83" spans="1:45">
      <c r="A83" s="58"/>
      <c r="B83" s="58" t="s">
        <v>32</v>
      </c>
      <c r="C83" s="58">
        <f t="shared" ref="C83:I83" si="12">1.8*(C69+C72+C75+C78+C81)</f>
        <v>54</v>
      </c>
      <c r="D83" s="58">
        <f t="shared" si="12"/>
        <v>45</v>
      </c>
      <c r="E83" s="58">
        <f t="shared" si="12"/>
        <v>54</v>
      </c>
      <c r="F83" s="58">
        <f t="shared" si="12"/>
        <v>52.2</v>
      </c>
      <c r="G83" s="58">
        <f t="shared" si="12"/>
        <v>28.8</v>
      </c>
      <c r="H83" s="58">
        <f t="shared" si="12"/>
        <v>52.2</v>
      </c>
      <c r="I83" s="58">
        <f t="shared" si="12"/>
        <v>21.6</v>
      </c>
      <c r="J83" s="58">
        <f>1.8*(J69+J72+J75+J78+J81)</f>
        <v>54</v>
      </c>
      <c r="K83" s="148">
        <f>1.8*(K69+K72+K75+K78+K81)</f>
        <v>50.4</v>
      </c>
      <c r="L83" s="58">
        <f>AVERAGE(C83:K83)</f>
        <v>45.8</v>
      </c>
      <c r="M83" s="61">
        <f t="shared" ref="M83:M84" si="13">M69+M72+M75+M78+M81</f>
        <v>45.8</v>
      </c>
      <c r="P83" s="159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59"/>
      <c r="AS83" s="57"/>
    </row>
    <row r="84" spans="1:45">
      <c r="A84" s="57"/>
      <c r="B84" s="57" t="s">
        <v>33</v>
      </c>
      <c r="C84" s="57">
        <f t="shared" ref="C84:I84" si="14">1.8*(C70+C73+C76+C79+C82)</f>
        <v>19.8</v>
      </c>
      <c r="D84" s="57">
        <f t="shared" si="14"/>
        <v>54</v>
      </c>
      <c r="E84" s="57">
        <f t="shared" si="14"/>
        <v>46.800000000000004</v>
      </c>
      <c r="F84" s="57">
        <f t="shared" si="14"/>
        <v>50.4</v>
      </c>
      <c r="G84" s="57">
        <f t="shared" si="14"/>
        <v>43.2</v>
      </c>
      <c r="H84" s="57">
        <f t="shared" si="14"/>
        <v>27</v>
      </c>
      <c r="I84" s="57">
        <f t="shared" si="14"/>
        <v>28.8</v>
      </c>
      <c r="J84" s="57">
        <f>1.8*(J70+J73+J76+J79+J82)</f>
        <v>46.800000000000004</v>
      </c>
      <c r="K84" s="147">
        <f>1.8*(K70+K73+K76+K79+K82)</f>
        <v>48.6</v>
      </c>
      <c r="L84" s="121">
        <f>AVERAGE(C84:K84)</f>
        <v>40.6</v>
      </c>
      <c r="M84" s="62">
        <f t="shared" si="13"/>
        <v>40.599999999999994</v>
      </c>
      <c r="P84" s="159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59"/>
      <c r="AS84" s="57"/>
    </row>
    <row r="85" spans="1:45">
      <c r="A85" s="63"/>
      <c r="B85" s="63" t="s">
        <v>34</v>
      </c>
      <c r="C85" s="63">
        <f t="shared" ref="C85:I85" si="15">C83-C84</f>
        <v>34.200000000000003</v>
      </c>
      <c r="D85" s="63">
        <f t="shared" si="15"/>
        <v>-9</v>
      </c>
      <c r="E85" s="63">
        <f t="shared" si="15"/>
        <v>7.1999999999999957</v>
      </c>
      <c r="F85" s="63">
        <f t="shared" si="15"/>
        <v>1.8000000000000043</v>
      </c>
      <c r="G85" s="63">
        <f t="shared" si="15"/>
        <v>-14.400000000000002</v>
      </c>
      <c r="H85" s="63">
        <f t="shared" si="15"/>
        <v>25.200000000000003</v>
      </c>
      <c r="I85" s="63">
        <f t="shared" si="15"/>
        <v>-7.1999999999999993</v>
      </c>
      <c r="J85" s="63">
        <f>J83-J84</f>
        <v>7.1999999999999957</v>
      </c>
      <c r="K85" s="149">
        <f>K83-K84</f>
        <v>1.7999999999999972</v>
      </c>
      <c r="L85" s="63">
        <f>AVERAGE(C85:K85)</f>
        <v>5.1999999999999993</v>
      </c>
      <c r="M85" s="66">
        <f>M83-M84</f>
        <v>5.2000000000000028</v>
      </c>
      <c r="P85" s="159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59"/>
      <c r="AS85" s="57"/>
    </row>
    <row r="86" spans="1:45">
      <c r="A86" s="2"/>
      <c r="B86" s="78" t="s">
        <v>65</v>
      </c>
      <c r="C86" s="68">
        <f t="shared" ref="C86:I86" si="16">C28+C48+C64+C83</f>
        <v>181.7</v>
      </c>
      <c r="D86" s="68">
        <f t="shared" si="16"/>
        <v>168.41399999999999</v>
      </c>
      <c r="E86" s="68">
        <f t="shared" si="16"/>
        <v>189.58</v>
      </c>
      <c r="F86" s="68">
        <f t="shared" si="16"/>
        <v>176.04000000000002</v>
      </c>
      <c r="G86" s="68">
        <f t="shared" si="16"/>
        <v>138.87800000000001</v>
      </c>
      <c r="H86" s="68">
        <f t="shared" si="16"/>
        <v>186.89</v>
      </c>
      <c r="I86" s="68">
        <f t="shared" si="16"/>
        <v>105.47</v>
      </c>
      <c r="J86" s="68">
        <f>J28+J48+J64+J83</f>
        <v>185.57</v>
      </c>
      <c r="K86" s="150">
        <f>K28+K48+K64+K83</f>
        <v>163.21</v>
      </c>
      <c r="L86" s="68">
        <f>AVERAGE(C86:K86)</f>
        <v>166.19466666666665</v>
      </c>
      <c r="M86" s="102">
        <f t="shared" ref="M86:M88" si="17">M28+M48+M64+M83</f>
        <v>166.19466666666668</v>
      </c>
      <c r="P86" s="159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59"/>
    </row>
    <row r="87" spans="1:45">
      <c r="A87" s="2"/>
      <c r="B87" s="78" t="s">
        <v>66</v>
      </c>
      <c r="C87" s="68">
        <f t="shared" ref="C87:I87" si="18">C29+C49+C65+C84</f>
        <v>90.47</v>
      </c>
      <c r="D87" s="68">
        <f t="shared" si="18"/>
        <v>129.126</v>
      </c>
      <c r="E87" s="68">
        <f t="shared" si="18"/>
        <v>129.48000000000002</v>
      </c>
      <c r="F87" s="68">
        <f t="shared" si="18"/>
        <v>134.18</v>
      </c>
      <c r="G87" s="68">
        <f t="shared" si="18"/>
        <v>138.71199999999999</v>
      </c>
      <c r="H87" s="68">
        <f t="shared" si="18"/>
        <v>101.49</v>
      </c>
      <c r="I87" s="68">
        <f t="shared" si="18"/>
        <v>126.8</v>
      </c>
      <c r="J87" s="68">
        <f>J29+J49+J65+J84</f>
        <v>132.27000000000001</v>
      </c>
      <c r="K87" s="150">
        <f>K29+K49+K65+K84</f>
        <v>138.46</v>
      </c>
      <c r="L87" s="68">
        <f>AVERAGE(C87:K87)</f>
        <v>124.55422222222222</v>
      </c>
      <c r="M87" s="102">
        <f t="shared" si="17"/>
        <v>124.55422222222221</v>
      </c>
      <c r="P87" s="159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59"/>
    </row>
    <row r="88" spans="1:45">
      <c r="A88" s="103"/>
      <c r="B88" s="104" t="s">
        <v>67</v>
      </c>
      <c r="C88" s="105">
        <f t="shared" ref="C88:I88" si="19">C86-C87</f>
        <v>91.22999999999999</v>
      </c>
      <c r="D88" s="105">
        <f t="shared" si="19"/>
        <v>39.287999999999982</v>
      </c>
      <c r="E88" s="105">
        <f t="shared" si="19"/>
        <v>60.099999999999994</v>
      </c>
      <c r="F88" s="105">
        <f t="shared" si="19"/>
        <v>41.860000000000014</v>
      </c>
      <c r="G88" s="105">
        <f t="shared" si="19"/>
        <v>0.16600000000002524</v>
      </c>
      <c r="H88" s="105">
        <f t="shared" si="19"/>
        <v>85.399999999999991</v>
      </c>
      <c r="I88" s="105">
        <f t="shared" si="19"/>
        <v>-21.33</v>
      </c>
      <c r="J88" s="105">
        <f>J86-J87</f>
        <v>53.299999999999983</v>
      </c>
      <c r="K88" s="151">
        <f>K86-K87</f>
        <v>24.75</v>
      </c>
      <c r="L88" s="157">
        <f>AVERAGE(C88:K88)</f>
        <v>41.640444444444448</v>
      </c>
      <c r="M88" s="158">
        <f t="shared" si="17"/>
        <v>41.640444444444455</v>
      </c>
      <c r="P88" s="159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59"/>
    </row>
    <row r="89" spans="1:45">
      <c r="A89" s="2"/>
      <c r="K89" s="152"/>
      <c r="P89" s="159"/>
      <c r="Q89" s="159"/>
      <c r="R89" s="159"/>
      <c r="S89" s="159"/>
      <c r="T89" s="159"/>
      <c r="U89" s="159"/>
      <c r="V89" s="159"/>
      <c r="W89" s="161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</row>
    <row r="90" spans="1:45">
      <c r="A90" s="2"/>
      <c r="B90" s="78" t="s">
        <v>68</v>
      </c>
      <c r="C90" s="68">
        <f t="shared" ref="C90:I90" si="20">0.61*((15-ROUND(C11,0)) + (15-ROUND(C14,0)) + C17 + C20 + C23 + C26) + 0.136*(C33+C37+C41+C45) + 2.27*(C53+C56+C59+C62) + 1.8*(C69+C72+C75+C78+C81)</f>
        <v>181.7</v>
      </c>
      <c r="D90" s="68">
        <f t="shared" si="20"/>
        <v>168.41399999999999</v>
      </c>
      <c r="E90" s="68">
        <f t="shared" si="20"/>
        <v>189.58</v>
      </c>
      <c r="F90" s="68">
        <f t="shared" si="20"/>
        <v>176.04000000000002</v>
      </c>
      <c r="G90" s="68">
        <f t="shared" si="20"/>
        <v>138.87800000000001</v>
      </c>
      <c r="H90" s="68">
        <f t="shared" si="20"/>
        <v>186.89</v>
      </c>
      <c r="I90" s="68">
        <f t="shared" si="20"/>
        <v>105.47</v>
      </c>
      <c r="J90" s="68">
        <f>0.61*((15-ROUND(J11,0)) + (15-ROUND(J14,0)) + J17 + J20 + J23 + J26) + 0.136*(J33+J37+J41+J45) + 2.27*(J53+J56+J59+J62) + 1.8*(J69+J72+J75+J78+J81)</f>
        <v>185.57</v>
      </c>
      <c r="K90" s="150">
        <f>0.61*((15-ROUND(K11,0)) + (15-ROUND(K14,0)) + K17 + K20 + K23 + K26) + 0.136*(K33+K37+K41+K45) + 2.27*(K53+K56+K59+K62) + 1.8*(K69+K72+K75+K78+K81)</f>
        <v>163.21</v>
      </c>
      <c r="L90" s="68">
        <f>AVERAGE(C90:K90)</f>
        <v>166.19466666666665</v>
      </c>
      <c r="P90" s="159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59"/>
    </row>
    <row r="91" spans="1:45">
      <c r="A91" s="70"/>
      <c r="B91" s="107" t="s">
        <v>69</v>
      </c>
      <c r="C91" s="70">
        <f t="shared" ref="C91:I91" si="21">0.61*((15-ROUND(C12,0)) + (15-ROUND(C15,0)) + C18 + C21 + C24 + C27) + 0.136*(C34+C38+C42+C46) + 2.27*(C54+C57+C60+C63) + 1.8*(C70+C73+C76+C79+C82)</f>
        <v>90.47</v>
      </c>
      <c r="D91" s="70">
        <f t="shared" si="21"/>
        <v>129.126</v>
      </c>
      <c r="E91" s="70">
        <f t="shared" si="21"/>
        <v>129.48000000000002</v>
      </c>
      <c r="F91" s="70">
        <f t="shared" si="21"/>
        <v>134.18</v>
      </c>
      <c r="G91" s="70">
        <f t="shared" si="21"/>
        <v>138.71199999999999</v>
      </c>
      <c r="H91" s="70">
        <f t="shared" si="21"/>
        <v>101.49</v>
      </c>
      <c r="I91" s="70">
        <f t="shared" si="21"/>
        <v>126.8</v>
      </c>
      <c r="J91" s="70">
        <f>0.61*((15-ROUND(J12,0)) + (15-ROUND(J15,0)) + J18 + J21 + J24 + J27) + 0.136*(J34+J38+J42+J46) + 2.27*(J54+J57+J60+J63) + 1.8*(J70+J73+J76+J79+J82)</f>
        <v>132.27000000000001</v>
      </c>
      <c r="K91" s="153">
        <f>0.61*((15-ROUND(K12,0)) + (15-ROUND(K15,0)) + K18 + K21 + K24 + K27) + 0.136*(K34+K38+K42+K46) + 2.27*(K54+K57+K60+K63) + 1.8*(K70+K73+K76+K79+K82)</f>
        <v>138.46</v>
      </c>
      <c r="L91" s="68">
        <f>AVERAGE(C91:K91)</f>
        <v>124.55422222222222</v>
      </c>
      <c r="M91" s="70"/>
      <c r="P91" s="159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59"/>
      <c r="AS91" s="70"/>
    </row>
    <row r="92" spans="1:45">
      <c r="A92" s="71"/>
      <c r="B92" s="72" t="s">
        <v>70</v>
      </c>
      <c r="C92" s="72">
        <v>91.23</v>
      </c>
      <c r="D92" s="72">
        <v>39.287999999999997</v>
      </c>
      <c r="E92" s="72">
        <v>60.1</v>
      </c>
      <c r="F92" s="72">
        <v>41.86</v>
      </c>
      <c r="G92" s="72">
        <v>0.16600000000000001</v>
      </c>
      <c r="H92" s="72">
        <v>85.4</v>
      </c>
      <c r="I92" s="72">
        <v>-21.33</v>
      </c>
      <c r="J92" s="72">
        <v>53.3</v>
      </c>
      <c r="K92" s="154">
        <v>24.75</v>
      </c>
      <c r="L92" s="68">
        <f>AVERAGE(C92:K92)</f>
        <v>41.640444444444448</v>
      </c>
      <c r="M92" s="72"/>
      <c r="P92" s="159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59"/>
      <c r="AS92" s="72"/>
    </row>
    <row r="93" spans="1:45">
      <c r="A93" s="2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P93" s="101"/>
    </row>
    <row r="94" spans="1:45">
      <c r="A94" s="2"/>
      <c r="B94" s="78" t="s">
        <v>15</v>
      </c>
      <c r="C94" s="68">
        <f>AVERAGE(C92:AG92)</f>
        <v>41.640444444444441</v>
      </c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P94" s="101"/>
    </row>
    <row r="95" spans="1:45">
      <c r="A95" s="2"/>
      <c r="B95" s="78" t="s">
        <v>71</v>
      </c>
      <c r="C95" s="9">
        <f>MEDIAN(C92:AG92)</f>
        <v>41.75022222222222</v>
      </c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P95" s="101"/>
    </row>
    <row r="96" spans="1:45">
      <c r="A96" s="2"/>
      <c r="B96" s="78" t="s">
        <v>72</v>
      </c>
      <c r="C96" s="68">
        <f>AVERAGE(C90:AG90)</f>
        <v>166.19466666666668</v>
      </c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P96" s="101"/>
    </row>
    <row r="97" spans="1:42">
      <c r="A97" s="2"/>
      <c r="B97" s="78" t="s">
        <v>73</v>
      </c>
      <c r="C97" s="68">
        <f>AVERAGE(C91:AG91)</f>
        <v>124.55422222222224</v>
      </c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P97" s="101"/>
    </row>
    <row r="98" spans="1:42">
      <c r="A98" s="2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P98" s="101"/>
    </row>
    <row r="99" spans="1:42">
      <c r="A99" s="2"/>
      <c r="B99" s="187"/>
      <c r="C99" s="186"/>
      <c r="D99" s="185"/>
      <c r="E99" s="185"/>
      <c r="AP99" s="101"/>
    </row>
    <row r="100" spans="1:42">
      <c r="A100" s="2"/>
      <c r="B100" s="188"/>
      <c r="C100" s="186"/>
      <c r="D100" s="185"/>
      <c r="E100" s="185"/>
      <c r="AP100" s="101"/>
    </row>
    <row r="101" spans="1:42">
      <c r="A101" s="2"/>
      <c r="B101" s="187"/>
      <c r="C101" s="186"/>
      <c r="D101" s="185"/>
      <c r="E101" s="185"/>
      <c r="AP101" s="101"/>
    </row>
    <row r="102" spans="1:42">
      <c r="A102" s="2"/>
      <c r="B102" s="188"/>
      <c r="C102" s="186"/>
      <c r="D102" s="185"/>
      <c r="E102" s="185"/>
      <c r="AP102" s="101"/>
    </row>
    <row r="103" spans="1:42">
      <c r="A103" s="2"/>
      <c r="B103" s="188"/>
      <c r="C103" s="186"/>
      <c r="D103" s="185"/>
      <c r="E103" s="185"/>
      <c r="AP103" s="101"/>
    </row>
    <row r="104" spans="1:42">
      <c r="A104" s="2"/>
      <c r="B104" s="185"/>
      <c r="C104" s="186"/>
      <c r="D104" s="185"/>
      <c r="E104" s="185"/>
      <c r="AP104" s="101"/>
    </row>
    <row r="105" spans="1:42">
      <c r="A105" s="2"/>
      <c r="B105" s="185"/>
      <c r="C105" s="185"/>
      <c r="D105" s="185"/>
      <c r="E105" s="185"/>
      <c r="AP105" s="101"/>
    </row>
    <row r="106" spans="1:42">
      <c r="A106" s="2"/>
      <c r="B106" s="185"/>
      <c r="C106" s="185"/>
      <c r="D106" s="185"/>
      <c r="E106" s="185"/>
      <c r="AP106" s="101"/>
    </row>
    <row r="107" spans="1:42">
      <c r="A107" s="2"/>
      <c r="AP107" s="101"/>
    </row>
    <row r="108" spans="1:42">
      <c r="A108" s="2"/>
      <c r="AP108" s="101"/>
    </row>
    <row r="109" spans="1:42">
      <c r="A109" s="2"/>
      <c r="AP109" s="101"/>
    </row>
    <row r="110" spans="1:42">
      <c r="A110" s="2"/>
      <c r="AP110" s="101"/>
    </row>
    <row r="111" spans="1:42">
      <c r="A111" s="2"/>
      <c r="AP111" s="101"/>
    </row>
    <row r="112" spans="1:42">
      <c r="A112" s="2"/>
      <c r="AP112" s="101"/>
    </row>
    <row r="113" spans="1:42">
      <c r="A113" s="2"/>
      <c r="AP113" s="101"/>
    </row>
    <row r="114" spans="1:42">
      <c r="A114" s="2"/>
      <c r="AP114" s="101"/>
    </row>
    <row r="115" spans="1:42">
      <c r="A115" s="2"/>
      <c r="AP115" s="101"/>
    </row>
    <row r="116" spans="1:42">
      <c r="A116" s="2"/>
      <c r="AP116" s="101"/>
    </row>
    <row r="117" spans="1:42">
      <c r="A117" s="2"/>
      <c r="AP117" s="101"/>
    </row>
    <row r="118" spans="1:42">
      <c r="A118" s="2"/>
      <c r="AP118" s="101"/>
    </row>
    <row r="119" spans="1:42">
      <c r="A119" s="2"/>
      <c r="AP119" s="101"/>
    </row>
    <row r="120" spans="1:42">
      <c r="A120" s="2"/>
      <c r="AP120" s="101"/>
    </row>
    <row r="121" spans="1:42">
      <c r="A121" s="2"/>
      <c r="AP121" s="101"/>
    </row>
    <row r="122" spans="1:42">
      <c r="A122" s="2"/>
      <c r="AP122" s="101"/>
    </row>
    <row r="123" spans="1:42">
      <c r="A123" s="2"/>
      <c r="AP123" s="101"/>
    </row>
    <row r="124" spans="1:42">
      <c r="A124" s="2"/>
      <c r="AP124" s="101"/>
    </row>
    <row r="125" spans="1:42">
      <c r="A125" s="2"/>
      <c r="AP125" s="101"/>
    </row>
    <row r="126" spans="1:42">
      <c r="A126" s="2"/>
      <c r="AP126" s="101"/>
    </row>
    <row r="127" spans="1:42">
      <c r="A127" s="2"/>
      <c r="AP127" s="101"/>
    </row>
    <row r="128" spans="1:42">
      <c r="A128" s="2"/>
      <c r="AP128" s="101"/>
    </row>
    <row r="129" spans="1:42">
      <c r="A129" s="2"/>
      <c r="AP129" s="101"/>
    </row>
    <row r="130" spans="1:42">
      <c r="A130" s="2"/>
      <c r="AP130" s="101"/>
    </row>
    <row r="131" spans="1:42">
      <c r="A131" s="2"/>
      <c r="AP131" s="101"/>
    </row>
    <row r="132" spans="1:42">
      <c r="A132" s="2"/>
      <c r="AP132" s="101"/>
    </row>
    <row r="133" spans="1:42">
      <c r="A133" s="2"/>
      <c r="AP133" s="101"/>
    </row>
    <row r="134" spans="1:42">
      <c r="A134" s="2"/>
      <c r="AP134" s="101"/>
    </row>
    <row r="135" spans="1:42">
      <c r="A135" s="2"/>
      <c r="AP135" s="101"/>
    </row>
    <row r="136" spans="1:42">
      <c r="A136" s="2"/>
      <c r="AP136" s="101"/>
    </row>
    <row r="137" spans="1:42">
      <c r="A137" s="2"/>
      <c r="AP137" s="101"/>
    </row>
    <row r="138" spans="1:42">
      <c r="A138" s="2"/>
      <c r="AP138" s="101"/>
    </row>
    <row r="139" spans="1:42">
      <c r="A139" s="2"/>
      <c r="AP139" s="101"/>
    </row>
    <row r="140" spans="1:42">
      <c r="A140" s="2"/>
      <c r="AP140" s="101"/>
    </row>
    <row r="141" spans="1:42">
      <c r="A141" s="2"/>
      <c r="AP141" s="101"/>
    </row>
    <row r="142" spans="1:42">
      <c r="A142" s="2"/>
      <c r="AP142" s="101"/>
    </row>
    <row r="143" spans="1:42">
      <c r="A143" s="2"/>
      <c r="AP143" s="101"/>
    </row>
    <row r="144" spans="1:42">
      <c r="A144" s="2"/>
      <c r="AP144" s="101"/>
    </row>
    <row r="145" spans="1:42">
      <c r="A145" s="2"/>
      <c r="AP145" s="101"/>
    </row>
    <row r="146" spans="1:42">
      <c r="A146" s="2"/>
      <c r="AP146" s="101"/>
    </row>
    <row r="147" spans="1:42">
      <c r="A147" s="2"/>
      <c r="AP147" s="101"/>
    </row>
    <row r="148" spans="1:42">
      <c r="A148" s="2"/>
      <c r="AP148" s="101"/>
    </row>
    <row r="149" spans="1:42">
      <c r="A149" s="2"/>
      <c r="AP149" s="101"/>
    </row>
    <row r="150" spans="1:42">
      <c r="A150" s="2"/>
      <c r="AP150" s="101"/>
    </row>
    <row r="151" spans="1:42">
      <c r="A151" s="2"/>
      <c r="AP151" s="101"/>
    </row>
    <row r="152" spans="1:42">
      <c r="A152" s="2"/>
      <c r="AP152" s="101"/>
    </row>
    <row r="153" spans="1:42">
      <c r="A153" s="2"/>
      <c r="AP153" s="101"/>
    </row>
    <row r="154" spans="1:42">
      <c r="A154" s="2"/>
      <c r="AP154" s="101"/>
    </row>
    <row r="155" spans="1:42">
      <c r="A155" s="2"/>
      <c r="AP155" s="101"/>
    </row>
    <row r="156" spans="1:42">
      <c r="A156" s="2"/>
      <c r="AP156" s="101"/>
    </row>
    <row r="157" spans="1:42">
      <c r="A157" s="2"/>
      <c r="AP157" s="101"/>
    </row>
    <row r="158" spans="1:42">
      <c r="A158" s="2"/>
      <c r="AP158" s="101"/>
    </row>
    <row r="159" spans="1:42">
      <c r="A159" s="2"/>
      <c r="AP159" s="101"/>
    </row>
    <row r="160" spans="1:42">
      <c r="A160" s="2"/>
      <c r="AP160" s="101"/>
    </row>
    <row r="161" spans="1:42">
      <c r="A161" s="2"/>
      <c r="AP161" s="101"/>
    </row>
    <row r="162" spans="1:42">
      <c r="A162" s="2"/>
      <c r="AP162" s="101"/>
    </row>
    <row r="163" spans="1:42">
      <c r="A163" s="2"/>
      <c r="AP163" s="101"/>
    </row>
    <row r="164" spans="1:42">
      <c r="A164" s="2"/>
      <c r="AP164" s="101"/>
    </row>
    <row r="165" spans="1:42">
      <c r="A165" s="2"/>
      <c r="AP165" s="101"/>
    </row>
    <row r="166" spans="1:42">
      <c r="A166" s="2"/>
      <c r="AP166" s="101"/>
    </row>
    <row r="167" spans="1:42">
      <c r="A167" s="2"/>
      <c r="AP167" s="101"/>
    </row>
    <row r="168" spans="1:42">
      <c r="A168" s="2"/>
      <c r="AP168" s="101"/>
    </row>
    <row r="169" spans="1:42">
      <c r="A169" s="2"/>
      <c r="AP169" s="101"/>
    </row>
    <row r="170" spans="1:42">
      <c r="A170" s="2"/>
      <c r="AP170" s="101"/>
    </row>
    <row r="171" spans="1:42">
      <c r="A171" s="2"/>
      <c r="AP171" s="101"/>
    </row>
    <row r="172" spans="1:42">
      <c r="A172" s="2"/>
      <c r="AP172" s="101"/>
    </row>
    <row r="173" spans="1:42">
      <c r="A173" s="2"/>
      <c r="AP173" s="101"/>
    </row>
    <row r="174" spans="1:42">
      <c r="A174" s="2"/>
      <c r="AP174" s="101"/>
    </row>
    <row r="175" spans="1:42">
      <c r="A175" s="2"/>
      <c r="AP175" s="101"/>
    </row>
    <row r="176" spans="1:42">
      <c r="A176" s="2"/>
      <c r="AP176" s="101"/>
    </row>
    <row r="177" spans="1:42">
      <c r="A177" s="2"/>
      <c r="AP177" s="101"/>
    </row>
    <row r="178" spans="1:42">
      <c r="A178" s="2"/>
      <c r="AP178" s="101"/>
    </row>
    <row r="179" spans="1:42">
      <c r="A179" s="2"/>
      <c r="AP179" s="101"/>
    </row>
    <row r="180" spans="1:42">
      <c r="A180" s="2"/>
      <c r="AP180" s="101"/>
    </row>
    <row r="181" spans="1:42">
      <c r="A181" s="2"/>
      <c r="AP181" s="101"/>
    </row>
    <row r="182" spans="1:42">
      <c r="A182" s="2"/>
      <c r="AP182" s="101"/>
    </row>
    <row r="183" spans="1:42">
      <c r="A183" s="2"/>
      <c r="AP183" s="101"/>
    </row>
    <row r="184" spans="1:42">
      <c r="A184" s="2"/>
      <c r="AP184" s="101"/>
    </row>
    <row r="185" spans="1:42">
      <c r="A185" s="2"/>
      <c r="AP185" s="101"/>
    </row>
    <row r="186" spans="1:42">
      <c r="A186" s="2"/>
      <c r="AP186" s="101"/>
    </row>
    <row r="187" spans="1:42">
      <c r="A187" s="2"/>
      <c r="AP187" s="101"/>
    </row>
    <row r="188" spans="1:42">
      <c r="A188" s="2"/>
      <c r="AP188" s="101"/>
    </row>
    <row r="189" spans="1:42">
      <c r="A189" s="2"/>
      <c r="AP189" s="101"/>
    </row>
    <row r="190" spans="1:42">
      <c r="A190" s="2"/>
      <c r="AP190" s="101"/>
    </row>
    <row r="191" spans="1:42">
      <c r="A191" s="2"/>
      <c r="AP191" s="101"/>
    </row>
    <row r="192" spans="1:42">
      <c r="A192" s="2"/>
      <c r="AP192" s="101"/>
    </row>
    <row r="193" spans="1:42">
      <c r="A193" s="2"/>
      <c r="AP193" s="101"/>
    </row>
    <row r="194" spans="1:42">
      <c r="A194" s="2"/>
      <c r="AP194" s="101"/>
    </row>
    <row r="195" spans="1:42">
      <c r="A195" s="2"/>
      <c r="AP195" s="101"/>
    </row>
    <row r="196" spans="1:42">
      <c r="A196" s="2"/>
      <c r="AP196" s="101"/>
    </row>
    <row r="197" spans="1:42">
      <c r="A197" s="2"/>
      <c r="AP197" s="101"/>
    </row>
    <row r="198" spans="1:42">
      <c r="A198" s="2"/>
      <c r="AP198" s="101"/>
    </row>
    <row r="199" spans="1:42">
      <c r="A199" s="2"/>
      <c r="AP199" s="101"/>
    </row>
    <row r="200" spans="1:42">
      <c r="A200" s="2"/>
      <c r="AP200" s="101"/>
    </row>
    <row r="201" spans="1:42">
      <c r="A201" s="2"/>
      <c r="AP201" s="101"/>
    </row>
    <row r="202" spans="1:42">
      <c r="A202" s="2"/>
      <c r="AP202" s="101"/>
    </row>
    <row r="203" spans="1:42">
      <c r="A203" s="2"/>
      <c r="AP203" s="101"/>
    </row>
    <row r="204" spans="1:42">
      <c r="A204" s="2"/>
      <c r="AP204" s="101"/>
    </row>
    <row r="205" spans="1:42">
      <c r="A205" s="2"/>
      <c r="AP205" s="101"/>
    </row>
    <row r="206" spans="1:42">
      <c r="A206" s="2"/>
      <c r="AP206" s="101"/>
    </row>
    <row r="207" spans="1:42">
      <c r="A207" s="2"/>
      <c r="AP207" s="101"/>
    </row>
    <row r="208" spans="1:42">
      <c r="A208" s="2"/>
      <c r="AP208" s="101"/>
    </row>
    <row r="209" spans="1:42">
      <c r="A209" s="2"/>
      <c r="AP209" s="101"/>
    </row>
    <row r="210" spans="1:42">
      <c r="A210" s="2"/>
      <c r="AP210" s="101"/>
    </row>
    <row r="211" spans="1:42">
      <c r="A211" s="2"/>
      <c r="AP211" s="101"/>
    </row>
    <row r="212" spans="1:42">
      <c r="A212" s="2"/>
      <c r="AP212" s="101"/>
    </row>
    <row r="213" spans="1:42">
      <c r="A213" s="2"/>
      <c r="AP213" s="101"/>
    </row>
    <row r="214" spans="1:42">
      <c r="A214" s="2"/>
      <c r="AP214" s="101"/>
    </row>
    <row r="215" spans="1:42">
      <c r="A215" s="2"/>
      <c r="AP215" s="101"/>
    </row>
    <row r="216" spans="1:42">
      <c r="A216" s="2"/>
      <c r="AP216" s="101"/>
    </row>
    <row r="217" spans="1:42">
      <c r="A217" s="2"/>
      <c r="AP217" s="101"/>
    </row>
    <row r="218" spans="1:42">
      <c r="A218" s="2"/>
      <c r="AP218" s="101"/>
    </row>
    <row r="219" spans="1:42">
      <c r="A219" s="2"/>
      <c r="AP219" s="101"/>
    </row>
    <row r="220" spans="1:42">
      <c r="A220" s="2"/>
      <c r="AP220" s="101"/>
    </row>
    <row r="221" spans="1:42">
      <c r="A221" s="2"/>
      <c r="AP221" s="101"/>
    </row>
    <row r="222" spans="1:42">
      <c r="A222" s="2"/>
      <c r="AP222" s="101"/>
    </row>
    <row r="223" spans="1:42">
      <c r="A223" s="2"/>
      <c r="AP223" s="101"/>
    </row>
    <row r="224" spans="1:42">
      <c r="A224" s="2"/>
      <c r="AP224" s="101"/>
    </row>
    <row r="225" spans="1:42">
      <c r="A225" s="2"/>
      <c r="AP225" s="101"/>
    </row>
    <row r="226" spans="1:42">
      <c r="A226" s="2"/>
      <c r="AP226" s="101"/>
    </row>
    <row r="227" spans="1:42">
      <c r="A227" s="2"/>
      <c r="AP227" s="101"/>
    </row>
    <row r="228" spans="1:42">
      <c r="A228" s="2"/>
      <c r="AP228" s="101"/>
    </row>
    <row r="229" spans="1:42">
      <c r="A229" s="2"/>
      <c r="AP229" s="101"/>
    </row>
    <row r="230" spans="1:42">
      <c r="A230" s="2"/>
      <c r="AP230" s="101"/>
    </row>
    <row r="231" spans="1:42">
      <c r="A231" s="2"/>
      <c r="AP231" s="101"/>
    </row>
    <row r="232" spans="1:42">
      <c r="A232" s="2"/>
      <c r="AP232" s="101"/>
    </row>
    <row r="233" spans="1:42">
      <c r="A233" s="2"/>
      <c r="AP233" s="101"/>
    </row>
    <row r="234" spans="1:42">
      <c r="A234" s="2"/>
      <c r="AP234" s="101"/>
    </row>
    <row r="235" spans="1:42">
      <c r="A235" s="2"/>
      <c r="AP235" s="101"/>
    </row>
    <row r="236" spans="1:42">
      <c r="A236" s="2"/>
      <c r="AP236" s="101"/>
    </row>
    <row r="237" spans="1:42">
      <c r="A237" s="2"/>
      <c r="AP237" s="101"/>
    </row>
    <row r="238" spans="1:42">
      <c r="A238" s="2"/>
      <c r="AP238" s="101"/>
    </row>
    <row r="239" spans="1:42">
      <c r="A239" s="2"/>
      <c r="AP239" s="101"/>
    </row>
    <row r="240" spans="1:42">
      <c r="A240" s="2"/>
      <c r="AP240" s="101"/>
    </row>
    <row r="241" spans="1:42">
      <c r="A241" s="2"/>
      <c r="AP241" s="101"/>
    </row>
    <row r="242" spans="1:42">
      <c r="A242" s="2"/>
      <c r="AP242" s="101"/>
    </row>
    <row r="243" spans="1:42">
      <c r="A243" s="2"/>
      <c r="AP243" s="101"/>
    </row>
    <row r="244" spans="1:42">
      <c r="A244" s="2"/>
      <c r="AP244" s="101"/>
    </row>
    <row r="245" spans="1:42">
      <c r="A245" s="2"/>
      <c r="AP245" s="101"/>
    </row>
    <row r="246" spans="1:42">
      <c r="A246" s="2"/>
      <c r="AP246" s="101"/>
    </row>
    <row r="247" spans="1:42">
      <c r="A247" s="2"/>
      <c r="AP247" s="101"/>
    </row>
    <row r="248" spans="1:42">
      <c r="A248" s="2"/>
      <c r="AP248" s="101"/>
    </row>
    <row r="249" spans="1:42">
      <c r="A249" s="2"/>
      <c r="AP249" s="101"/>
    </row>
    <row r="250" spans="1:42">
      <c r="A250" s="2"/>
      <c r="AP250" s="101"/>
    </row>
    <row r="251" spans="1:42">
      <c r="A251" s="2"/>
      <c r="AP251" s="101"/>
    </row>
    <row r="252" spans="1:42">
      <c r="A252" s="2"/>
      <c r="AP252" s="101"/>
    </row>
    <row r="253" spans="1:42">
      <c r="A253" s="2"/>
      <c r="AP253" s="101"/>
    </row>
    <row r="254" spans="1:42">
      <c r="A254" s="2"/>
      <c r="AP254" s="101"/>
    </row>
    <row r="255" spans="1:42">
      <c r="A255" s="2"/>
      <c r="AP255" s="101"/>
    </row>
    <row r="256" spans="1:42">
      <c r="A256" s="2"/>
      <c r="AP256" s="101"/>
    </row>
    <row r="257" spans="1:42">
      <c r="A257" s="2"/>
      <c r="AP257" s="101"/>
    </row>
    <row r="258" spans="1:42">
      <c r="A258" s="2"/>
      <c r="AP258" s="101"/>
    </row>
    <row r="259" spans="1:42">
      <c r="A259" s="2"/>
      <c r="AP259" s="101"/>
    </row>
    <row r="260" spans="1:42">
      <c r="A260" s="2"/>
      <c r="AP260" s="101"/>
    </row>
    <row r="261" spans="1:42">
      <c r="A261" s="2"/>
      <c r="AP261" s="101"/>
    </row>
    <row r="262" spans="1:42">
      <c r="A262" s="2"/>
      <c r="AP262" s="101"/>
    </row>
    <row r="263" spans="1:42">
      <c r="A263" s="2"/>
      <c r="AP263" s="101"/>
    </row>
    <row r="264" spans="1:42">
      <c r="A264" s="2"/>
      <c r="AP264" s="101"/>
    </row>
    <row r="265" spans="1:42">
      <c r="A265" s="2"/>
      <c r="AP265" s="101"/>
    </row>
    <row r="266" spans="1:42">
      <c r="A266" s="2"/>
      <c r="AP266" s="101"/>
    </row>
    <row r="267" spans="1:42">
      <c r="A267" s="2"/>
      <c r="AP267" s="101"/>
    </row>
    <row r="268" spans="1:42">
      <c r="A268" s="2"/>
      <c r="AP268" s="101"/>
    </row>
    <row r="269" spans="1:42">
      <c r="A269" s="2"/>
      <c r="AP269" s="101"/>
    </row>
    <row r="270" spans="1:42">
      <c r="A270" s="2"/>
      <c r="AP270" s="101"/>
    </row>
    <row r="271" spans="1:42">
      <c r="A271" s="2"/>
      <c r="AP271" s="101"/>
    </row>
    <row r="272" spans="1:42">
      <c r="A272" s="2"/>
      <c r="AP272" s="101"/>
    </row>
    <row r="273" spans="1:42">
      <c r="A273" s="2"/>
      <c r="AP273" s="101"/>
    </row>
    <row r="274" spans="1:42">
      <c r="A274" s="2"/>
      <c r="AP274" s="101"/>
    </row>
    <row r="275" spans="1:42">
      <c r="A275" s="2"/>
      <c r="AP275" s="101"/>
    </row>
    <row r="276" spans="1:42">
      <c r="A276" s="2"/>
      <c r="AP276" s="101"/>
    </row>
    <row r="277" spans="1:42">
      <c r="A277" s="2"/>
      <c r="AP277" s="101"/>
    </row>
    <row r="278" spans="1:42">
      <c r="A278" s="2"/>
      <c r="AP278" s="101"/>
    </row>
    <row r="279" spans="1:42">
      <c r="A279" s="2"/>
      <c r="AP279" s="101"/>
    </row>
    <row r="280" spans="1:42">
      <c r="A280" s="2"/>
      <c r="AP280" s="101"/>
    </row>
    <row r="281" spans="1:42">
      <c r="A281" s="2"/>
      <c r="AP281" s="101"/>
    </row>
    <row r="282" spans="1:42">
      <c r="A282" s="2"/>
      <c r="AP282" s="101"/>
    </row>
    <row r="283" spans="1:42">
      <c r="A283" s="2"/>
      <c r="AP283" s="101"/>
    </row>
    <row r="284" spans="1:42">
      <c r="A284" s="2"/>
      <c r="AP284" s="101"/>
    </row>
    <row r="285" spans="1:42">
      <c r="A285" s="2"/>
      <c r="AP285" s="101"/>
    </row>
    <row r="286" spans="1:42">
      <c r="A286" s="2"/>
      <c r="AP286" s="101"/>
    </row>
    <row r="287" spans="1:42">
      <c r="A287" s="2"/>
      <c r="AP287" s="101"/>
    </row>
    <row r="288" spans="1:42">
      <c r="A288" s="2"/>
      <c r="AP288" s="101"/>
    </row>
    <row r="289" spans="1:42">
      <c r="A289" s="2"/>
      <c r="AP289" s="101"/>
    </row>
    <row r="290" spans="1:42">
      <c r="A290" s="2"/>
      <c r="AP290" s="101"/>
    </row>
    <row r="291" spans="1:42">
      <c r="A291" s="2"/>
      <c r="AP291" s="101"/>
    </row>
    <row r="292" spans="1:42">
      <c r="A292" s="2"/>
      <c r="AP292" s="101"/>
    </row>
    <row r="293" spans="1:42">
      <c r="A293" s="2"/>
      <c r="AP293" s="101"/>
    </row>
    <row r="294" spans="1:42">
      <c r="A294" s="2"/>
      <c r="AP294" s="101"/>
    </row>
    <row r="295" spans="1:42">
      <c r="A295" s="2"/>
      <c r="AP295" s="101"/>
    </row>
    <row r="296" spans="1:42">
      <c r="A296" s="2"/>
      <c r="AP296" s="101"/>
    </row>
    <row r="297" spans="1:42">
      <c r="A297" s="2"/>
      <c r="AP297" s="101"/>
    </row>
    <row r="298" spans="1:42">
      <c r="A298" s="2"/>
      <c r="AP298" s="101"/>
    </row>
    <row r="299" spans="1:42">
      <c r="A299" s="2"/>
      <c r="AP299" s="101"/>
    </row>
    <row r="300" spans="1:42">
      <c r="A300" s="2"/>
      <c r="AP300" s="101"/>
    </row>
    <row r="301" spans="1:42">
      <c r="A301" s="2"/>
      <c r="AP301" s="101"/>
    </row>
    <row r="302" spans="1:42">
      <c r="A302" s="2"/>
      <c r="AP302" s="101"/>
    </row>
    <row r="303" spans="1:42">
      <c r="A303" s="2"/>
      <c r="AP303" s="101"/>
    </row>
    <row r="304" spans="1:42">
      <c r="A304" s="2"/>
      <c r="AP304" s="101"/>
    </row>
    <row r="305" spans="1:42">
      <c r="A305" s="2"/>
      <c r="AP305" s="101"/>
    </row>
    <row r="306" spans="1:42">
      <c r="A306" s="2"/>
      <c r="AP306" s="101"/>
    </row>
    <row r="307" spans="1:42">
      <c r="A307" s="2"/>
      <c r="AP307" s="101"/>
    </row>
    <row r="308" spans="1:42">
      <c r="A308" s="2"/>
      <c r="AP308" s="101"/>
    </row>
    <row r="309" spans="1:42">
      <c r="A309" s="2"/>
      <c r="AP309" s="101"/>
    </row>
    <row r="310" spans="1:42">
      <c r="A310" s="2"/>
      <c r="AP310" s="101"/>
    </row>
    <row r="311" spans="1:42">
      <c r="A311" s="2"/>
      <c r="AP311" s="101"/>
    </row>
    <row r="312" spans="1:42">
      <c r="A312" s="2"/>
      <c r="AP312" s="101"/>
    </row>
    <row r="313" spans="1:42">
      <c r="A313" s="2"/>
      <c r="AP313" s="101"/>
    </row>
    <row r="314" spans="1:42">
      <c r="A314" s="2"/>
      <c r="AP314" s="101"/>
    </row>
    <row r="315" spans="1:42">
      <c r="A315" s="2"/>
      <c r="AP315" s="101"/>
    </row>
    <row r="316" spans="1:42">
      <c r="A316" s="2"/>
      <c r="AP316" s="101"/>
    </row>
    <row r="317" spans="1:42">
      <c r="A317" s="2"/>
      <c r="AP317" s="101"/>
    </row>
    <row r="318" spans="1:42">
      <c r="A318" s="2"/>
      <c r="AP318" s="101"/>
    </row>
    <row r="319" spans="1:42">
      <c r="A319" s="2"/>
      <c r="AP319" s="101"/>
    </row>
    <row r="320" spans="1:42">
      <c r="A320" s="2"/>
      <c r="AP320" s="101"/>
    </row>
    <row r="321" spans="1:42">
      <c r="A321" s="2"/>
      <c r="AP321" s="101"/>
    </row>
    <row r="322" spans="1:42">
      <c r="A322" s="2"/>
      <c r="AP322" s="101"/>
    </row>
    <row r="323" spans="1:42">
      <c r="A323" s="2"/>
      <c r="AP323" s="101"/>
    </row>
    <row r="324" spans="1:42">
      <c r="A324" s="2"/>
      <c r="AP324" s="101"/>
    </row>
    <row r="325" spans="1:42">
      <c r="A325" s="2"/>
      <c r="AP325" s="101"/>
    </row>
    <row r="326" spans="1:42">
      <c r="A326" s="2"/>
      <c r="AP326" s="101"/>
    </row>
    <row r="327" spans="1:42">
      <c r="A327" s="2"/>
      <c r="AP327" s="101"/>
    </row>
    <row r="328" spans="1:42">
      <c r="A328" s="2"/>
      <c r="AP328" s="101"/>
    </row>
    <row r="329" spans="1:42">
      <c r="A329" s="2"/>
      <c r="AP329" s="101"/>
    </row>
    <row r="330" spans="1:42">
      <c r="A330" s="2"/>
      <c r="AP330" s="101"/>
    </row>
    <row r="331" spans="1:42">
      <c r="A331" s="2"/>
      <c r="AP331" s="101"/>
    </row>
    <row r="332" spans="1:42">
      <c r="A332" s="2"/>
      <c r="AP332" s="101"/>
    </row>
    <row r="333" spans="1:42">
      <c r="A333" s="2"/>
      <c r="AP333" s="101"/>
    </row>
    <row r="334" spans="1:42">
      <c r="A334" s="2"/>
      <c r="AP334" s="101"/>
    </row>
    <row r="335" spans="1:42">
      <c r="A335" s="2"/>
      <c r="AP335" s="101"/>
    </row>
    <row r="336" spans="1:42">
      <c r="A336" s="2"/>
      <c r="AP336" s="101"/>
    </row>
    <row r="337" spans="1:42">
      <c r="A337" s="2"/>
      <c r="AP337" s="101"/>
    </row>
    <row r="338" spans="1:42">
      <c r="A338" s="2"/>
      <c r="AP338" s="101"/>
    </row>
    <row r="339" spans="1:42">
      <c r="A339" s="2"/>
      <c r="AP339" s="101"/>
    </row>
    <row r="340" spans="1:42">
      <c r="A340" s="2"/>
      <c r="AP340" s="101"/>
    </row>
    <row r="341" spans="1:42">
      <c r="A341" s="2"/>
      <c r="AP341" s="101"/>
    </row>
    <row r="342" spans="1:42">
      <c r="A342" s="2"/>
      <c r="AP342" s="101"/>
    </row>
    <row r="343" spans="1:42">
      <c r="A343" s="2"/>
      <c r="AP343" s="101"/>
    </row>
    <row r="344" spans="1:42">
      <c r="A344" s="2"/>
      <c r="AP344" s="101"/>
    </row>
    <row r="345" spans="1:42">
      <c r="A345" s="2"/>
      <c r="AP345" s="101"/>
    </row>
    <row r="346" spans="1:42">
      <c r="A346" s="2"/>
      <c r="AP346" s="101"/>
    </row>
    <row r="347" spans="1:42">
      <c r="A347" s="2"/>
      <c r="AP347" s="101"/>
    </row>
    <row r="348" spans="1:42">
      <c r="A348" s="2"/>
      <c r="AP348" s="101"/>
    </row>
    <row r="349" spans="1:42">
      <c r="A349" s="2"/>
      <c r="AP349" s="101"/>
    </row>
    <row r="350" spans="1:42">
      <c r="A350" s="2"/>
      <c r="AP350" s="101"/>
    </row>
    <row r="351" spans="1:42">
      <c r="A351" s="2"/>
      <c r="AP351" s="101"/>
    </row>
    <row r="352" spans="1:42">
      <c r="A352" s="2"/>
      <c r="AP352" s="101"/>
    </row>
    <row r="353" spans="1:42">
      <c r="A353" s="2"/>
      <c r="AP353" s="101"/>
    </row>
    <row r="354" spans="1:42">
      <c r="A354" s="2"/>
      <c r="AP354" s="101"/>
    </row>
    <row r="355" spans="1:42">
      <c r="A355" s="2"/>
      <c r="AP355" s="101"/>
    </row>
    <row r="356" spans="1:42">
      <c r="A356" s="2"/>
      <c r="AP356" s="101"/>
    </row>
    <row r="357" spans="1:42">
      <c r="A357" s="2"/>
      <c r="AP357" s="101"/>
    </row>
    <row r="358" spans="1:42">
      <c r="A358" s="2"/>
      <c r="AP358" s="101"/>
    </row>
    <row r="359" spans="1:42">
      <c r="A359" s="2"/>
      <c r="AP359" s="101"/>
    </row>
    <row r="360" spans="1:42">
      <c r="A360" s="2"/>
      <c r="AP360" s="101"/>
    </row>
    <row r="361" spans="1:42">
      <c r="A361" s="2"/>
      <c r="AP361" s="101"/>
    </row>
    <row r="362" spans="1:42">
      <c r="A362" s="2"/>
      <c r="AP362" s="101"/>
    </row>
    <row r="363" spans="1:42">
      <c r="A363" s="2"/>
      <c r="AP363" s="101"/>
    </row>
    <row r="364" spans="1:42">
      <c r="A364" s="2"/>
      <c r="AP364" s="101"/>
    </row>
    <row r="365" spans="1:42">
      <c r="A365" s="2"/>
      <c r="AP365" s="101"/>
    </row>
    <row r="366" spans="1:42">
      <c r="A366" s="2"/>
      <c r="AP366" s="101"/>
    </row>
    <row r="367" spans="1:42">
      <c r="A367" s="2"/>
      <c r="AP367" s="101"/>
    </row>
    <row r="368" spans="1:42">
      <c r="A368" s="2"/>
      <c r="AP368" s="101"/>
    </row>
    <row r="369" spans="1:42">
      <c r="A369" s="2"/>
      <c r="AP369" s="101"/>
    </row>
    <row r="370" spans="1:42">
      <c r="A370" s="2"/>
      <c r="AP370" s="101"/>
    </row>
    <row r="371" spans="1:42">
      <c r="A371" s="2"/>
      <c r="AP371" s="101"/>
    </row>
    <row r="372" spans="1:42">
      <c r="A372" s="2"/>
      <c r="AP372" s="101"/>
    </row>
    <row r="373" spans="1:42">
      <c r="A373" s="2"/>
      <c r="AP373" s="101"/>
    </row>
    <row r="374" spans="1:42">
      <c r="A374" s="2"/>
      <c r="AP374" s="101"/>
    </row>
    <row r="375" spans="1:42">
      <c r="A375" s="2"/>
      <c r="AP375" s="101"/>
    </row>
    <row r="376" spans="1:42">
      <c r="A376" s="2"/>
      <c r="AP376" s="101"/>
    </row>
    <row r="377" spans="1:42">
      <c r="A377" s="2"/>
      <c r="AP377" s="101"/>
    </row>
    <row r="378" spans="1:42">
      <c r="A378" s="2"/>
      <c r="AP378" s="101"/>
    </row>
    <row r="379" spans="1:42">
      <c r="A379" s="2"/>
      <c r="AP379" s="101"/>
    </row>
    <row r="380" spans="1:42">
      <c r="A380" s="2"/>
      <c r="AP380" s="101"/>
    </row>
    <row r="381" spans="1:42">
      <c r="A381" s="2"/>
      <c r="AP381" s="101"/>
    </row>
    <row r="382" spans="1:42">
      <c r="A382" s="2"/>
      <c r="AP382" s="101"/>
    </row>
    <row r="383" spans="1:42">
      <c r="A383" s="2"/>
      <c r="AP383" s="101"/>
    </row>
    <row r="384" spans="1:42">
      <c r="A384" s="2"/>
      <c r="AP384" s="101"/>
    </row>
    <row r="385" spans="1:42">
      <c r="A385" s="2"/>
      <c r="AP385" s="101"/>
    </row>
    <row r="386" spans="1:42">
      <c r="A386" s="2"/>
      <c r="AP386" s="101"/>
    </row>
    <row r="387" spans="1:42">
      <c r="A387" s="2"/>
      <c r="AP387" s="101"/>
    </row>
    <row r="388" spans="1:42">
      <c r="A388" s="2"/>
      <c r="AP388" s="101"/>
    </row>
    <row r="389" spans="1:42">
      <c r="A389" s="2"/>
      <c r="AP389" s="101"/>
    </row>
    <row r="390" spans="1:42">
      <c r="A390" s="2"/>
      <c r="AP390" s="101"/>
    </row>
    <row r="391" spans="1:42">
      <c r="A391" s="2"/>
      <c r="AP391" s="101"/>
    </row>
    <row r="392" spans="1:42">
      <c r="A392" s="2"/>
      <c r="AP392" s="101"/>
    </row>
    <row r="393" spans="1:42">
      <c r="A393" s="2"/>
      <c r="AP393" s="101"/>
    </row>
    <row r="394" spans="1:42">
      <c r="A394" s="2"/>
      <c r="AP394" s="101"/>
    </row>
    <row r="395" spans="1:42">
      <c r="A395" s="2"/>
      <c r="AP395" s="101"/>
    </row>
    <row r="396" spans="1:42">
      <c r="A396" s="2"/>
      <c r="AP396" s="101"/>
    </row>
    <row r="397" spans="1:42">
      <c r="A397" s="2"/>
      <c r="AP397" s="101"/>
    </row>
    <row r="398" spans="1:42">
      <c r="A398" s="2"/>
      <c r="AP398" s="101"/>
    </row>
    <row r="399" spans="1:42">
      <c r="A399" s="2"/>
      <c r="AP399" s="101"/>
    </row>
    <row r="400" spans="1:42">
      <c r="A400" s="2"/>
      <c r="AP400" s="101"/>
    </row>
    <row r="401" spans="1:42">
      <c r="A401" s="2"/>
      <c r="AP401" s="101"/>
    </row>
    <row r="402" spans="1:42">
      <c r="A402" s="2"/>
      <c r="AP402" s="101"/>
    </row>
    <row r="403" spans="1:42">
      <c r="A403" s="2"/>
      <c r="AP403" s="101"/>
    </row>
    <row r="404" spans="1:42">
      <c r="A404" s="2"/>
      <c r="AP404" s="101"/>
    </row>
    <row r="405" spans="1:42">
      <c r="A405" s="2"/>
      <c r="AP405" s="101"/>
    </row>
    <row r="406" spans="1:42">
      <c r="A406" s="2"/>
      <c r="AP406" s="101"/>
    </row>
    <row r="407" spans="1:42">
      <c r="A407" s="2"/>
      <c r="AP407" s="101"/>
    </row>
    <row r="408" spans="1:42">
      <c r="A408" s="2"/>
      <c r="AP408" s="101"/>
    </row>
    <row r="409" spans="1:42">
      <c r="A409" s="2"/>
      <c r="AP409" s="101"/>
    </row>
    <row r="410" spans="1:42">
      <c r="A410" s="2"/>
      <c r="AP410" s="101"/>
    </row>
    <row r="411" spans="1:42">
      <c r="A411" s="2"/>
      <c r="AP411" s="101"/>
    </row>
    <row r="412" spans="1:42">
      <c r="A412" s="2"/>
      <c r="AP412" s="101"/>
    </row>
    <row r="413" spans="1:42">
      <c r="A413" s="2"/>
      <c r="AP413" s="101"/>
    </row>
    <row r="414" spans="1:42">
      <c r="A414" s="2"/>
      <c r="AP414" s="101"/>
    </row>
    <row r="415" spans="1:42">
      <c r="A415" s="2"/>
      <c r="AP415" s="101"/>
    </row>
    <row r="416" spans="1:42">
      <c r="A416" s="2"/>
      <c r="AP416" s="101"/>
    </row>
    <row r="417" spans="1:42">
      <c r="A417" s="2"/>
      <c r="AP417" s="101"/>
    </row>
    <row r="418" spans="1:42">
      <c r="A418" s="2"/>
      <c r="AP418" s="101"/>
    </row>
    <row r="419" spans="1:42">
      <c r="A419" s="2"/>
      <c r="AP419" s="101"/>
    </row>
    <row r="420" spans="1:42">
      <c r="A420" s="2"/>
      <c r="AP420" s="101"/>
    </row>
    <row r="421" spans="1:42">
      <c r="A421" s="2"/>
      <c r="AP421" s="101"/>
    </row>
    <row r="422" spans="1:42">
      <c r="A422" s="2"/>
      <c r="AP422" s="101"/>
    </row>
    <row r="423" spans="1:42">
      <c r="A423" s="2"/>
      <c r="AP423" s="101"/>
    </row>
    <row r="424" spans="1:42">
      <c r="A424" s="2"/>
      <c r="AP424" s="101"/>
    </row>
    <row r="425" spans="1:42">
      <c r="A425" s="2"/>
      <c r="AP425" s="101"/>
    </row>
    <row r="426" spans="1:42">
      <c r="A426" s="2"/>
      <c r="AP426" s="101"/>
    </row>
    <row r="427" spans="1:42">
      <c r="A427" s="2"/>
      <c r="AP427" s="101"/>
    </row>
    <row r="428" spans="1:42">
      <c r="A428" s="2"/>
      <c r="AP428" s="101"/>
    </row>
    <row r="429" spans="1:42">
      <c r="A429" s="2"/>
      <c r="AP429" s="101"/>
    </row>
    <row r="430" spans="1:42">
      <c r="A430" s="2"/>
      <c r="AP430" s="101"/>
    </row>
    <row r="431" spans="1:42">
      <c r="A431" s="2"/>
      <c r="AP431" s="101"/>
    </row>
    <row r="432" spans="1:42">
      <c r="A432" s="2"/>
      <c r="AP432" s="101"/>
    </row>
    <row r="433" spans="1:42">
      <c r="A433" s="2"/>
      <c r="AP433" s="101"/>
    </row>
    <row r="434" spans="1:42">
      <c r="A434" s="2"/>
      <c r="AP434" s="101"/>
    </row>
    <row r="435" spans="1:42">
      <c r="A435" s="2"/>
      <c r="AP435" s="101"/>
    </row>
    <row r="436" spans="1:42">
      <c r="A436" s="2"/>
      <c r="AP436" s="101"/>
    </row>
    <row r="437" spans="1:42">
      <c r="A437" s="2"/>
      <c r="AP437" s="101"/>
    </row>
    <row r="438" spans="1:42">
      <c r="A438" s="2"/>
      <c r="AP438" s="101"/>
    </row>
    <row r="439" spans="1:42">
      <c r="A439" s="2"/>
      <c r="AP439" s="101"/>
    </row>
    <row r="440" spans="1:42">
      <c r="A440" s="2"/>
      <c r="AP440" s="101"/>
    </row>
    <row r="441" spans="1:42">
      <c r="A441" s="2"/>
      <c r="AP441" s="101"/>
    </row>
    <row r="442" spans="1:42">
      <c r="A442" s="2"/>
      <c r="AP442" s="101"/>
    </row>
    <row r="443" spans="1:42">
      <c r="A443" s="2"/>
      <c r="AP443" s="101"/>
    </row>
    <row r="444" spans="1:42">
      <c r="A444" s="2"/>
      <c r="AP444" s="101"/>
    </row>
    <row r="445" spans="1:42">
      <c r="A445" s="2"/>
      <c r="AP445" s="101"/>
    </row>
    <row r="446" spans="1:42">
      <c r="A446" s="2"/>
      <c r="AP446" s="101"/>
    </row>
    <row r="447" spans="1:42">
      <c r="A447" s="2"/>
      <c r="AP447" s="101"/>
    </row>
    <row r="448" spans="1:42">
      <c r="A448" s="2"/>
      <c r="AP448" s="101"/>
    </row>
    <row r="449" spans="1:42">
      <c r="A449" s="2"/>
      <c r="AP449" s="101"/>
    </row>
    <row r="450" spans="1:42">
      <c r="A450" s="2"/>
      <c r="AP450" s="101"/>
    </row>
    <row r="451" spans="1:42">
      <c r="A451" s="2"/>
      <c r="AP451" s="101"/>
    </row>
    <row r="452" spans="1:42">
      <c r="A452" s="2"/>
      <c r="AP452" s="101"/>
    </row>
    <row r="453" spans="1:42">
      <c r="A453" s="2"/>
      <c r="AP453" s="101"/>
    </row>
    <row r="454" spans="1:42">
      <c r="A454" s="2"/>
      <c r="AP454" s="101"/>
    </row>
    <row r="455" spans="1:42">
      <c r="A455" s="2"/>
      <c r="AP455" s="101"/>
    </row>
    <row r="456" spans="1:42">
      <c r="A456" s="2"/>
      <c r="AP456" s="101"/>
    </row>
    <row r="457" spans="1:42">
      <c r="A457" s="2"/>
      <c r="AP457" s="101"/>
    </row>
    <row r="458" spans="1:42">
      <c r="A458" s="2"/>
      <c r="AP458" s="101"/>
    </row>
    <row r="459" spans="1:42">
      <c r="A459" s="2"/>
      <c r="AP459" s="101"/>
    </row>
    <row r="460" spans="1:42">
      <c r="A460" s="2"/>
      <c r="AP460" s="101"/>
    </row>
    <row r="461" spans="1:42">
      <c r="A461" s="2"/>
      <c r="AP461" s="101"/>
    </row>
    <row r="462" spans="1:42">
      <c r="A462" s="2"/>
      <c r="AP462" s="101"/>
    </row>
    <row r="463" spans="1:42">
      <c r="A463" s="2"/>
      <c r="AP463" s="101"/>
    </row>
    <row r="464" spans="1:42">
      <c r="A464" s="2"/>
      <c r="AP464" s="101"/>
    </row>
    <row r="465" spans="1:42">
      <c r="A465" s="2"/>
      <c r="AP465" s="101"/>
    </row>
    <row r="466" spans="1:42">
      <c r="A466" s="2"/>
      <c r="AP466" s="101"/>
    </row>
    <row r="467" spans="1:42">
      <c r="A467" s="2"/>
      <c r="AP467" s="101"/>
    </row>
    <row r="468" spans="1:42">
      <c r="A468" s="2"/>
      <c r="AP468" s="101"/>
    </row>
    <row r="469" spans="1:42">
      <c r="A469" s="2"/>
      <c r="AP469" s="101"/>
    </row>
    <row r="470" spans="1:42">
      <c r="A470" s="2"/>
      <c r="AP470" s="101"/>
    </row>
    <row r="471" spans="1:42">
      <c r="A471" s="2"/>
      <c r="AP471" s="101"/>
    </row>
    <row r="472" spans="1:42">
      <c r="A472" s="2"/>
      <c r="AP472" s="101"/>
    </row>
    <row r="473" spans="1:42">
      <c r="A473" s="2"/>
      <c r="AP473" s="101"/>
    </row>
    <row r="474" spans="1:42">
      <c r="A474" s="2"/>
      <c r="AP474" s="101"/>
    </row>
    <row r="475" spans="1:42">
      <c r="A475" s="2"/>
      <c r="AP475" s="101"/>
    </row>
    <row r="476" spans="1:42">
      <c r="A476" s="2"/>
      <c r="AP476" s="101"/>
    </row>
    <row r="477" spans="1:42">
      <c r="A477" s="2"/>
      <c r="AP477" s="101"/>
    </row>
    <row r="478" spans="1:42">
      <c r="A478" s="2"/>
      <c r="AP478" s="101"/>
    </row>
    <row r="479" spans="1:42">
      <c r="A479" s="2"/>
      <c r="AP479" s="101"/>
    </row>
    <row r="480" spans="1:42">
      <c r="A480" s="2"/>
      <c r="AP480" s="101"/>
    </row>
    <row r="481" spans="1:42">
      <c r="A481" s="2"/>
      <c r="AP481" s="101"/>
    </row>
    <row r="482" spans="1:42">
      <c r="A482" s="2"/>
      <c r="AP482" s="101"/>
    </row>
    <row r="483" spans="1:42">
      <c r="A483" s="2"/>
      <c r="AP483" s="101"/>
    </row>
    <row r="484" spans="1:42">
      <c r="A484" s="2"/>
      <c r="AP484" s="101"/>
    </row>
    <row r="485" spans="1:42">
      <c r="A485" s="2"/>
      <c r="AP485" s="101"/>
    </row>
    <row r="486" spans="1:42">
      <c r="A486" s="2"/>
      <c r="AP486" s="101"/>
    </row>
    <row r="487" spans="1:42">
      <c r="A487" s="2"/>
      <c r="AP487" s="101"/>
    </row>
    <row r="488" spans="1:42">
      <c r="A488" s="2"/>
      <c r="AP488" s="101"/>
    </row>
    <row r="489" spans="1:42">
      <c r="A489" s="2"/>
      <c r="AP489" s="101"/>
    </row>
    <row r="490" spans="1:42">
      <c r="A490" s="2"/>
      <c r="AP490" s="101"/>
    </row>
    <row r="491" spans="1:42">
      <c r="A491" s="2"/>
      <c r="AP491" s="101"/>
    </row>
    <row r="492" spans="1:42">
      <c r="A492" s="2"/>
      <c r="AP492" s="101"/>
    </row>
    <row r="493" spans="1:42">
      <c r="A493" s="2"/>
      <c r="AP493" s="101"/>
    </row>
    <row r="494" spans="1:42">
      <c r="A494" s="2"/>
      <c r="AP494" s="101"/>
    </row>
    <row r="495" spans="1:42">
      <c r="A495" s="2"/>
      <c r="AP495" s="101"/>
    </row>
    <row r="496" spans="1:42">
      <c r="A496" s="2"/>
      <c r="AP496" s="101"/>
    </row>
    <row r="497" spans="1:42">
      <c r="A497" s="2"/>
      <c r="AP497" s="101"/>
    </row>
    <row r="498" spans="1:42">
      <c r="A498" s="2"/>
      <c r="AP498" s="101"/>
    </row>
    <row r="499" spans="1:42">
      <c r="A499" s="2"/>
      <c r="AP499" s="101"/>
    </row>
    <row r="500" spans="1:42">
      <c r="A500" s="2"/>
      <c r="AP500" s="101"/>
    </row>
    <row r="501" spans="1:42">
      <c r="A501" s="2"/>
      <c r="AP501" s="101"/>
    </row>
    <row r="502" spans="1:42">
      <c r="A502" s="2"/>
      <c r="AP502" s="101"/>
    </row>
    <row r="503" spans="1:42">
      <c r="A503" s="2"/>
      <c r="AP503" s="101"/>
    </row>
    <row r="504" spans="1:42">
      <c r="A504" s="2"/>
      <c r="AP504" s="101"/>
    </row>
    <row r="505" spans="1:42">
      <c r="A505" s="2"/>
      <c r="AP505" s="101"/>
    </row>
    <row r="506" spans="1:42">
      <c r="A506" s="2"/>
      <c r="AP506" s="101"/>
    </row>
    <row r="507" spans="1:42">
      <c r="A507" s="2"/>
      <c r="AP507" s="101"/>
    </row>
    <row r="508" spans="1:42">
      <c r="A508" s="2"/>
      <c r="AP508" s="101"/>
    </row>
    <row r="509" spans="1:42">
      <c r="A509" s="2"/>
      <c r="AP509" s="101"/>
    </row>
    <row r="510" spans="1:42">
      <c r="A510" s="2"/>
      <c r="AP510" s="101"/>
    </row>
    <row r="511" spans="1:42">
      <c r="A511" s="2"/>
      <c r="AP511" s="101"/>
    </row>
    <row r="512" spans="1:42">
      <c r="A512" s="2"/>
      <c r="AP512" s="101"/>
    </row>
    <row r="513" spans="1:42">
      <c r="A513" s="2"/>
      <c r="AP513" s="101"/>
    </row>
    <row r="514" spans="1:42">
      <c r="A514" s="2"/>
      <c r="AP514" s="101"/>
    </row>
    <row r="515" spans="1:42">
      <c r="A515" s="2"/>
      <c r="AP515" s="101"/>
    </row>
    <row r="516" spans="1:42">
      <c r="A516" s="2"/>
      <c r="AP516" s="101"/>
    </row>
    <row r="517" spans="1:42">
      <c r="A517" s="2"/>
      <c r="AP517" s="101"/>
    </row>
    <row r="518" spans="1:42">
      <c r="A518" s="2"/>
      <c r="AP518" s="101"/>
    </row>
    <row r="519" spans="1:42">
      <c r="A519" s="2"/>
      <c r="AP519" s="101"/>
    </row>
    <row r="520" spans="1:42">
      <c r="A520" s="2"/>
      <c r="AP520" s="101"/>
    </row>
    <row r="521" spans="1:42">
      <c r="A521" s="2"/>
      <c r="AP521" s="101"/>
    </row>
    <row r="522" spans="1:42">
      <c r="A522" s="2"/>
      <c r="AP522" s="101"/>
    </row>
    <row r="523" spans="1:42">
      <c r="A523" s="2"/>
      <c r="AP523" s="101"/>
    </row>
    <row r="524" spans="1:42">
      <c r="A524" s="2"/>
      <c r="AP524" s="101"/>
    </row>
    <row r="525" spans="1:42">
      <c r="A525" s="2"/>
      <c r="AP525" s="101"/>
    </row>
    <row r="526" spans="1:42">
      <c r="A526" s="2"/>
      <c r="AP526" s="101"/>
    </row>
    <row r="527" spans="1:42">
      <c r="A527" s="2"/>
      <c r="AP527" s="101"/>
    </row>
    <row r="528" spans="1:42">
      <c r="A528" s="2"/>
      <c r="AP528" s="101"/>
    </row>
    <row r="529" spans="1:42">
      <c r="A529" s="2"/>
      <c r="AP529" s="101"/>
    </row>
    <row r="530" spans="1:42">
      <c r="A530" s="2"/>
      <c r="AP530" s="101"/>
    </row>
    <row r="531" spans="1:42">
      <c r="A531" s="2"/>
      <c r="AP531" s="101"/>
    </row>
    <row r="532" spans="1:42">
      <c r="A532" s="2"/>
      <c r="AP532" s="101"/>
    </row>
    <row r="533" spans="1:42">
      <c r="A533" s="2"/>
      <c r="AP533" s="101"/>
    </row>
    <row r="534" spans="1:42">
      <c r="A534" s="2"/>
      <c r="AP534" s="101"/>
    </row>
    <row r="535" spans="1:42">
      <c r="A535" s="2"/>
      <c r="AP535" s="101"/>
    </row>
    <row r="536" spans="1:42">
      <c r="A536" s="2"/>
      <c r="AP536" s="101"/>
    </row>
    <row r="537" spans="1:42">
      <c r="A537" s="2"/>
      <c r="AP537" s="101"/>
    </row>
    <row r="538" spans="1:42">
      <c r="A538" s="2"/>
      <c r="AP538" s="101"/>
    </row>
    <row r="539" spans="1:42">
      <c r="A539" s="2"/>
      <c r="AP539" s="101"/>
    </row>
    <row r="540" spans="1:42">
      <c r="A540" s="2"/>
      <c r="AP540" s="101"/>
    </row>
    <row r="541" spans="1:42">
      <c r="A541" s="2"/>
      <c r="AP541" s="101"/>
    </row>
    <row r="542" spans="1:42">
      <c r="A542" s="2"/>
      <c r="AP542" s="101"/>
    </row>
    <row r="543" spans="1:42">
      <c r="A543" s="2"/>
      <c r="AP543" s="101"/>
    </row>
    <row r="544" spans="1:42">
      <c r="A544" s="2"/>
      <c r="AP544" s="101"/>
    </row>
    <row r="545" spans="1:42">
      <c r="A545" s="2"/>
      <c r="AP545" s="101"/>
    </row>
    <row r="546" spans="1:42">
      <c r="A546" s="2"/>
      <c r="AP546" s="101"/>
    </row>
    <row r="547" spans="1:42">
      <c r="A547" s="2"/>
      <c r="AP547" s="101"/>
    </row>
    <row r="548" spans="1:42">
      <c r="A548" s="2"/>
      <c r="AP548" s="101"/>
    </row>
    <row r="549" spans="1:42">
      <c r="A549" s="2"/>
      <c r="AP549" s="101"/>
    </row>
    <row r="550" spans="1:42">
      <c r="A550" s="2"/>
      <c r="AP550" s="101"/>
    </row>
    <row r="551" spans="1:42">
      <c r="A551" s="2"/>
      <c r="AP551" s="101"/>
    </row>
    <row r="552" spans="1:42">
      <c r="A552" s="2"/>
      <c r="AP552" s="101"/>
    </row>
    <row r="553" spans="1:42">
      <c r="A553" s="2"/>
      <c r="AP553" s="101"/>
    </row>
    <row r="554" spans="1:42">
      <c r="A554" s="2"/>
      <c r="AP554" s="101"/>
    </row>
    <row r="555" spans="1:42">
      <c r="A555" s="2"/>
      <c r="AP555" s="101"/>
    </row>
    <row r="556" spans="1:42">
      <c r="A556" s="2"/>
      <c r="AP556" s="101"/>
    </row>
    <row r="557" spans="1:42">
      <c r="A557" s="2"/>
      <c r="AP557" s="101"/>
    </row>
    <row r="558" spans="1:42">
      <c r="A558" s="2"/>
      <c r="AP558" s="101"/>
    </row>
    <row r="559" spans="1:42">
      <c r="A559" s="2"/>
      <c r="AP559" s="101"/>
    </row>
    <row r="560" spans="1:42">
      <c r="A560" s="2"/>
      <c r="AP560" s="101"/>
    </row>
    <row r="561" spans="1:42">
      <c r="A561" s="2"/>
      <c r="AP561" s="101"/>
    </row>
    <row r="562" spans="1:42">
      <c r="A562" s="2"/>
      <c r="AP562" s="101"/>
    </row>
    <row r="563" spans="1:42">
      <c r="A563" s="2"/>
      <c r="AP563" s="101"/>
    </row>
    <row r="564" spans="1:42">
      <c r="A564" s="2"/>
      <c r="AP564" s="101"/>
    </row>
    <row r="565" spans="1:42">
      <c r="A565" s="2"/>
      <c r="AP565" s="101"/>
    </row>
    <row r="566" spans="1:42">
      <c r="A566" s="2"/>
      <c r="AP566" s="101"/>
    </row>
    <row r="567" spans="1:42">
      <c r="A567" s="2"/>
      <c r="AP567" s="101"/>
    </row>
    <row r="568" spans="1:42">
      <c r="A568" s="2"/>
      <c r="AP568" s="101"/>
    </row>
    <row r="569" spans="1:42">
      <c r="A569" s="2"/>
      <c r="AP569" s="101"/>
    </row>
    <row r="570" spans="1:42">
      <c r="A570" s="2"/>
      <c r="AP570" s="101"/>
    </row>
    <row r="571" spans="1:42">
      <c r="A571" s="2"/>
      <c r="AP571" s="101"/>
    </row>
    <row r="572" spans="1:42">
      <c r="A572" s="2"/>
      <c r="AP572" s="101"/>
    </row>
    <row r="573" spans="1:42">
      <c r="A573" s="2"/>
      <c r="AP573" s="101"/>
    </row>
    <row r="574" spans="1:42">
      <c r="A574" s="2"/>
      <c r="AP574" s="101"/>
    </row>
    <row r="575" spans="1:42">
      <c r="A575" s="2"/>
      <c r="AP575" s="101"/>
    </row>
    <row r="576" spans="1:42">
      <c r="A576" s="2"/>
      <c r="AP576" s="101"/>
    </row>
    <row r="577" spans="1:42">
      <c r="A577" s="2"/>
      <c r="AP577" s="101"/>
    </row>
    <row r="578" spans="1:42">
      <c r="A578" s="2"/>
      <c r="AP578" s="101"/>
    </row>
    <row r="579" spans="1:42">
      <c r="A579" s="2"/>
      <c r="AP579" s="101"/>
    </row>
    <row r="580" spans="1:42">
      <c r="A580" s="2"/>
      <c r="AP580" s="101"/>
    </row>
    <row r="581" spans="1:42">
      <c r="A581" s="2"/>
      <c r="AP581" s="101"/>
    </row>
    <row r="582" spans="1:42">
      <c r="A582" s="2"/>
      <c r="AP582" s="101"/>
    </row>
    <row r="583" spans="1:42">
      <c r="A583" s="2"/>
      <c r="AP583" s="101"/>
    </row>
    <row r="584" spans="1:42">
      <c r="A584" s="2"/>
      <c r="AP584" s="101"/>
    </row>
    <row r="585" spans="1:42">
      <c r="A585" s="2"/>
      <c r="AP585" s="101"/>
    </row>
    <row r="586" spans="1:42">
      <c r="A586" s="2"/>
      <c r="AP586" s="101"/>
    </row>
    <row r="587" spans="1:42">
      <c r="A587" s="2"/>
      <c r="AP587" s="101"/>
    </row>
    <row r="588" spans="1:42">
      <c r="A588" s="2"/>
      <c r="AP588" s="101"/>
    </row>
    <row r="589" spans="1:42">
      <c r="A589" s="2"/>
      <c r="AP589" s="101"/>
    </row>
    <row r="590" spans="1:42">
      <c r="A590" s="2"/>
      <c r="AP590" s="101"/>
    </row>
    <row r="591" spans="1:42">
      <c r="A591" s="2"/>
      <c r="AP591" s="101"/>
    </row>
    <row r="592" spans="1:42">
      <c r="A592" s="2"/>
      <c r="AP592" s="101"/>
    </row>
    <row r="593" spans="1:42">
      <c r="A593" s="2"/>
      <c r="AP593" s="101"/>
    </row>
    <row r="594" spans="1:42">
      <c r="A594" s="2"/>
      <c r="AP594" s="101"/>
    </row>
    <row r="595" spans="1:42">
      <c r="A595" s="2"/>
      <c r="AP595" s="101"/>
    </row>
    <row r="596" spans="1:42">
      <c r="A596" s="2"/>
      <c r="AP596" s="101"/>
    </row>
    <row r="597" spans="1:42">
      <c r="A597" s="2"/>
      <c r="AP597" s="101"/>
    </row>
    <row r="598" spans="1:42">
      <c r="A598" s="2"/>
      <c r="AP598" s="101"/>
    </row>
    <row r="599" spans="1:42">
      <c r="A599" s="2"/>
      <c r="AP599" s="101"/>
    </row>
    <row r="600" spans="1:42">
      <c r="A600" s="2"/>
      <c r="AP600" s="101"/>
    </row>
    <row r="601" spans="1:42">
      <c r="A601" s="2"/>
      <c r="AP601" s="101"/>
    </row>
    <row r="602" spans="1:42">
      <c r="A602" s="2"/>
      <c r="AP602" s="101"/>
    </row>
    <row r="603" spans="1:42">
      <c r="A603" s="2"/>
      <c r="AP603" s="101"/>
    </row>
    <row r="604" spans="1:42">
      <c r="A604" s="2"/>
      <c r="AP604" s="101"/>
    </row>
    <row r="605" spans="1:42">
      <c r="A605" s="2"/>
      <c r="AP605" s="101"/>
    </row>
    <row r="606" spans="1:42">
      <c r="A606" s="2"/>
      <c r="AP606" s="101"/>
    </row>
    <row r="607" spans="1:42">
      <c r="A607" s="2"/>
      <c r="AP607" s="101"/>
    </row>
    <row r="608" spans="1:42">
      <c r="A608" s="2"/>
      <c r="AP608" s="101"/>
    </row>
    <row r="609" spans="1:42">
      <c r="A609" s="2"/>
      <c r="AP609" s="101"/>
    </row>
    <row r="610" spans="1:42">
      <c r="A610" s="2"/>
      <c r="AP610" s="101"/>
    </row>
    <row r="611" spans="1:42">
      <c r="A611" s="2"/>
      <c r="AP611" s="101"/>
    </row>
    <row r="612" spans="1:42">
      <c r="A612" s="2"/>
      <c r="AP612" s="101"/>
    </row>
    <row r="613" spans="1:42">
      <c r="A613" s="2"/>
      <c r="AP613" s="101"/>
    </row>
    <row r="614" spans="1:42">
      <c r="A614" s="2"/>
      <c r="AP614" s="101"/>
    </row>
    <row r="615" spans="1:42">
      <c r="A615" s="2"/>
      <c r="AP615" s="101"/>
    </row>
    <row r="616" spans="1:42">
      <c r="A616" s="2"/>
      <c r="AP616" s="101"/>
    </row>
    <row r="617" spans="1:42">
      <c r="A617" s="2"/>
      <c r="AP617" s="101"/>
    </row>
    <row r="618" spans="1:42">
      <c r="A618" s="2"/>
      <c r="AP618" s="101"/>
    </row>
    <row r="619" spans="1:42">
      <c r="A619" s="2"/>
      <c r="AP619" s="101"/>
    </row>
    <row r="620" spans="1:42">
      <c r="A620" s="2"/>
      <c r="AP620" s="101"/>
    </row>
    <row r="621" spans="1:42">
      <c r="A621" s="2"/>
      <c r="AP621" s="101"/>
    </row>
    <row r="622" spans="1:42">
      <c r="A622" s="2"/>
      <c r="AP622" s="101"/>
    </row>
    <row r="623" spans="1:42">
      <c r="A623" s="2"/>
      <c r="AP623" s="101"/>
    </row>
    <row r="624" spans="1:42">
      <c r="A624" s="2"/>
      <c r="AP624" s="101"/>
    </row>
    <row r="625" spans="1:42">
      <c r="A625" s="2"/>
      <c r="AP625" s="101"/>
    </row>
    <row r="626" spans="1:42">
      <c r="A626" s="2"/>
      <c r="AP626" s="101"/>
    </row>
    <row r="627" spans="1:42">
      <c r="A627" s="2"/>
      <c r="AP627" s="101"/>
    </row>
    <row r="628" spans="1:42">
      <c r="A628" s="2"/>
      <c r="AP628" s="101"/>
    </row>
    <row r="629" spans="1:42">
      <c r="A629" s="2"/>
      <c r="AP629" s="101"/>
    </row>
    <row r="630" spans="1:42">
      <c r="A630" s="2"/>
      <c r="AP630" s="101"/>
    </row>
    <row r="631" spans="1:42">
      <c r="A631" s="2"/>
      <c r="AP631" s="101"/>
    </row>
    <row r="632" spans="1:42">
      <c r="A632" s="2"/>
      <c r="AP632" s="101"/>
    </row>
    <row r="633" spans="1:42">
      <c r="A633" s="2"/>
      <c r="AP633" s="101"/>
    </row>
    <row r="634" spans="1:42">
      <c r="A634" s="2"/>
      <c r="AP634" s="101"/>
    </row>
    <row r="635" spans="1:42">
      <c r="A635" s="2"/>
      <c r="AP635" s="101"/>
    </row>
    <row r="636" spans="1:42">
      <c r="A636" s="2"/>
      <c r="AP636" s="101"/>
    </row>
    <row r="637" spans="1:42">
      <c r="A637" s="2"/>
      <c r="AP637" s="101"/>
    </row>
    <row r="638" spans="1:42">
      <c r="A638" s="2"/>
      <c r="AP638" s="101"/>
    </row>
    <row r="639" spans="1:42">
      <c r="A639" s="2"/>
      <c r="AP639" s="101"/>
    </row>
    <row r="640" spans="1:42">
      <c r="A640" s="2"/>
      <c r="AP640" s="101"/>
    </row>
    <row r="641" spans="1:42">
      <c r="A641" s="2"/>
      <c r="AP641" s="101"/>
    </row>
    <row r="642" spans="1:42">
      <c r="A642" s="2"/>
      <c r="AP642" s="101"/>
    </row>
    <row r="643" spans="1:42">
      <c r="A643" s="2"/>
      <c r="AP643" s="101"/>
    </row>
    <row r="644" spans="1:42">
      <c r="A644" s="2"/>
      <c r="AP644" s="101"/>
    </row>
    <row r="645" spans="1:42">
      <c r="A645" s="2"/>
      <c r="AP645" s="101"/>
    </row>
    <row r="646" spans="1:42">
      <c r="A646" s="2"/>
      <c r="AP646" s="101"/>
    </row>
    <row r="647" spans="1:42">
      <c r="A647" s="2"/>
      <c r="AP647" s="101"/>
    </row>
    <row r="648" spans="1:42">
      <c r="A648" s="2"/>
      <c r="AP648" s="101"/>
    </row>
    <row r="649" spans="1:42">
      <c r="A649" s="2"/>
      <c r="AP649" s="101"/>
    </row>
    <row r="650" spans="1:42">
      <c r="A650" s="2"/>
      <c r="AP650" s="101"/>
    </row>
    <row r="651" spans="1:42">
      <c r="A651" s="2"/>
      <c r="AP651" s="101"/>
    </row>
    <row r="652" spans="1:42">
      <c r="A652" s="2"/>
      <c r="AP652" s="101"/>
    </row>
    <row r="653" spans="1:42">
      <c r="A653" s="2"/>
      <c r="AP653" s="101"/>
    </row>
    <row r="654" spans="1:42">
      <c r="A654" s="2"/>
      <c r="AP654" s="101"/>
    </row>
    <row r="655" spans="1:42">
      <c r="A655" s="2"/>
      <c r="AP655" s="101"/>
    </row>
    <row r="656" spans="1:42">
      <c r="A656" s="2"/>
      <c r="AP656" s="101"/>
    </row>
    <row r="657" spans="1:42">
      <c r="A657" s="2"/>
      <c r="AP657" s="101"/>
    </row>
    <row r="658" spans="1:42">
      <c r="A658" s="2"/>
      <c r="AP658" s="101"/>
    </row>
    <row r="659" spans="1:42">
      <c r="A659" s="2"/>
      <c r="AP659" s="101"/>
    </row>
    <row r="660" spans="1:42">
      <c r="A660" s="2"/>
      <c r="AP660" s="101"/>
    </row>
    <row r="661" spans="1:42">
      <c r="A661" s="2"/>
      <c r="AP661" s="101"/>
    </row>
    <row r="662" spans="1:42">
      <c r="A662" s="2"/>
      <c r="AP662" s="101"/>
    </row>
    <row r="663" spans="1:42">
      <c r="A663" s="2"/>
      <c r="AP663" s="101"/>
    </row>
    <row r="664" spans="1:42">
      <c r="A664" s="2"/>
      <c r="AP664" s="101"/>
    </row>
    <row r="665" spans="1:42">
      <c r="A665" s="2"/>
      <c r="AP665" s="101"/>
    </row>
    <row r="666" spans="1:42">
      <c r="A666" s="2"/>
      <c r="AP666" s="101"/>
    </row>
    <row r="667" spans="1:42">
      <c r="A667" s="2"/>
      <c r="AP667" s="101"/>
    </row>
    <row r="668" spans="1:42">
      <c r="A668" s="2"/>
      <c r="AP668" s="101"/>
    </row>
    <row r="669" spans="1:42">
      <c r="A669" s="2"/>
      <c r="AP669" s="101"/>
    </row>
    <row r="670" spans="1:42">
      <c r="A670" s="2"/>
      <c r="AP670" s="101"/>
    </row>
    <row r="671" spans="1:42">
      <c r="A671" s="2"/>
      <c r="AP671" s="101"/>
    </row>
    <row r="672" spans="1:42">
      <c r="A672" s="2"/>
      <c r="AP672" s="101"/>
    </row>
    <row r="673" spans="1:42">
      <c r="A673" s="2"/>
      <c r="AP673" s="101"/>
    </row>
    <row r="674" spans="1:42">
      <c r="A674" s="2"/>
      <c r="AP674" s="101"/>
    </row>
    <row r="675" spans="1:42">
      <c r="A675" s="2"/>
      <c r="AP675" s="101"/>
    </row>
    <row r="676" spans="1:42">
      <c r="A676" s="2"/>
      <c r="AP676" s="101"/>
    </row>
    <row r="677" spans="1:42">
      <c r="A677" s="2"/>
      <c r="AP677" s="101"/>
    </row>
    <row r="678" spans="1:42">
      <c r="A678" s="2"/>
      <c r="AP678" s="101"/>
    </row>
    <row r="679" spans="1:42">
      <c r="A679" s="2"/>
      <c r="AP679" s="101"/>
    </row>
    <row r="680" spans="1:42">
      <c r="A680" s="2"/>
      <c r="AP680" s="101"/>
    </row>
    <row r="681" spans="1:42">
      <c r="A681" s="2"/>
      <c r="AP681" s="101"/>
    </row>
    <row r="682" spans="1:42">
      <c r="A682" s="2"/>
      <c r="AP682" s="101"/>
    </row>
    <row r="683" spans="1:42">
      <c r="A683" s="2"/>
      <c r="AP683" s="101"/>
    </row>
    <row r="684" spans="1:42">
      <c r="A684" s="2"/>
      <c r="AP684" s="101"/>
    </row>
    <row r="685" spans="1:42">
      <c r="A685" s="2"/>
      <c r="AP685" s="101"/>
    </row>
    <row r="686" spans="1:42">
      <c r="A686" s="2"/>
      <c r="AP686" s="101"/>
    </row>
    <row r="687" spans="1:42">
      <c r="A687" s="2"/>
      <c r="AP687" s="101"/>
    </row>
    <row r="688" spans="1:42">
      <c r="A688" s="2"/>
      <c r="AP688" s="101"/>
    </row>
    <row r="689" spans="1:42">
      <c r="A689" s="2"/>
      <c r="AP689" s="101"/>
    </row>
    <row r="690" spans="1:42">
      <c r="A690" s="2"/>
      <c r="AP690" s="101"/>
    </row>
    <row r="691" spans="1:42">
      <c r="A691" s="2"/>
      <c r="AP691" s="101"/>
    </row>
    <row r="692" spans="1:42">
      <c r="A692" s="2"/>
      <c r="AP692" s="101"/>
    </row>
    <row r="693" spans="1:42">
      <c r="A693" s="2"/>
      <c r="AP693" s="101"/>
    </row>
    <row r="694" spans="1:42">
      <c r="A694" s="2"/>
      <c r="AP694" s="101"/>
    </row>
    <row r="695" spans="1:42">
      <c r="A695" s="2"/>
      <c r="AP695" s="101"/>
    </row>
    <row r="696" spans="1:42">
      <c r="A696" s="2"/>
      <c r="AP696" s="101"/>
    </row>
    <row r="697" spans="1:42">
      <c r="A697" s="2"/>
      <c r="AP697" s="101"/>
    </row>
    <row r="698" spans="1:42">
      <c r="A698" s="2"/>
      <c r="AP698" s="101"/>
    </row>
    <row r="699" spans="1:42">
      <c r="A699" s="2"/>
      <c r="AP699" s="101"/>
    </row>
    <row r="700" spans="1:42">
      <c r="A700" s="2"/>
      <c r="AP700" s="101"/>
    </row>
    <row r="701" spans="1:42">
      <c r="A701" s="2"/>
      <c r="AP701" s="101"/>
    </row>
    <row r="702" spans="1:42">
      <c r="A702" s="2"/>
      <c r="AP702" s="101"/>
    </row>
    <row r="703" spans="1:42">
      <c r="A703" s="2"/>
      <c r="AP703" s="101"/>
    </row>
    <row r="704" spans="1:42">
      <c r="A704" s="2"/>
      <c r="AP704" s="101"/>
    </row>
    <row r="705" spans="1:42">
      <c r="A705" s="2"/>
      <c r="AP705" s="101"/>
    </row>
    <row r="706" spans="1:42">
      <c r="A706" s="2"/>
      <c r="AP706" s="101"/>
    </row>
    <row r="707" spans="1:42">
      <c r="A707" s="2"/>
      <c r="AP707" s="101"/>
    </row>
    <row r="708" spans="1:42">
      <c r="A708" s="2"/>
      <c r="AP708" s="101"/>
    </row>
    <row r="709" spans="1:42">
      <c r="A709" s="2"/>
      <c r="AP709" s="101"/>
    </row>
    <row r="710" spans="1:42">
      <c r="A710" s="2"/>
      <c r="AP710" s="101"/>
    </row>
    <row r="711" spans="1:42">
      <c r="A711" s="2"/>
      <c r="AP711" s="101"/>
    </row>
    <row r="712" spans="1:42">
      <c r="A712" s="2"/>
      <c r="AP712" s="101"/>
    </row>
    <row r="713" spans="1:42">
      <c r="A713" s="2"/>
      <c r="AP713" s="101"/>
    </row>
    <row r="714" spans="1:42">
      <c r="A714" s="2"/>
      <c r="AP714" s="101"/>
    </row>
    <row r="715" spans="1:42">
      <c r="A715" s="2"/>
      <c r="AP715" s="101"/>
    </row>
    <row r="716" spans="1:42">
      <c r="A716" s="2"/>
      <c r="AP716" s="101"/>
    </row>
    <row r="717" spans="1:42">
      <c r="A717" s="2"/>
      <c r="AP717" s="101"/>
    </row>
    <row r="718" spans="1:42">
      <c r="A718" s="2"/>
      <c r="AP718" s="101"/>
    </row>
    <row r="719" spans="1:42">
      <c r="A719" s="2"/>
      <c r="AP719" s="101"/>
    </row>
    <row r="720" spans="1:42">
      <c r="A720" s="2"/>
      <c r="AP720" s="101"/>
    </row>
    <row r="721" spans="1:42">
      <c r="A721" s="2"/>
      <c r="AP721" s="101"/>
    </row>
    <row r="722" spans="1:42">
      <c r="A722" s="2"/>
      <c r="AP722" s="101"/>
    </row>
    <row r="723" spans="1:42">
      <c r="A723" s="2"/>
      <c r="AP723" s="101"/>
    </row>
    <row r="724" spans="1:42">
      <c r="A724" s="2"/>
      <c r="AP724" s="101"/>
    </row>
    <row r="725" spans="1:42">
      <c r="A725" s="2"/>
      <c r="AP725" s="101"/>
    </row>
    <row r="726" spans="1:42">
      <c r="A726" s="2"/>
      <c r="AP726" s="101"/>
    </row>
    <row r="727" spans="1:42">
      <c r="A727" s="2"/>
      <c r="AP727" s="101"/>
    </row>
    <row r="728" spans="1:42">
      <c r="A728" s="2"/>
      <c r="AP728" s="101"/>
    </row>
    <row r="729" spans="1:42">
      <c r="A729" s="2"/>
      <c r="AP729" s="101"/>
    </row>
    <row r="730" spans="1:42">
      <c r="A730" s="2"/>
      <c r="AP730" s="101"/>
    </row>
    <row r="731" spans="1:42">
      <c r="A731" s="2"/>
      <c r="AP731" s="101"/>
    </row>
    <row r="732" spans="1:42">
      <c r="A732" s="2"/>
      <c r="AP732" s="101"/>
    </row>
    <row r="733" spans="1:42">
      <c r="A733" s="2"/>
      <c r="AP733" s="101"/>
    </row>
    <row r="734" spans="1:42">
      <c r="A734" s="2"/>
      <c r="AP734" s="101"/>
    </row>
    <row r="735" spans="1:42">
      <c r="A735" s="2"/>
      <c r="AP735" s="101"/>
    </row>
    <row r="736" spans="1:42">
      <c r="A736" s="2"/>
      <c r="AP736" s="101"/>
    </row>
    <row r="737" spans="1:42">
      <c r="A737" s="2"/>
      <c r="AP737" s="101"/>
    </row>
    <row r="738" spans="1:42">
      <c r="A738" s="2"/>
      <c r="AP738" s="101"/>
    </row>
    <row r="739" spans="1:42">
      <c r="A739" s="2"/>
      <c r="AP739" s="101"/>
    </row>
    <row r="740" spans="1:42">
      <c r="A740" s="2"/>
      <c r="AP740" s="101"/>
    </row>
    <row r="741" spans="1:42">
      <c r="A741" s="2"/>
      <c r="AP741" s="101"/>
    </row>
    <row r="742" spans="1:42">
      <c r="A742" s="2"/>
      <c r="AP742" s="101"/>
    </row>
    <row r="743" spans="1:42">
      <c r="A743" s="2"/>
      <c r="AP743" s="101"/>
    </row>
    <row r="744" spans="1:42">
      <c r="A744" s="2"/>
      <c r="AP744" s="101"/>
    </row>
    <row r="745" spans="1:42">
      <c r="A745" s="2"/>
      <c r="AP745" s="101"/>
    </row>
    <row r="746" spans="1:42">
      <c r="A746" s="2"/>
      <c r="AP746" s="101"/>
    </row>
    <row r="747" spans="1:42">
      <c r="A747" s="2"/>
      <c r="AP747" s="101"/>
    </row>
    <row r="748" spans="1:42">
      <c r="A748" s="2"/>
      <c r="AP748" s="101"/>
    </row>
    <row r="749" spans="1:42">
      <c r="A749" s="2"/>
      <c r="AP749" s="101"/>
    </row>
    <row r="750" spans="1:42">
      <c r="A750" s="2"/>
      <c r="AP750" s="101"/>
    </row>
    <row r="751" spans="1:42">
      <c r="A751" s="2"/>
      <c r="AP751" s="101"/>
    </row>
    <row r="752" spans="1:42">
      <c r="A752" s="2"/>
      <c r="AP752" s="101"/>
    </row>
    <row r="753" spans="1:42">
      <c r="A753" s="2"/>
      <c r="AP753" s="101"/>
    </row>
    <row r="754" spans="1:42">
      <c r="A754" s="2"/>
      <c r="AP754" s="101"/>
    </row>
    <row r="755" spans="1:42">
      <c r="A755" s="2"/>
      <c r="AP755" s="101"/>
    </row>
    <row r="756" spans="1:42">
      <c r="A756" s="2"/>
      <c r="AP756" s="101"/>
    </row>
    <row r="757" spans="1:42">
      <c r="A757" s="2"/>
      <c r="AP757" s="101"/>
    </row>
    <row r="758" spans="1:42">
      <c r="A758" s="2"/>
      <c r="AP758" s="101"/>
    </row>
    <row r="759" spans="1:42">
      <c r="A759" s="2"/>
      <c r="AP759" s="101"/>
    </row>
    <row r="760" spans="1:42">
      <c r="A760" s="2"/>
      <c r="AP760" s="101"/>
    </row>
    <row r="761" spans="1:42">
      <c r="A761" s="2"/>
      <c r="AP761" s="101"/>
    </row>
    <row r="762" spans="1:42">
      <c r="A762" s="2"/>
      <c r="AP762" s="101"/>
    </row>
    <row r="763" spans="1:42">
      <c r="A763" s="2"/>
      <c r="AP763" s="101"/>
    </row>
    <row r="764" spans="1:42">
      <c r="A764" s="2"/>
      <c r="AP764" s="101"/>
    </row>
    <row r="765" spans="1:42">
      <c r="A765" s="2"/>
      <c r="AP765" s="101"/>
    </row>
    <row r="766" spans="1:42">
      <c r="A766" s="2"/>
      <c r="AP766" s="101"/>
    </row>
    <row r="767" spans="1:42">
      <c r="A767" s="2"/>
      <c r="AP767" s="101"/>
    </row>
    <row r="768" spans="1:42">
      <c r="A768" s="2"/>
      <c r="AP768" s="101"/>
    </row>
    <row r="769" spans="1:42">
      <c r="A769" s="2"/>
      <c r="AP769" s="101"/>
    </row>
    <row r="770" spans="1:42">
      <c r="A770" s="2"/>
      <c r="AP770" s="101"/>
    </row>
    <row r="771" spans="1:42">
      <c r="A771" s="2"/>
      <c r="AP771" s="101"/>
    </row>
    <row r="772" spans="1:42">
      <c r="A772" s="2"/>
      <c r="AP772" s="101"/>
    </row>
    <row r="773" spans="1:42">
      <c r="A773" s="2"/>
      <c r="AP773" s="101"/>
    </row>
    <row r="774" spans="1:42">
      <c r="A774" s="2"/>
      <c r="AP774" s="101"/>
    </row>
    <row r="775" spans="1:42">
      <c r="A775" s="2"/>
      <c r="AP775" s="101"/>
    </row>
    <row r="776" spans="1:42">
      <c r="A776" s="2"/>
      <c r="AP776" s="101"/>
    </row>
    <row r="777" spans="1:42">
      <c r="A777" s="2"/>
      <c r="AP777" s="101"/>
    </row>
    <row r="778" spans="1:42">
      <c r="A778" s="2"/>
      <c r="AP778" s="101"/>
    </row>
    <row r="779" spans="1:42">
      <c r="A779" s="2"/>
      <c r="AP779" s="101"/>
    </row>
    <row r="780" spans="1:42">
      <c r="A780" s="2"/>
      <c r="AP780" s="101"/>
    </row>
    <row r="781" spans="1:42">
      <c r="A781" s="2"/>
      <c r="AP781" s="101"/>
    </row>
    <row r="782" spans="1:42">
      <c r="A782" s="2"/>
      <c r="AP782" s="101"/>
    </row>
    <row r="783" spans="1:42">
      <c r="A783" s="2"/>
      <c r="AP783" s="101"/>
    </row>
    <row r="784" spans="1:42">
      <c r="A784" s="2"/>
      <c r="AP784" s="101"/>
    </row>
    <row r="785" spans="1:42">
      <c r="A785" s="2"/>
      <c r="AP785" s="101"/>
    </row>
    <row r="786" spans="1:42">
      <c r="A786" s="2"/>
      <c r="AP786" s="101"/>
    </row>
    <row r="787" spans="1:42">
      <c r="A787" s="2"/>
      <c r="AP787" s="101"/>
    </row>
    <row r="788" spans="1:42">
      <c r="A788" s="2"/>
      <c r="AP788" s="101"/>
    </row>
    <row r="789" spans="1:42">
      <c r="A789" s="2"/>
      <c r="AP789" s="101"/>
    </row>
    <row r="790" spans="1:42">
      <c r="A790" s="2"/>
      <c r="AP790" s="101"/>
    </row>
    <row r="791" spans="1:42">
      <c r="A791" s="2"/>
      <c r="AP791" s="101"/>
    </row>
    <row r="792" spans="1:42">
      <c r="A792" s="2"/>
      <c r="AP792" s="101"/>
    </row>
    <row r="793" spans="1:42">
      <c r="A793" s="2"/>
      <c r="AP793" s="101"/>
    </row>
    <row r="794" spans="1:42">
      <c r="A794" s="2"/>
      <c r="AP794" s="101"/>
    </row>
    <row r="795" spans="1:42">
      <c r="A795" s="2"/>
      <c r="AP795" s="101"/>
    </row>
    <row r="796" spans="1:42">
      <c r="A796" s="2"/>
      <c r="AP796" s="101"/>
    </row>
    <row r="797" spans="1:42">
      <c r="A797" s="2"/>
      <c r="AP797" s="101"/>
    </row>
    <row r="798" spans="1:42">
      <c r="A798" s="2"/>
      <c r="AP798" s="101"/>
    </row>
    <row r="799" spans="1:42">
      <c r="A799" s="2"/>
      <c r="AP799" s="101"/>
    </row>
    <row r="800" spans="1:42">
      <c r="A800" s="2"/>
      <c r="AP800" s="101"/>
    </row>
    <row r="801" spans="1:42">
      <c r="A801" s="2"/>
      <c r="AP801" s="101"/>
    </row>
    <row r="802" spans="1:42">
      <c r="A802" s="2"/>
      <c r="AP802" s="101"/>
    </row>
    <row r="803" spans="1:42">
      <c r="A803" s="2"/>
      <c r="AP803" s="101"/>
    </row>
    <row r="804" spans="1:42">
      <c r="A804" s="2"/>
      <c r="AP804" s="101"/>
    </row>
    <row r="805" spans="1:42">
      <c r="A805" s="2"/>
      <c r="AP805" s="101"/>
    </row>
    <row r="806" spans="1:42">
      <c r="A806" s="2"/>
      <c r="AP806" s="101"/>
    </row>
    <row r="807" spans="1:42">
      <c r="A807" s="2"/>
      <c r="AP807" s="101"/>
    </row>
    <row r="808" spans="1:42">
      <c r="A808" s="2"/>
      <c r="AP808" s="101"/>
    </row>
    <row r="809" spans="1:42">
      <c r="A809" s="2"/>
      <c r="AP809" s="101"/>
    </row>
    <row r="810" spans="1:42">
      <c r="A810" s="2"/>
      <c r="AP810" s="101"/>
    </row>
    <row r="811" spans="1:42">
      <c r="A811" s="2"/>
      <c r="AP811" s="101"/>
    </row>
    <row r="812" spans="1:42">
      <c r="A812" s="2"/>
      <c r="AP812" s="101"/>
    </row>
    <row r="813" spans="1:42">
      <c r="A813" s="2"/>
      <c r="AP813" s="101"/>
    </row>
    <row r="814" spans="1:42">
      <c r="A814" s="2"/>
      <c r="AP814" s="101"/>
    </row>
    <row r="815" spans="1:42">
      <c r="A815" s="2"/>
      <c r="AP815" s="101"/>
    </row>
    <row r="816" spans="1:42">
      <c r="A816" s="2"/>
      <c r="AP816" s="101"/>
    </row>
    <row r="817" spans="1:42">
      <c r="A817" s="2"/>
      <c r="AP817" s="101"/>
    </row>
    <row r="818" spans="1:42">
      <c r="A818" s="2"/>
      <c r="AP818" s="101"/>
    </row>
    <row r="819" spans="1:42">
      <c r="A819" s="2"/>
      <c r="AP819" s="101"/>
    </row>
    <row r="820" spans="1:42">
      <c r="A820" s="2"/>
      <c r="AP820" s="101"/>
    </row>
    <row r="821" spans="1:42">
      <c r="A821" s="2"/>
      <c r="AP821" s="101"/>
    </row>
    <row r="822" spans="1:42">
      <c r="A822" s="2"/>
      <c r="AP822" s="101"/>
    </row>
    <row r="823" spans="1:42">
      <c r="A823" s="2"/>
      <c r="AP823" s="101"/>
    </row>
    <row r="824" spans="1:42">
      <c r="A824" s="2"/>
      <c r="AP824" s="101"/>
    </row>
    <row r="825" spans="1:42">
      <c r="A825" s="2"/>
      <c r="AP825" s="101"/>
    </row>
    <row r="826" spans="1:42">
      <c r="A826" s="2"/>
      <c r="AP826" s="101"/>
    </row>
    <row r="827" spans="1:42">
      <c r="A827" s="2"/>
      <c r="AP827" s="101"/>
    </row>
    <row r="828" spans="1:42">
      <c r="A828" s="2"/>
      <c r="AP828" s="101"/>
    </row>
    <row r="829" spans="1:42">
      <c r="A829" s="2"/>
      <c r="AP829" s="101"/>
    </row>
    <row r="830" spans="1:42">
      <c r="A830" s="2"/>
      <c r="AP830" s="101"/>
    </row>
    <row r="831" spans="1:42">
      <c r="A831" s="2"/>
      <c r="AP831" s="101"/>
    </row>
    <row r="832" spans="1:42">
      <c r="A832" s="2"/>
      <c r="AP832" s="101"/>
    </row>
    <row r="833" spans="1:42">
      <c r="A833" s="2"/>
      <c r="AP833" s="101"/>
    </row>
    <row r="834" spans="1:42">
      <c r="A834" s="2"/>
      <c r="AP834" s="101"/>
    </row>
    <row r="835" spans="1:42">
      <c r="A835" s="2"/>
      <c r="AP835" s="101"/>
    </row>
    <row r="836" spans="1:42">
      <c r="A836" s="2"/>
      <c r="AP836" s="101"/>
    </row>
    <row r="837" spans="1:42">
      <c r="A837" s="2"/>
      <c r="AP837" s="101"/>
    </row>
    <row r="838" spans="1:42">
      <c r="A838" s="2"/>
      <c r="AP838" s="101"/>
    </row>
    <row r="839" spans="1:42">
      <c r="A839" s="2"/>
      <c r="AP839" s="101"/>
    </row>
    <row r="840" spans="1:42">
      <c r="A840" s="2"/>
      <c r="AP840" s="101"/>
    </row>
    <row r="841" spans="1:42">
      <c r="A841" s="2"/>
      <c r="AP841" s="101"/>
    </row>
    <row r="842" spans="1:42">
      <c r="A842" s="2"/>
      <c r="AP842" s="101"/>
    </row>
    <row r="843" spans="1:42">
      <c r="A843" s="2"/>
      <c r="AP843" s="101"/>
    </row>
    <row r="844" spans="1:42">
      <c r="A844" s="2"/>
      <c r="AP844" s="101"/>
    </row>
    <row r="845" spans="1:42">
      <c r="A845" s="2"/>
      <c r="AP845" s="101"/>
    </row>
    <row r="846" spans="1:42">
      <c r="A846" s="2"/>
      <c r="AP846" s="101"/>
    </row>
    <row r="847" spans="1:42">
      <c r="A847" s="2"/>
      <c r="AP847" s="101"/>
    </row>
    <row r="848" spans="1:42">
      <c r="A848" s="2"/>
      <c r="AP848" s="101"/>
    </row>
    <row r="849" spans="1:42">
      <c r="A849" s="2"/>
      <c r="AP849" s="101"/>
    </row>
    <row r="850" spans="1:42">
      <c r="A850" s="2"/>
      <c r="AP850" s="101"/>
    </row>
    <row r="851" spans="1:42">
      <c r="A851" s="2"/>
      <c r="AP851" s="101"/>
    </row>
    <row r="852" spans="1:42">
      <c r="A852" s="2"/>
      <c r="AP852" s="101"/>
    </row>
    <row r="853" spans="1:42">
      <c r="A853" s="2"/>
      <c r="AP853" s="101"/>
    </row>
    <row r="854" spans="1:42">
      <c r="A854" s="2"/>
      <c r="AP854" s="101"/>
    </row>
    <row r="855" spans="1:42">
      <c r="A855" s="2"/>
      <c r="AP855" s="101"/>
    </row>
    <row r="856" spans="1:42">
      <c r="A856" s="2"/>
      <c r="AP856" s="101"/>
    </row>
    <row r="857" spans="1:42">
      <c r="A857" s="2"/>
      <c r="AP857" s="101"/>
    </row>
    <row r="858" spans="1:42">
      <c r="A858" s="2"/>
      <c r="AP858" s="101"/>
    </row>
    <row r="859" spans="1:42">
      <c r="A859" s="2"/>
      <c r="AP859" s="101"/>
    </row>
    <row r="860" spans="1:42">
      <c r="A860" s="2"/>
      <c r="AP860" s="101"/>
    </row>
    <row r="861" spans="1:42">
      <c r="A861" s="2"/>
      <c r="AP861" s="101"/>
    </row>
    <row r="862" spans="1:42">
      <c r="A862" s="2"/>
      <c r="AP862" s="101"/>
    </row>
    <row r="863" spans="1:42">
      <c r="A863" s="2"/>
      <c r="AP863" s="101"/>
    </row>
    <row r="864" spans="1:42">
      <c r="A864" s="2"/>
      <c r="AP864" s="101"/>
    </row>
    <row r="865" spans="1:42">
      <c r="A865" s="2"/>
      <c r="AP865" s="101"/>
    </row>
    <row r="866" spans="1:42">
      <c r="A866" s="2"/>
      <c r="AP866" s="101"/>
    </row>
    <row r="867" spans="1:42">
      <c r="A867" s="2"/>
      <c r="AP867" s="101"/>
    </row>
    <row r="868" spans="1:42">
      <c r="A868" s="2"/>
      <c r="AP868" s="101"/>
    </row>
    <row r="869" spans="1:42">
      <c r="A869" s="2"/>
      <c r="AP869" s="101"/>
    </row>
    <row r="870" spans="1:42">
      <c r="A870" s="2"/>
      <c r="AP870" s="101"/>
    </row>
    <row r="871" spans="1:42">
      <c r="A871" s="2"/>
      <c r="AP871" s="101"/>
    </row>
    <row r="872" spans="1:42">
      <c r="A872" s="2"/>
      <c r="AP872" s="101"/>
    </row>
    <row r="873" spans="1:42">
      <c r="A873" s="2"/>
      <c r="AP873" s="101"/>
    </row>
    <row r="874" spans="1:42">
      <c r="A874" s="2"/>
      <c r="AP874" s="101"/>
    </row>
    <row r="875" spans="1:42">
      <c r="A875" s="2"/>
      <c r="AP875" s="101"/>
    </row>
    <row r="876" spans="1:42">
      <c r="A876" s="2"/>
      <c r="AP876" s="101"/>
    </row>
    <row r="877" spans="1:42">
      <c r="A877" s="2"/>
      <c r="AP877" s="101"/>
    </row>
    <row r="878" spans="1:42">
      <c r="A878" s="2"/>
      <c r="AP878" s="101"/>
    </row>
    <row r="879" spans="1:42">
      <c r="A879" s="2"/>
      <c r="AP879" s="101"/>
    </row>
    <row r="880" spans="1:42">
      <c r="A880" s="2"/>
      <c r="AP880" s="101"/>
    </row>
    <row r="881" spans="1:42">
      <c r="A881" s="2"/>
      <c r="AP881" s="101"/>
    </row>
    <row r="882" spans="1:42">
      <c r="A882" s="2"/>
      <c r="AP882" s="101"/>
    </row>
    <row r="883" spans="1:42">
      <c r="A883" s="2"/>
      <c r="AP883" s="101"/>
    </row>
    <row r="884" spans="1:42">
      <c r="A884" s="2"/>
      <c r="AP884" s="101"/>
    </row>
    <row r="885" spans="1:42">
      <c r="A885" s="2"/>
      <c r="AP885" s="101"/>
    </row>
    <row r="886" spans="1:42">
      <c r="A886" s="2"/>
      <c r="AP886" s="101"/>
    </row>
    <row r="887" spans="1:42">
      <c r="A887" s="2"/>
      <c r="AP887" s="101"/>
    </row>
    <row r="888" spans="1:42">
      <c r="A888" s="2"/>
      <c r="AP888" s="101"/>
    </row>
    <row r="889" spans="1:42">
      <c r="A889" s="2"/>
      <c r="AP889" s="101"/>
    </row>
    <row r="890" spans="1:42">
      <c r="A890" s="2"/>
      <c r="AP890" s="101"/>
    </row>
    <row r="891" spans="1:42">
      <c r="A891" s="2"/>
      <c r="AP891" s="101"/>
    </row>
    <row r="892" spans="1:42">
      <c r="A892" s="2"/>
      <c r="AP892" s="101"/>
    </row>
    <row r="893" spans="1:42">
      <c r="A893" s="2"/>
      <c r="AP893" s="101"/>
    </row>
    <row r="894" spans="1:42">
      <c r="A894" s="2"/>
      <c r="AP894" s="101"/>
    </row>
    <row r="895" spans="1:42">
      <c r="A895" s="2"/>
      <c r="AP895" s="101"/>
    </row>
    <row r="896" spans="1:42">
      <c r="A896" s="2"/>
      <c r="AP896" s="101"/>
    </row>
    <row r="897" spans="1:42">
      <c r="A897" s="2"/>
      <c r="AP897" s="101"/>
    </row>
    <row r="898" spans="1:42">
      <c r="A898" s="2"/>
      <c r="AP898" s="101"/>
    </row>
    <row r="899" spans="1:42">
      <c r="A899" s="2"/>
      <c r="AP899" s="101"/>
    </row>
    <row r="900" spans="1:42">
      <c r="A900" s="2"/>
      <c r="AP900" s="101"/>
    </row>
    <row r="901" spans="1:42">
      <c r="A901" s="2"/>
      <c r="AP901" s="101"/>
    </row>
    <row r="902" spans="1:42">
      <c r="A902" s="2"/>
      <c r="AP902" s="101"/>
    </row>
    <row r="903" spans="1:42">
      <c r="A903" s="2"/>
      <c r="AP903" s="101"/>
    </row>
    <row r="904" spans="1:42">
      <c r="A904" s="2"/>
      <c r="AP904" s="101"/>
    </row>
    <row r="905" spans="1:42">
      <c r="A905" s="2"/>
      <c r="AP905" s="101"/>
    </row>
    <row r="906" spans="1:42">
      <c r="A906" s="2"/>
      <c r="AP906" s="101"/>
    </row>
    <row r="907" spans="1:42">
      <c r="A907" s="2"/>
      <c r="AP907" s="101"/>
    </row>
    <row r="908" spans="1:42">
      <c r="A908" s="2"/>
      <c r="AP908" s="101"/>
    </row>
    <row r="909" spans="1:42">
      <c r="A909" s="2"/>
      <c r="AP909" s="101"/>
    </row>
    <row r="910" spans="1:42">
      <c r="A910" s="2"/>
      <c r="AP910" s="101"/>
    </row>
    <row r="911" spans="1:42">
      <c r="A911" s="2"/>
      <c r="AP911" s="101"/>
    </row>
    <row r="912" spans="1:42">
      <c r="A912" s="2"/>
      <c r="AP912" s="101"/>
    </row>
    <row r="913" spans="1:42">
      <c r="A913" s="2"/>
      <c r="AP913" s="101"/>
    </row>
    <row r="914" spans="1:42">
      <c r="A914" s="2"/>
      <c r="AP914" s="101"/>
    </row>
    <row r="915" spans="1:42">
      <c r="A915" s="2"/>
      <c r="AP915" s="101"/>
    </row>
    <row r="916" spans="1:42">
      <c r="A916" s="2"/>
      <c r="AP916" s="101"/>
    </row>
    <row r="917" spans="1:42">
      <c r="A917" s="2"/>
      <c r="AP917" s="101"/>
    </row>
    <row r="918" spans="1:42">
      <c r="A918" s="2"/>
      <c r="AP918" s="101"/>
    </row>
    <row r="919" spans="1:42">
      <c r="A919" s="2"/>
      <c r="AP919" s="101"/>
    </row>
    <row r="920" spans="1:42">
      <c r="A920" s="2"/>
      <c r="AP920" s="101"/>
    </row>
    <row r="921" spans="1:42">
      <c r="A921" s="2"/>
      <c r="AP921" s="101"/>
    </row>
    <row r="922" spans="1:42">
      <c r="A922" s="2"/>
      <c r="AP922" s="101"/>
    </row>
    <row r="923" spans="1:42">
      <c r="A923" s="2"/>
      <c r="AP923" s="101"/>
    </row>
    <row r="924" spans="1:42">
      <c r="A924" s="2"/>
      <c r="AP924" s="101"/>
    </row>
    <row r="925" spans="1:42">
      <c r="A925" s="2"/>
      <c r="AP925" s="101"/>
    </row>
    <row r="926" spans="1:42">
      <c r="A926" s="2"/>
      <c r="AP926" s="101"/>
    </row>
    <row r="927" spans="1:42">
      <c r="A927" s="2"/>
      <c r="AP927" s="101"/>
    </row>
    <row r="928" spans="1:42">
      <c r="A928" s="2"/>
      <c r="AP928" s="101"/>
    </row>
    <row r="929" spans="1:42">
      <c r="A929" s="2"/>
      <c r="AP929" s="101"/>
    </row>
    <row r="930" spans="1:42">
      <c r="A930" s="2"/>
      <c r="AP930" s="101"/>
    </row>
    <row r="931" spans="1:42">
      <c r="A931" s="2"/>
      <c r="AP931" s="101"/>
    </row>
    <row r="932" spans="1:42">
      <c r="A932" s="2"/>
      <c r="AP932" s="101"/>
    </row>
    <row r="933" spans="1:42">
      <c r="A933" s="2"/>
      <c r="AP933" s="101"/>
    </row>
    <row r="934" spans="1:42">
      <c r="A934" s="2"/>
      <c r="AP934" s="101"/>
    </row>
    <row r="935" spans="1:42">
      <c r="A935" s="2"/>
      <c r="AP935" s="101"/>
    </row>
    <row r="936" spans="1:42">
      <c r="A936" s="2"/>
      <c r="AP936" s="101"/>
    </row>
    <row r="937" spans="1:42">
      <c r="A937" s="2"/>
      <c r="AP937" s="101"/>
    </row>
    <row r="938" spans="1:42">
      <c r="A938" s="2"/>
      <c r="AP938" s="101"/>
    </row>
    <row r="939" spans="1:42">
      <c r="A939" s="2"/>
      <c r="AP939" s="101"/>
    </row>
    <row r="940" spans="1:42">
      <c r="A940" s="2"/>
      <c r="AP940" s="101"/>
    </row>
    <row r="941" spans="1:42">
      <c r="A941" s="2"/>
      <c r="AP941" s="101"/>
    </row>
    <row r="942" spans="1:42">
      <c r="A942" s="2"/>
      <c r="AP942" s="101"/>
    </row>
    <row r="943" spans="1:42">
      <c r="A943" s="2"/>
      <c r="AP943" s="101"/>
    </row>
    <row r="944" spans="1:42">
      <c r="A944" s="2"/>
      <c r="AP944" s="101"/>
    </row>
    <row r="945" spans="1:42">
      <c r="A945" s="2"/>
      <c r="AP945" s="101"/>
    </row>
    <row r="946" spans="1:42">
      <c r="A946" s="2"/>
      <c r="AP946" s="101"/>
    </row>
    <row r="947" spans="1:42">
      <c r="A947" s="2"/>
      <c r="AP947" s="101"/>
    </row>
    <row r="948" spans="1:42">
      <c r="A948" s="2"/>
      <c r="AP948" s="101"/>
    </row>
    <row r="949" spans="1:42">
      <c r="A949" s="2"/>
      <c r="AP949" s="101"/>
    </row>
    <row r="950" spans="1:42">
      <c r="A950" s="2"/>
      <c r="AP950" s="101"/>
    </row>
    <row r="951" spans="1:42">
      <c r="A951" s="2"/>
      <c r="AP951" s="101"/>
    </row>
    <row r="952" spans="1:42">
      <c r="A952" s="2"/>
      <c r="AP952" s="101"/>
    </row>
    <row r="953" spans="1:42">
      <c r="A953" s="2"/>
      <c r="AP953" s="101"/>
    </row>
    <row r="954" spans="1:42">
      <c r="A954" s="2"/>
      <c r="AP954" s="101"/>
    </row>
    <row r="955" spans="1:42">
      <c r="A955" s="2"/>
      <c r="AP955" s="101"/>
    </row>
    <row r="956" spans="1:42">
      <c r="A956" s="2"/>
      <c r="AP956" s="101"/>
    </row>
    <row r="957" spans="1:42">
      <c r="A957" s="2"/>
      <c r="AP957" s="101"/>
    </row>
    <row r="958" spans="1:42">
      <c r="A958" s="2"/>
      <c r="AP958" s="101"/>
    </row>
    <row r="959" spans="1:42">
      <c r="A959" s="2"/>
      <c r="AP959" s="101"/>
    </row>
    <row r="960" spans="1:42">
      <c r="A960" s="2"/>
      <c r="AP960" s="101"/>
    </row>
    <row r="961" spans="1:42">
      <c r="A961" s="2"/>
      <c r="AP961" s="101"/>
    </row>
    <row r="962" spans="1:42">
      <c r="A962" s="2"/>
      <c r="AP962" s="101"/>
    </row>
    <row r="963" spans="1:42">
      <c r="A963" s="2"/>
      <c r="AP963" s="101"/>
    </row>
    <row r="964" spans="1:42">
      <c r="A964" s="2"/>
      <c r="AP964" s="101"/>
    </row>
    <row r="965" spans="1:42">
      <c r="A965" s="2"/>
      <c r="AP965" s="101"/>
    </row>
    <row r="966" spans="1:42">
      <c r="A966" s="2"/>
      <c r="AP966" s="101"/>
    </row>
    <row r="967" spans="1:42">
      <c r="A967" s="2"/>
      <c r="AP967" s="101"/>
    </row>
    <row r="968" spans="1:42">
      <c r="A968" s="2"/>
      <c r="AP968" s="101"/>
    </row>
    <row r="969" spans="1:42">
      <c r="A969" s="2"/>
      <c r="AP969" s="101"/>
    </row>
    <row r="970" spans="1:42">
      <c r="A970" s="2"/>
      <c r="AP970" s="101"/>
    </row>
    <row r="971" spans="1:42">
      <c r="A971" s="2"/>
      <c r="AP971" s="101"/>
    </row>
    <row r="972" spans="1:42">
      <c r="A972" s="2"/>
      <c r="AP972" s="101"/>
    </row>
    <row r="973" spans="1:42">
      <c r="A973" s="2"/>
      <c r="AP973" s="101"/>
    </row>
    <row r="974" spans="1:42">
      <c r="A974" s="2"/>
      <c r="AP974" s="101"/>
    </row>
    <row r="975" spans="1:42">
      <c r="A975" s="2"/>
      <c r="AP975" s="101"/>
    </row>
    <row r="976" spans="1:42">
      <c r="A976" s="2"/>
      <c r="AP976" s="101"/>
    </row>
    <row r="977" spans="1:42">
      <c r="A977" s="2"/>
      <c r="AP977" s="101"/>
    </row>
    <row r="978" spans="1:42">
      <c r="A978" s="2"/>
      <c r="AP978" s="101"/>
    </row>
    <row r="979" spans="1:42">
      <c r="A979" s="2"/>
      <c r="AP979" s="101"/>
    </row>
    <row r="980" spans="1:42">
      <c r="A980" s="2"/>
      <c r="AP980" s="101"/>
    </row>
    <row r="981" spans="1:42">
      <c r="A981" s="2"/>
      <c r="AP981" s="101"/>
    </row>
    <row r="982" spans="1:42">
      <c r="A982" s="2"/>
      <c r="AP982" s="101"/>
    </row>
    <row r="983" spans="1:42">
      <c r="A983" s="2"/>
      <c r="AP983" s="101"/>
    </row>
    <row r="984" spans="1:42">
      <c r="A984" s="2"/>
      <c r="AP984" s="101"/>
    </row>
    <row r="985" spans="1:42">
      <c r="A985" s="2"/>
      <c r="AP985" s="101"/>
    </row>
    <row r="986" spans="1:42">
      <c r="A986" s="2"/>
      <c r="AP986" s="101"/>
    </row>
    <row r="987" spans="1:42">
      <c r="A987" s="2"/>
      <c r="AP987" s="101"/>
    </row>
    <row r="988" spans="1:42">
      <c r="A988" s="2"/>
      <c r="AP988" s="101"/>
    </row>
    <row r="989" spans="1:42">
      <c r="A989" s="2"/>
      <c r="AP989" s="101"/>
    </row>
    <row r="990" spans="1:42">
      <c r="A990" s="2"/>
      <c r="AP990" s="101"/>
    </row>
    <row r="991" spans="1:42">
      <c r="A991" s="2"/>
      <c r="AP991" s="101"/>
    </row>
    <row r="992" spans="1:42">
      <c r="A992" s="2"/>
      <c r="AP992" s="101"/>
    </row>
    <row r="993" spans="1:42">
      <c r="A993" s="2"/>
      <c r="AP993" s="101"/>
    </row>
    <row r="994" spans="1:42">
      <c r="A994" s="2"/>
      <c r="AP994" s="101"/>
    </row>
    <row r="995" spans="1:42">
      <c r="A995" s="2"/>
      <c r="AP995" s="101"/>
    </row>
    <row r="996" spans="1:42">
      <c r="A996" s="2"/>
      <c r="AP996" s="101"/>
    </row>
    <row r="997" spans="1:42">
      <c r="A997" s="2"/>
      <c r="AP997" s="101"/>
    </row>
    <row r="998" spans="1:42">
      <c r="A998" s="2"/>
      <c r="AP998" s="101"/>
    </row>
    <row r="999" spans="1:42">
      <c r="A999" s="2"/>
      <c r="AP999" s="101"/>
    </row>
    <row r="1000" spans="1:42">
      <c r="A1000" s="2"/>
      <c r="AP1000" s="101"/>
    </row>
    <row r="1001" spans="1:42">
      <c r="A1001" s="2"/>
      <c r="AP1001" s="101"/>
    </row>
    <row r="1002" spans="1:42">
      <c r="A1002" s="2"/>
      <c r="AP1002" s="101"/>
    </row>
    <row r="1003" spans="1:42">
      <c r="A1003" s="2"/>
      <c r="AP1003" s="101"/>
    </row>
    <row r="1004" spans="1:42">
      <c r="A1004" s="2"/>
      <c r="AP1004" s="101"/>
    </row>
    <row r="1005" spans="1:42">
      <c r="A1005" s="2"/>
      <c r="AP1005" s="101"/>
    </row>
    <row r="1006" spans="1:42">
      <c r="A1006" s="2"/>
      <c r="AP1006" s="101"/>
    </row>
    <row r="1007" spans="1:42">
      <c r="A1007" s="2"/>
      <c r="AP1007" s="101"/>
    </row>
    <row r="1008" spans="1:42">
      <c r="A1008" s="2"/>
      <c r="AP1008" s="101"/>
    </row>
    <row r="1009" spans="1:42">
      <c r="A1009" s="2"/>
      <c r="AP1009" s="101"/>
    </row>
    <row r="1010" spans="1:42">
      <c r="A1010" s="2"/>
      <c r="AP1010" s="101"/>
    </row>
    <row r="1011" spans="1:42">
      <c r="A1011" s="2"/>
      <c r="AP1011" s="101"/>
    </row>
    <row r="1012" spans="1:42">
      <c r="A1012" s="2"/>
      <c r="AP1012" s="101"/>
    </row>
    <row r="1013" spans="1:42">
      <c r="A1013" s="2"/>
      <c r="AP1013" s="101"/>
    </row>
    <row r="1014" spans="1:42">
      <c r="A1014" s="2"/>
      <c r="AP1014" s="101"/>
    </row>
    <row r="1015" spans="1:42">
      <c r="A1015" s="2"/>
      <c r="AP1015" s="101"/>
    </row>
    <row r="1016" spans="1:42">
      <c r="A1016" s="2"/>
      <c r="AP1016" s="101"/>
    </row>
    <row r="1017" spans="1:42">
      <c r="A1017" s="2"/>
      <c r="AP1017" s="101"/>
    </row>
    <row r="1018" spans="1:42">
      <c r="A1018" s="2"/>
      <c r="AP1018" s="101"/>
    </row>
    <row r="1019" spans="1:42">
      <c r="A1019" s="2"/>
      <c r="AP1019" s="101"/>
    </row>
    <row r="1020" spans="1:42">
      <c r="A1020" s="2"/>
      <c r="AP1020" s="101"/>
    </row>
    <row r="1021" spans="1:42">
      <c r="A1021" s="2"/>
      <c r="AP1021" s="101"/>
    </row>
    <row r="1022" spans="1:42">
      <c r="A1022" s="2"/>
      <c r="AP1022" s="101"/>
    </row>
    <row r="1023" spans="1:42">
      <c r="A1023" s="2"/>
      <c r="AP1023" s="101"/>
    </row>
    <row r="1024" spans="1:42">
      <c r="A1024" s="2"/>
      <c r="AP1024" s="101"/>
    </row>
    <row r="1025" spans="1:42">
      <c r="A1025" s="2"/>
      <c r="AP1025" s="101"/>
    </row>
    <row r="1026" spans="1:42">
      <c r="A1026" s="2"/>
      <c r="AP1026" s="101"/>
    </row>
    <row r="1027" spans="1:42">
      <c r="A1027" s="2"/>
      <c r="AP1027" s="101"/>
    </row>
    <row r="1028" spans="1:42">
      <c r="A1028" s="2"/>
      <c r="AP1028" s="101"/>
    </row>
    <row r="1029" spans="1:42">
      <c r="A1029" s="2"/>
      <c r="AP1029" s="101"/>
    </row>
    <row r="1030" spans="1:42">
      <c r="A1030" s="2"/>
      <c r="AP1030" s="101"/>
    </row>
    <row r="1031" spans="1:42">
      <c r="A1031" s="2"/>
      <c r="AP1031" s="101"/>
    </row>
    <row r="1032" spans="1:42">
      <c r="A1032" s="2"/>
      <c r="AP1032" s="101"/>
    </row>
    <row r="1033" spans="1:42">
      <c r="A1033" s="2"/>
      <c r="AP1033" s="101"/>
    </row>
    <row r="1034" spans="1:42">
      <c r="A1034" s="2"/>
      <c r="AP1034" s="101"/>
    </row>
    <row r="1035" spans="1:42">
      <c r="A1035" s="2"/>
      <c r="AP1035" s="101"/>
    </row>
    <row r="1036" spans="1:42">
      <c r="A1036" s="2"/>
      <c r="AP1036" s="101"/>
    </row>
    <row r="1037" spans="1:42">
      <c r="A1037" s="2"/>
      <c r="AP1037" s="101"/>
    </row>
    <row r="1038" spans="1:42">
      <c r="A1038" s="2"/>
      <c r="AP1038" s="101"/>
    </row>
    <row r="1039" spans="1:42">
      <c r="A1039" s="2"/>
      <c r="AP1039" s="101"/>
    </row>
    <row r="1040" spans="1:42">
      <c r="A1040" s="2"/>
      <c r="AP1040" s="101"/>
    </row>
    <row r="1041" spans="42:42">
      <c r="AP1041" s="101"/>
    </row>
    <row r="1042" spans="42:42">
      <c r="AP1042" s="101"/>
    </row>
    <row r="1043" spans="42:42">
      <c r="AP1043" s="101"/>
    </row>
    <row r="1044" spans="42:42">
      <c r="AP1044" s="10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783B-2F4F-4872-9010-8803503806CC}">
  <sheetPr>
    <outlinePr summaryBelow="0" summaryRight="0"/>
  </sheetPr>
  <dimension ref="A1:AS1044"/>
  <sheetViews>
    <sheetView zoomScale="83" workbookViewId="0">
      <pane xSplit="2" ySplit="2" topLeftCell="C88" activePane="bottomRight" state="frozen"/>
      <selection pane="topRight" activeCell="C1" sqref="C1"/>
      <selection pane="bottomLeft" activeCell="A3" sqref="A3"/>
      <selection pane="bottomRight" activeCell="V2" sqref="V2"/>
    </sheetView>
  </sheetViews>
  <sheetFormatPr defaultColWidth="12.6640625" defaultRowHeight="15.75" customHeight="1"/>
  <cols>
    <col min="1" max="1" width="19.88671875" customWidth="1"/>
    <col min="2" max="2" width="56.44140625" customWidth="1"/>
  </cols>
  <sheetData>
    <row r="1" spans="1:45">
      <c r="A1" s="1" t="s">
        <v>0</v>
      </c>
      <c r="B1" s="79" t="s">
        <v>5</v>
      </c>
      <c r="C1" s="78">
        <v>3</v>
      </c>
      <c r="D1" s="78">
        <v>6</v>
      </c>
      <c r="E1" s="78">
        <v>7</v>
      </c>
      <c r="F1" s="78">
        <v>8</v>
      </c>
      <c r="G1" s="78">
        <v>26</v>
      </c>
      <c r="H1" s="78">
        <v>36</v>
      </c>
      <c r="I1" s="110">
        <v>40</v>
      </c>
      <c r="J1" s="78">
        <v>17</v>
      </c>
      <c r="K1" s="78">
        <v>20</v>
      </c>
      <c r="L1" s="78">
        <v>25</v>
      </c>
      <c r="M1" s="78">
        <v>27</v>
      </c>
      <c r="N1" s="78">
        <v>29</v>
      </c>
      <c r="O1" s="78">
        <v>30</v>
      </c>
      <c r="P1" s="78">
        <v>34</v>
      </c>
      <c r="Q1" s="78">
        <v>35</v>
      </c>
      <c r="R1" s="78">
        <v>37</v>
      </c>
      <c r="S1" s="80">
        <v>38</v>
      </c>
      <c r="T1" s="78" t="s">
        <v>2</v>
      </c>
      <c r="U1" s="78" t="s">
        <v>3</v>
      </c>
      <c r="AS1" s="78"/>
    </row>
    <row r="2" spans="1:45">
      <c r="A2" s="5" t="s">
        <v>4</v>
      </c>
      <c r="B2" s="5" t="s">
        <v>6</v>
      </c>
      <c r="C2" s="5"/>
      <c r="D2" s="5"/>
      <c r="E2" s="5"/>
      <c r="F2" s="5"/>
      <c r="G2" s="5"/>
      <c r="H2" s="5"/>
      <c r="I2" s="111"/>
      <c r="J2" s="5"/>
      <c r="K2" s="5"/>
      <c r="L2" s="5"/>
      <c r="M2" s="5"/>
      <c r="N2" s="5"/>
      <c r="O2" s="5"/>
      <c r="P2" s="5"/>
      <c r="Q2" s="5"/>
      <c r="R2" s="5"/>
      <c r="S2" s="81"/>
      <c r="T2" s="5"/>
      <c r="U2" s="5"/>
      <c r="AS2" s="5"/>
    </row>
    <row r="3" spans="1:45">
      <c r="A3" s="5"/>
      <c r="B3" s="5" t="s">
        <v>74</v>
      </c>
      <c r="C3" s="5">
        <v>14</v>
      </c>
      <c r="D3" s="5">
        <v>14</v>
      </c>
      <c r="E3" s="5">
        <v>14</v>
      </c>
      <c r="F3" s="5">
        <v>14</v>
      </c>
      <c r="G3" s="5">
        <v>14</v>
      </c>
      <c r="H3" s="5">
        <v>14</v>
      </c>
      <c r="I3" s="111">
        <v>14</v>
      </c>
      <c r="J3" s="5">
        <v>15</v>
      </c>
      <c r="K3" s="5">
        <v>15</v>
      </c>
      <c r="L3" s="5">
        <v>15</v>
      </c>
      <c r="M3" s="5">
        <v>15</v>
      </c>
      <c r="N3" s="5">
        <v>15</v>
      </c>
      <c r="O3" s="5">
        <v>15</v>
      </c>
      <c r="P3" s="5">
        <v>15</v>
      </c>
      <c r="Q3" s="5">
        <v>15</v>
      </c>
      <c r="R3" s="5">
        <v>15</v>
      </c>
      <c r="S3" s="81">
        <v>15</v>
      </c>
      <c r="T3" s="5"/>
      <c r="U3" s="5"/>
      <c r="AS3" s="5"/>
    </row>
    <row r="4" spans="1:45">
      <c r="A4" s="5"/>
      <c r="B4" s="5" t="s">
        <v>8</v>
      </c>
      <c r="C4" s="5" t="s">
        <v>10</v>
      </c>
      <c r="D4" s="5" t="s">
        <v>9</v>
      </c>
      <c r="E4" s="5" t="s">
        <v>9</v>
      </c>
      <c r="F4" s="5" t="s">
        <v>10</v>
      </c>
      <c r="G4" s="5" t="s">
        <v>9</v>
      </c>
      <c r="H4" s="5" t="s">
        <v>9</v>
      </c>
      <c r="I4" s="111" t="s">
        <v>9</v>
      </c>
      <c r="J4" s="5" t="s">
        <v>9</v>
      </c>
      <c r="K4" s="5" t="s">
        <v>10</v>
      </c>
      <c r="L4" s="5" t="s">
        <v>9</v>
      </c>
      <c r="M4" s="5" t="s">
        <v>9</v>
      </c>
      <c r="N4" s="5" t="s">
        <v>9</v>
      </c>
      <c r="O4" s="5" t="s">
        <v>10</v>
      </c>
      <c r="P4" s="5" t="s">
        <v>10</v>
      </c>
      <c r="Q4" s="5" t="s">
        <v>9</v>
      </c>
      <c r="R4" s="5" t="s">
        <v>9</v>
      </c>
      <c r="S4" s="81" t="s">
        <v>9</v>
      </c>
      <c r="T4" s="5"/>
      <c r="U4" s="5"/>
      <c r="AS4" s="5"/>
    </row>
    <row r="5" spans="1:45">
      <c r="A5" s="5"/>
      <c r="B5" s="5" t="s">
        <v>11</v>
      </c>
      <c r="C5" s="5" t="s">
        <v>12</v>
      </c>
      <c r="D5" s="5" t="s">
        <v>12</v>
      </c>
      <c r="E5" s="5" t="s">
        <v>12</v>
      </c>
      <c r="F5" s="5"/>
      <c r="G5" s="5"/>
      <c r="H5" s="5" t="s">
        <v>12</v>
      </c>
      <c r="I5" s="111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/>
      <c r="P5" s="5" t="s">
        <v>12</v>
      </c>
      <c r="Q5" s="5" t="s">
        <v>12</v>
      </c>
      <c r="R5" s="5" t="s">
        <v>12</v>
      </c>
      <c r="S5" s="81" t="s">
        <v>12</v>
      </c>
      <c r="T5" s="5"/>
      <c r="U5" s="5"/>
      <c r="AS5" s="5"/>
    </row>
    <row r="6" spans="1:45">
      <c r="A6" s="5"/>
      <c r="B6" s="5" t="s">
        <v>76</v>
      </c>
      <c r="C6" s="5" t="s">
        <v>59</v>
      </c>
      <c r="D6" s="5" t="s">
        <v>77</v>
      </c>
      <c r="E6" s="5" t="s">
        <v>61</v>
      </c>
      <c r="F6" s="5" t="s">
        <v>78</v>
      </c>
      <c r="G6" s="5" t="s">
        <v>59</v>
      </c>
      <c r="H6" s="5" t="s">
        <v>59</v>
      </c>
      <c r="I6" s="111" t="s">
        <v>59</v>
      </c>
      <c r="J6" s="5" t="s">
        <v>61</v>
      </c>
      <c r="K6" s="5" t="s">
        <v>61</v>
      </c>
      <c r="L6" s="5" t="s">
        <v>61</v>
      </c>
      <c r="M6" s="5" t="s">
        <v>79</v>
      </c>
      <c r="N6" s="5" t="s">
        <v>61</v>
      </c>
      <c r="O6" s="7"/>
      <c r="P6" s="5" t="s">
        <v>59</v>
      </c>
      <c r="Q6" s="5" t="s">
        <v>59</v>
      </c>
      <c r="R6" s="5" t="s">
        <v>59</v>
      </c>
      <c r="S6" s="81" t="s">
        <v>61</v>
      </c>
      <c r="T6" s="5"/>
      <c r="U6" s="5"/>
      <c r="AS6" s="5"/>
    </row>
    <row r="7" spans="1:45">
      <c r="A7" s="5"/>
      <c r="B7" s="82" t="s">
        <v>80</v>
      </c>
      <c r="C7" s="5" t="s">
        <v>81</v>
      </c>
      <c r="D7" s="5" t="s">
        <v>81</v>
      </c>
      <c r="E7" s="5" t="s">
        <v>82</v>
      </c>
      <c r="F7" s="5" t="s">
        <v>81</v>
      </c>
      <c r="G7" s="5" t="s">
        <v>81</v>
      </c>
      <c r="H7" s="5" t="s">
        <v>81</v>
      </c>
      <c r="I7" s="112"/>
      <c r="J7" s="5" t="s">
        <v>81</v>
      </c>
      <c r="K7" s="5" t="s">
        <v>81</v>
      </c>
      <c r="L7" s="7"/>
      <c r="M7" s="7"/>
      <c r="N7" s="5" t="s">
        <v>81</v>
      </c>
      <c r="O7" s="5" t="s">
        <v>81</v>
      </c>
      <c r="P7" s="5" t="s">
        <v>81</v>
      </c>
      <c r="Q7" s="5" t="s">
        <v>81</v>
      </c>
      <c r="R7" s="5" t="s">
        <v>81</v>
      </c>
      <c r="S7" s="81" t="s">
        <v>81</v>
      </c>
      <c r="T7" s="7"/>
      <c r="U7" s="7"/>
      <c r="AS7" s="7"/>
    </row>
    <row r="8" spans="1:45">
      <c r="A8" s="5"/>
      <c r="B8" s="82" t="s">
        <v>85</v>
      </c>
      <c r="C8" s="5" t="s">
        <v>81</v>
      </c>
      <c r="D8" s="5" t="s">
        <v>81</v>
      </c>
      <c r="E8" s="5" t="s">
        <v>82</v>
      </c>
      <c r="F8" s="5" t="s">
        <v>81</v>
      </c>
      <c r="G8" s="5" t="s">
        <v>81</v>
      </c>
      <c r="H8" s="5" t="s">
        <v>86</v>
      </c>
      <c r="I8" s="112"/>
      <c r="J8" s="5" t="s">
        <v>81</v>
      </c>
      <c r="K8" s="5" t="s">
        <v>81</v>
      </c>
      <c r="L8" s="7"/>
      <c r="M8" s="7"/>
      <c r="N8" s="5" t="s">
        <v>81</v>
      </c>
      <c r="O8" s="5" t="s">
        <v>81</v>
      </c>
      <c r="P8" s="5" t="s">
        <v>81</v>
      </c>
      <c r="Q8" s="5" t="s">
        <v>81</v>
      </c>
      <c r="R8" s="5" t="s">
        <v>81</v>
      </c>
      <c r="S8" s="81" t="s">
        <v>81</v>
      </c>
      <c r="T8" s="7"/>
      <c r="U8" s="7"/>
      <c r="AS8" s="7"/>
    </row>
    <row r="9" spans="1:45">
      <c r="A9" s="8" t="s">
        <v>87</v>
      </c>
      <c r="B9" s="83" t="s">
        <v>19</v>
      </c>
      <c r="C9" s="9"/>
      <c r="D9" s="9"/>
      <c r="E9" s="9"/>
      <c r="F9" s="9"/>
      <c r="G9" s="9"/>
      <c r="H9" s="9"/>
      <c r="I9" s="113"/>
      <c r="J9" s="9"/>
      <c r="K9" s="9"/>
      <c r="L9" s="9"/>
      <c r="M9" s="9"/>
      <c r="N9" s="9"/>
      <c r="O9" s="9"/>
      <c r="P9" s="9"/>
      <c r="Q9" s="9"/>
      <c r="R9" s="9"/>
      <c r="S9" s="84"/>
      <c r="T9" s="9"/>
      <c r="U9" s="9"/>
      <c r="AS9" s="9"/>
    </row>
    <row r="10" spans="1:45">
      <c r="A10" s="8" t="s">
        <v>88</v>
      </c>
      <c r="B10" s="75" t="s">
        <v>89</v>
      </c>
      <c r="C10" s="9"/>
      <c r="D10" s="9"/>
      <c r="E10" s="9"/>
      <c r="F10" s="9"/>
      <c r="G10" s="9"/>
      <c r="H10" s="9"/>
      <c r="I10" s="113"/>
      <c r="J10" s="9"/>
      <c r="K10" s="9"/>
      <c r="L10" s="9"/>
      <c r="M10" s="9"/>
      <c r="N10" s="9"/>
      <c r="O10" s="9"/>
      <c r="P10" s="9"/>
      <c r="Q10" s="9"/>
      <c r="R10" s="9"/>
      <c r="S10" s="84"/>
      <c r="T10" s="9"/>
      <c r="U10" s="9"/>
      <c r="AS10" s="9"/>
    </row>
    <row r="11" spans="1:45">
      <c r="A11" s="8"/>
      <c r="B11" s="12" t="s">
        <v>23</v>
      </c>
      <c r="C11" s="75">
        <v>3</v>
      </c>
      <c r="D11" s="75">
        <v>4</v>
      </c>
      <c r="E11" s="75">
        <v>1</v>
      </c>
      <c r="F11" s="75">
        <v>2</v>
      </c>
      <c r="G11" s="75">
        <v>1</v>
      </c>
      <c r="H11" s="75">
        <v>3</v>
      </c>
      <c r="I11" s="114">
        <v>5</v>
      </c>
      <c r="J11" s="75">
        <v>1</v>
      </c>
      <c r="K11" s="75">
        <v>2</v>
      </c>
      <c r="L11" s="75">
        <v>1</v>
      </c>
      <c r="M11" s="75">
        <v>3</v>
      </c>
      <c r="N11" s="75">
        <v>2.5</v>
      </c>
      <c r="O11" s="75">
        <v>2</v>
      </c>
      <c r="P11" s="75">
        <v>2.5</v>
      </c>
      <c r="Q11" s="75">
        <v>2.5</v>
      </c>
      <c r="R11" s="75">
        <v>3</v>
      </c>
      <c r="S11" s="18">
        <v>2.5</v>
      </c>
      <c r="T11" s="75">
        <f t="array" ref="T11">SUM(15-ROUND(C11:S11,0))</f>
        <v>212</v>
      </c>
      <c r="U11" s="75">
        <f>0.61*(T11/COLUMNS(C11:S11))</f>
        <v>7.6070588235294121</v>
      </c>
      <c r="AS11" s="75"/>
    </row>
    <row r="12" spans="1:45">
      <c r="A12" s="8"/>
      <c r="B12" s="12" t="s">
        <v>24</v>
      </c>
      <c r="C12" s="75">
        <v>6</v>
      </c>
      <c r="D12" s="75">
        <v>9</v>
      </c>
      <c r="E12" s="75">
        <v>1</v>
      </c>
      <c r="F12" s="75">
        <v>2</v>
      </c>
      <c r="G12" s="75">
        <v>3</v>
      </c>
      <c r="H12" s="75">
        <v>2.5</v>
      </c>
      <c r="I12" s="114">
        <v>5</v>
      </c>
      <c r="J12" s="75">
        <v>2</v>
      </c>
      <c r="K12" s="75">
        <v>5</v>
      </c>
      <c r="L12" s="75">
        <v>7</v>
      </c>
      <c r="M12" s="75">
        <v>3</v>
      </c>
      <c r="N12" s="75">
        <v>2.5</v>
      </c>
      <c r="O12" s="75">
        <v>5</v>
      </c>
      <c r="P12" s="75">
        <v>2.5</v>
      </c>
      <c r="Q12" s="75">
        <v>3</v>
      </c>
      <c r="R12" s="75">
        <v>2.5</v>
      </c>
      <c r="S12" s="18">
        <v>3</v>
      </c>
      <c r="T12" s="75">
        <f t="array" ref="T12">SUM(15-ROUND(C12:S12,0))</f>
        <v>189</v>
      </c>
      <c r="U12" s="75">
        <f>0.61*(T12/COLUMNS(C12:S12))</f>
        <v>6.7817647058823525</v>
      </c>
      <c r="AS12" s="75"/>
    </row>
    <row r="13" spans="1:45">
      <c r="A13" s="8" t="s">
        <v>88</v>
      </c>
      <c r="B13" s="75" t="s">
        <v>90</v>
      </c>
      <c r="C13" s="9"/>
      <c r="D13" s="9"/>
      <c r="E13" s="9"/>
      <c r="F13" s="9"/>
      <c r="G13" s="9"/>
      <c r="H13" s="9"/>
      <c r="I13" s="113"/>
      <c r="J13" s="9"/>
      <c r="K13" s="9"/>
      <c r="L13" s="9"/>
      <c r="M13" s="9"/>
      <c r="N13" s="9"/>
      <c r="O13" s="9"/>
      <c r="P13" s="9"/>
      <c r="Q13" s="9"/>
      <c r="R13" s="9"/>
      <c r="S13" s="84"/>
      <c r="T13" s="75"/>
      <c r="U13" s="75"/>
      <c r="AS13" s="9"/>
    </row>
    <row r="14" spans="1:45">
      <c r="A14" s="8"/>
      <c r="B14" s="12" t="s">
        <v>23</v>
      </c>
      <c r="C14" s="75">
        <v>5</v>
      </c>
      <c r="D14" s="75">
        <v>5</v>
      </c>
      <c r="E14" s="75">
        <v>3</v>
      </c>
      <c r="F14" s="75">
        <v>6</v>
      </c>
      <c r="G14" s="75">
        <v>1.5</v>
      </c>
      <c r="H14" s="75">
        <v>4</v>
      </c>
      <c r="I14" s="114">
        <v>6</v>
      </c>
      <c r="J14" s="75">
        <v>1</v>
      </c>
      <c r="K14" s="75">
        <v>4</v>
      </c>
      <c r="L14" s="75">
        <v>2</v>
      </c>
      <c r="M14" s="75">
        <v>4</v>
      </c>
      <c r="N14" s="75">
        <v>4</v>
      </c>
      <c r="O14" s="75">
        <v>3</v>
      </c>
      <c r="P14" s="75">
        <v>4.5</v>
      </c>
      <c r="Q14" s="75">
        <v>4</v>
      </c>
      <c r="R14" s="75">
        <v>4</v>
      </c>
      <c r="S14" s="18">
        <v>4</v>
      </c>
      <c r="T14" s="75">
        <f t="array" ref="T14">SUM(15-ROUND(C14:S14,0))</f>
        <v>189</v>
      </c>
      <c r="U14" s="75">
        <f>0.61*(T14/COLUMNS(C14:S14))</f>
        <v>6.7817647058823525</v>
      </c>
      <c r="AS14" s="75"/>
    </row>
    <row r="15" spans="1:45">
      <c r="A15" s="8"/>
      <c r="B15" s="12" t="s">
        <v>24</v>
      </c>
      <c r="C15" s="75">
        <v>10</v>
      </c>
      <c r="D15" s="75">
        <v>10</v>
      </c>
      <c r="E15" s="75">
        <v>3</v>
      </c>
      <c r="F15" s="75">
        <v>5</v>
      </c>
      <c r="G15" s="75">
        <v>5</v>
      </c>
      <c r="H15" s="75">
        <v>5</v>
      </c>
      <c r="I15" s="114">
        <v>6</v>
      </c>
      <c r="J15" s="75">
        <v>2</v>
      </c>
      <c r="K15" s="75">
        <v>6</v>
      </c>
      <c r="L15" s="75">
        <v>8</v>
      </c>
      <c r="M15" s="75">
        <v>3</v>
      </c>
      <c r="N15" s="75">
        <v>5</v>
      </c>
      <c r="O15" s="75">
        <v>9</v>
      </c>
      <c r="P15" s="75">
        <v>4.5</v>
      </c>
      <c r="Q15" s="75">
        <v>5</v>
      </c>
      <c r="R15" s="75">
        <v>5</v>
      </c>
      <c r="S15" s="18">
        <v>4.5</v>
      </c>
      <c r="T15" s="75">
        <f t="array" ref="T15">SUM(15-ROUND(C15:S15,0))</f>
        <v>158</v>
      </c>
      <c r="U15" s="75">
        <f>0.61*(T15/COLUMNS(C15:S15))</f>
        <v>5.6694117647058828</v>
      </c>
      <c r="AS15" s="75"/>
    </row>
    <row r="16" spans="1:45">
      <c r="A16" s="8" t="s">
        <v>26</v>
      </c>
      <c r="B16" s="75" t="s">
        <v>91</v>
      </c>
      <c r="C16" s="9"/>
      <c r="D16" s="9"/>
      <c r="E16" s="9"/>
      <c r="F16" s="9"/>
      <c r="G16" s="9"/>
      <c r="H16" s="9"/>
      <c r="I16" s="113"/>
      <c r="J16" s="9"/>
      <c r="K16" s="9"/>
      <c r="L16" s="9"/>
      <c r="M16" s="9"/>
      <c r="N16" s="9"/>
      <c r="O16" s="9"/>
      <c r="P16" s="9"/>
      <c r="Q16" s="9"/>
      <c r="R16" s="9"/>
      <c r="S16" s="84"/>
      <c r="T16" s="9"/>
      <c r="U16" s="75"/>
      <c r="AS16" s="9"/>
    </row>
    <row r="17" spans="1:45">
      <c r="A17" s="8"/>
      <c r="B17" s="12" t="s">
        <v>23</v>
      </c>
      <c r="C17" s="75">
        <v>14</v>
      </c>
      <c r="D17" s="75">
        <v>14</v>
      </c>
      <c r="E17" s="75">
        <v>14</v>
      </c>
      <c r="F17" s="75">
        <v>14</v>
      </c>
      <c r="G17" s="75">
        <v>14</v>
      </c>
      <c r="H17" s="75">
        <v>14</v>
      </c>
      <c r="I17" s="114">
        <v>14</v>
      </c>
      <c r="J17" s="75">
        <v>15</v>
      </c>
      <c r="K17" s="75">
        <v>15</v>
      </c>
      <c r="L17" s="75">
        <v>15</v>
      </c>
      <c r="M17" s="75">
        <v>15</v>
      </c>
      <c r="N17" s="75">
        <v>15</v>
      </c>
      <c r="O17" s="75">
        <v>15</v>
      </c>
      <c r="P17" s="75">
        <v>15</v>
      </c>
      <c r="Q17" s="75">
        <v>15</v>
      </c>
      <c r="R17" s="75">
        <v>15</v>
      </c>
      <c r="S17" s="18">
        <v>15</v>
      </c>
      <c r="T17" s="75">
        <f t="shared" ref="T17:T27" si="0">SUM(C17:S17,0)</f>
        <v>248</v>
      </c>
      <c r="U17" s="75">
        <f t="shared" ref="U17:U27" si="1">0.61*(T17/COLUMNS(C17:S17))</f>
        <v>8.8988235294117644</v>
      </c>
      <c r="AS17" s="75"/>
    </row>
    <row r="18" spans="1:45">
      <c r="A18" s="8"/>
      <c r="B18" s="12" t="s">
        <v>24</v>
      </c>
      <c r="C18" s="75">
        <v>14</v>
      </c>
      <c r="D18" s="75">
        <v>14</v>
      </c>
      <c r="E18" s="75">
        <v>14</v>
      </c>
      <c r="F18" s="75">
        <v>14</v>
      </c>
      <c r="G18" s="75">
        <v>14</v>
      </c>
      <c r="H18" s="75">
        <v>14</v>
      </c>
      <c r="I18" s="114">
        <v>14</v>
      </c>
      <c r="J18" s="75">
        <v>15</v>
      </c>
      <c r="K18" s="75">
        <v>15</v>
      </c>
      <c r="L18" s="75">
        <v>15</v>
      </c>
      <c r="M18" s="75">
        <v>15</v>
      </c>
      <c r="N18" s="75">
        <v>15</v>
      </c>
      <c r="O18" s="75">
        <v>15</v>
      </c>
      <c r="P18" s="75">
        <v>15</v>
      </c>
      <c r="Q18" s="75">
        <v>15</v>
      </c>
      <c r="R18" s="75">
        <v>15</v>
      </c>
      <c r="S18" s="18">
        <v>15</v>
      </c>
      <c r="T18" s="75">
        <f t="shared" si="0"/>
        <v>248</v>
      </c>
      <c r="U18" s="75">
        <f t="shared" si="1"/>
        <v>8.8988235294117644</v>
      </c>
      <c r="AS18" s="75"/>
    </row>
    <row r="19" spans="1:45">
      <c r="A19" s="8" t="s">
        <v>26</v>
      </c>
      <c r="B19" s="75" t="s">
        <v>92</v>
      </c>
      <c r="C19" s="9"/>
      <c r="D19" s="9"/>
      <c r="E19" s="9"/>
      <c r="F19" s="9"/>
      <c r="G19" s="9"/>
      <c r="H19" s="9"/>
      <c r="I19" s="113"/>
      <c r="J19" s="9"/>
      <c r="K19" s="9"/>
      <c r="L19" s="9"/>
      <c r="M19" s="9"/>
      <c r="N19" s="9"/>
      <c r="O19" s="9"/>
      <c r="P19" s="9"/>
      <c r="Q19" s="9"/>
      <c r="R19" s="9"/>
      <c r="S19" s="84"/>
      <c r="T19" s="75">
        <f t="shared" si="0"/>
        <v>0</v>
      </c>
      <c r="U19" s="75">
        <f t="shared" si="1"/>
        <v>0</v>
      </c>
      <c r="AS19" s="9"/>
    </row>
    <row r="20" spans="1:45">
      <c r="A20" s="8"/>
      <c r="B20" s="12" t="s">
        <v>23</v>
      </c>
      <c r="C20" s="75">
        <v>4</v>
      </c>
      <c r="D20" s="75">
        <v>5</v>
      </c>
      <c r="E20" s="75">
        <v>5</v>
      </c>
      <c r="F20" s="9"/>
      <c r="G20" s="9"/>
      <c r="H20" s="75">
        <v>1</v>
      </c>
      <c r="I20" s="114">
        <v>3</v>
      </c>
      <c r="J20" s="9"/>
      <c r="K20" s="9"/>
      <c r="L20" s="9"/>
      <c r="M20" s="75">
        <v>1.5</v>
      </c>
      <c r="N20" s="75">
        <v>1</v>
      </c>
      <c r="O20" s="75"/>
      <c r="P20" s="75">
        <v>1.5</v>
      </c>
      <c r="Q20" s="75">
        <v>1</v>
      </c>
      <c r="R20" s="75">
        <v>1</v>
      </c>
      <c r="S20" s="84"/>
      <c r="T20" s="75">
        <f t="shared" si="0"/>
        <v>24</v>
      </c>
      <c r="U20" s="75">
        <f t="shared" si="1"/>
        <v>0.86117647058823532</v>
      </c>
      <c r="AS20" s="75"/>
    </row>
    <row r="21" spans="1:45">
      <c r="A21" s="8"/>
      <c r="B21" s="12" t="s">
        <v>24</v>
      </c>
      <c r="C21" s="75">
        <v>4</v>
      </c>
      <c r="D21" s="75">
        <v>3</v>
      </c>
      <c r="E21" s="75">
        <v>3</v>
      </c>
      <c r="F21" s="9"/>
      <c r="G21" s="75"/>
      <c r="H21" s="75">
        <v>1</v>
      </c>
      <c r="I21" s="114">
        <v>3</v>
      </c>
      <c r="J21" s="9"/>
      <c r="K21" s="9"/>
      <c r="L21" s="9"/>
      <c r="M21" s="75">
        <v>1.5</v>
      </c>
      <c r="N21" s="75">
        <v>2</v>
      </c>
      <c r="O21" s="75"/>
      <c r="P21" s="75">
        <v>1.5</v>
      </c>
      <c r="Q21" s="75">
        <v>1</v>
      </c>
      <c r="R21" s="75">
        <v>2</v>
      </c>
      <c r="S21" s="84"/>
      <c r="T21" s="75">
        <f t="shared" si="0"/>
        <v>22</v>
      </c>
      <c r="U21" s="75">
        <f t="shared" si="1"/>
        <v>0.78941176470588237</v>
      </c>
      <c r="AS21" s="75"/>
    </row>
    <row r="22" spans="1:45">
      <c r="A22" s="8" t="s">
        <v>26</v>
      </c>
      <c r="B22" s="75" t="s">
        <v>93</v>
      </c>
      <c r="C22" s="9"/>
      <c r="D22" s="9"/>
      <c r="E22" s="9"/>
      <c r="F22" s="9"/>
      <c r="G22" s="9"/>
      <c r="H22" s="9"/>
      <c r="I22" s="113"/>
      <c r="J22" s="9"/>
      <c r="K22" s="9"/>
      <c r="L22" s="9"/>
      <c r="M22" s="9"/>
      <c r="N22" s="9"/>
      <c r="O22" s="9"/>
      <c r="P22" s="9"/>
      <c r="Q22" s="9"/>
      <c r="R22" s="9"/>
      <c r="S22" s="84"/>
      <c r="T22" s="75">
        <f t="shared" si="0"/>
        <v>0</v>
      </c>
      <c r="U22" s="75">
        <f t="shared" si="1"/>
        <v>0</v>
      </c>
      <c r="AS22" s="9"/>
    </row>
    <row r="23" spans="1:45">
      <c r="A23" s="8"/>
      <c r="B23" s="12" t="s">
        <v>23</v>
      </c>
      <c r="C23" s="75">
        <v>4</v>
      </c>
      <c r="D23" s="75">
        <v>2</v>
      </c>
      <c r="E23" s="75">
        <v>4</v>
      </c>
      <c r="F23" s="9"/>
      <c r="G23" s="9"/>
      <c r="H23" s="75">
        <v>3</v>
      </c>
      <c r="I23" s="114">
        <v>4</v>
      </c>
      <c r="J23" s="75">
        <v>4</v>
      </c>
      <c r="K23" s="75">
        <v>2</v>
      </c>
      <c r="L23" s="75">
        <v>2</v>
      </c>
      <c r="M23" s="75">
        <v>6</v>
      </c>
      <c r="N23" s="75">
        <v>2</v>
      </c>
      <c r="O23" s="75">
        <v>3</v>
      </c>
      <c r="P23" s="75">
        <v>2</v>
      </c>
      <c r="Q23" s="75">
        <v>2</v>
      </c>
      <c r="R23" s="75">
        <v>2</v>
      </c>
      <c r="S23" s="18">
        <v>4</v>
      </c>
      <c r="T23" s="75">
        <f t="shared" si="0"/>
        <v>46</v>
      </c>
      <c r="U23" s="75">
        <f t="shared" si="1"/>
        <v>1.6505882352941177</v>
      </c>
      <c r="AS23" s="75"/>
    </row>
    <row r="24" spans="1:45">
      <c r="A24" s="8"/>
      <c r="B24" s="12" t="s">
        <v>24</v>
      </c>
      <c r="C24" s="75">
        <v>4</v>
      </c>
      <c r="D24" s="75">
        <v>2</v>
      </c>
      <c r="E24" s="75">
        <v>4</v>
      </c>
      <c r="F24" s="9"/>
      <c r="G24" s="9"/>
      <c r="H24" s="75">
        <v>3</v>
      </c>
      <c r="I24" s="114">
        <v>4</v>
      </c>
      <c r="J24" s="75">
        <v>4</v>
      </c>
      <c r="K24" s="75">
        <v>2</v>
      </c>
      <c r="L24" s="75">
        <v>0</v>
      </c>
      <c r="M24" s="75">
        <v>6</v>
      </c>
      <c r="N24" s="75">
        <v>2</v>
      </c>
      <c r="O24" s="75">
        <v>3</v>
      </c>
      <c r="P24" s="75">
        <v>2</v>
      </c>
      <c r="Q24" s="75">
        <v>2</v>
      </c>
      <c r="R24" s="75">
        <v>2</v>
      </c>
      <c r="S24" s="18">
        <v>4</v>
      </c>
      <c r="T24" s="75">
        <f t="shared" si="0"/>
        <v>44</v>
      </c>
      <c r="U24" s="75">
        <f t="shared" si="1"/>
        <v>1.5788235294117647</v>
      </c>
      <c r="AS24" s="75"/>
    </row>
    <row r="25" spans="1:45">
      <c r="A25" s="8" t="s">
        <v>26</v>
      </c>
      <c r="B25" s="75" t="s">
        <v>94</v>
      </c>
      <c r="C25" s="9"/>
      <c r="D25" s="9"/>
      <c r="E25" s="9"/>
      <c r="F25" s="9"/>
      <c r="G25" s="9"/>
      <c r="H25" s="9"/>
      <c r="I25" s="113"/>
      <c r="J25" s="9"/>
      <c r="K25" s="9"/>
      <c r="L25" s="9"/>
      <c r="M25" s="9"/>
      <c r="N25" s="9"/>
      <c r="O25" s="9"/>
      <c r="P25" s="9"/>
      <c r="Q25" s="9"/>
      <c r="R25" s="9"/>
      <c r="S25" s="84"/>
      <c r="T25" s="75">
        <f t="shared" si="0"/>
        <v>0</v>
      </c>
      <c r="U25" s="75">
        <f t="shared" si="1"/>
        <v>0</v>
      </c>
      <c r="AS25" s="9"/>
    </row>
    <row r="26" spans="1:45">
      <c r="A26" s="8"/>
      <c r="B26" s="12" t="s">
        <v>23</v>
      </c>
      <c r="C26" s="75">
        <v>6</v>
      </c>
      <c r="D26" s="75">
        <v>7</v>
      </c>
      <c r="E26" s="75">
        <v>9</v>
      </c>
      <c r="F26" s="75"/>
      <c r="G26" s="75">
        <v>6</v>
      </c>
      <c r="H26" s="75">
        <v>9</v>
      </c>
      <c r="I26" s="114">
        <v>7</v>
      </c>
      <c r="J26" s="9"/>
      <c r="K26" s="75">
        <v>10</v>
      </c>
      <c r="L26" s="75">
        <v>9</v>
      </c>
      <c r="M26" s="75">
        <v>9</v>
      </c>
      <c r="N26" s="75">
        <v>10</v>
      </c>
      <c r="O26" s="75">
        <v>8</v>
      </c>
      <c r="P26" s="75">
        <v>11</v>
      </c>
      <c r="Q26" s="75">
        <v>10</v>
      </c>
      <c r="R26" s="75">
        <v>10</v>
      </c>
      <c r="S26" s="18"/>
      <c r="T26" s="75">
        <f t="shared" si="0"/>
        <v>121</v>
      </c>
      <c r="U26" s="75">
        <f t="shared" si="1"/>
        <v>4.341764705882353</v>
      </c>
      <c r="AS26" s="75"/>
    </row>
    <row r="27" spans="1:45">
      <c r="A27" s="12"/>
      <c r="B27" s="12" t="s">
        <v>24</v>
      </c>
      <c r="C27" s="75">
        <v>6</v>
      </c>
      <c r="D27" s="75">
        <v>7</v>
      </c>
      <c r="E27" s="75">
        <v>9</v>
      </c>
      <c r="F27" s="75">
        <v>8</v>
      </c>
      <c r="G27" s="75">
        <v>6</v>
      </c>
      <c r="H27" s="75">
        <v>9</v>
      </c>
      <c r="I27" s="114">
        <v>7</v>
      </c>
      <c r="J27" s="75">
        <v>10</v>
      </c>
      <c r="K27" s="75">
        <v>10</v>
      </c>
      <c r="L27" s="75">
        <v>9</v>
      </c>
      <c r="M27" s="75">
        <v>9</v>
      </c>
      <c r="N27" s="75">
        <v>10</v>
      </c>
      <c r="O27" s="75">
        <v>8</v>
      </c>
      <c r="P27" s="75">
        <v>11</v>
      </c>
      <c r="Q27" s="75">
        <v>10</v>
      </c>
      <c r="R27" s="75">
        <v>10</v>
      </c>
      <c r="S27" s="18">
        <v>9</v>
      </c>
      <c r="T27" s="75">
        <f t="shared" si="0"/>
        <v>148</v>
      </c>
      <c r="U27" s="75">
        <f t="shared" si="1"/>
        <v>5.3105882352941167</v>
      </c>
      <c r="AS27" s="75"/>
    </row>
    <row r="28" spans="1:45">
      <c r="A28" s="14"/>
      <c r="B28" s="14" t="s">
        <v>32</v>
      </c>
      <c r="C28" s="15">
        <f t="shared" ref="C28:S28" si="2">0.61*((15-ROUND(C11,0))+(15-ROUND(C14,0))+C17+C20+C23+C26)</f>
        <v>30.5</v>
      </c>
      <c r="D28" s="15">
        <f t="shared" si="2"/>
        <v>29.89</v>
      </c>
      <c r="E28" s="15">
        <f t="shared" si="2"/>
        <v>35.380000000000003</v>
      </c>
      <c r="F28" s="15">
        <f t="shared" si="2"/>
        <v>21.96</v>
      </c>
      <c r="G28" s="15">
        <f t="shared" si="2"/>
        <v>28.669999999999998</v>
      </c>
      <c r="H28" s="15">
        <f t="shared" si="2"/>
        <v>30.5</v>
      </c>
      <c r="I28" s="15">
        <f t="shared" si="2"/>
        <v>28.669999999999998</v>
      </c>
      <c r="J28" s="15">
        <f t="shared" si="2"/>
        <v>28.669999999999998</v>
      </c>
      <c r="K28" s="15">
        <f t="shared" si="2"/>
        <v>31.11</v>
      </c>
      <c r="L28" s="15">
        <f t="shared" si="2"/>
        <v>32.33</v>
      </c>
      <c r="M28" s="15">
        <f t="shared" si="2"/>
        <v>33.244999999999997</v>
      </c>
      <c r="N28" s="15">
        <f t="shared" si="2"/>
        <v>31.11</v>
      </c>
      <c r="O28" s="15">
        <f t="shared" si="2"/>
        <v>31.11</v>
      </c>
      <c r="P28" s="15">
        <f t="shared" si="2"/>
        <v>31.414999999999999</v>
      </c>
      <c r="Q28" s="15">
        <f t="shared" si="2"/>
        <v>31.11</v>
      </c>
      <c r="R28" s="15">
        <f t="shared" si="2"/>
        <v>31.11</v>
      </c>
      <c r="S28" s="17">
        <f t="shared" si="2"/>
        <v>25.62</v>
      </c>
      <c r="T28" s="16">
        <f>AVERAGE(C28:S28)</f>
        <v>30.141176470588235</v>
      </c>
      <c r="U28" s="17">
        <f t="shared" ref="U28:U29" si="3">U11+U14+U17+U20+U23+U26</f>
        <v>30.141176470588235</v>
      </c>
      <c r="AS28" s="75"/>
    </row>
    <row r="29" spans="1:45">
      <c r="A29" s="12"/>
      <c r="B29" s="12" t="s">
        <v>33</v>
      </c>
      <c r="C29" s="75">
        <f t="shared" ref="C29:S29" si="4">0.61*((15-ROUND(C12,0))+(15-ROUND(C15,0))+C18+C21+C24+C27)</f>
        <v>25.62</v>
      </c>
      <c r="D29" s="75">
        <f t="shared" si="4"/>
        <v>22.57</v>
      </c>
      <c r="E29" s="75">
        <f t="shared" si="4"/>
        <v>34.159999999999997</v>
      </c>
      <c r="F29" s="75">
        <f t="shared" si="4"/>
        <v>27.45</v>
      </c>
      <c r="G29" s="75">
        <f t="shared" si="4"/>
        <v>25.62</v>
      </c>
      <c r="H29" s="75">
        <f t="shared" si="4"/>
        <v>29.89</v>
      </c>
      <c r="I29" s="114">
        <f t="shared" si="4"/>
        <v>28.669999999999998</v>
      </c>
      <c r="J29" s="75">
        <f t="shared" si="4"/>
        <v>33.549999999999997</v>
      </c>
      <c r="K29" s="75">
        <f t="shared" si="4"/>
        <v>28.06</v>
      </c>
      <c r="L29" s="75">
        <f t="shared" si="4"/>
        <v>23.79</v>
      </c>
      <c r="M29" s="75">
        <f t="shared" si="4"/>
        <v>33.854999999999997</v>
      </c>
      <c r="N29" s="75">
        <f t="shared" si="4"/>
        <v>31.11</v>
      </c>
      <c r="O29" s="75">
        <f t="shared" si="4"/>
        <v>25.62</v>
      </c>
      <c r="P29" s="75">
        <f t="shared" si="4"/>
        <v>31.414999999999999</v>
      </c>
      <c r="Q29" s="75">
        <f t="shared" si="4"/>
        <v>30.5</v>
      </c>
      <c r="R29" s="75">
        <f t="shared" si="4"/>
        <v>31.11</v>
      </c>
      <c r="S29" s="18">
        <f t="shared" si="4"/>
        <v>30.5</v>
      </c>
      <c r="T29" s="13">
        <f>AVERAGE(C29:S29)</f>
        <v>29.028823529411767</v>
      </c>
      <c r="U29" s="18">
        <f t="shared" si="3"/>
        <v>29.028823529411763</v>
      </c>
      <c r="AS29" s="75"/>
    </row>
    <row r="30" spans="1:45">
      <c r="A30" s="19"/>
      <c r="B30" s="19" t="s">
        <v>34</v>
      </c>
      <c r="C30" s="20">
        <f t="shared" ref="C30:S30" si="5">C28-C29</f>
        <v>4.879999999999999</v>
      </c>
      <c r="D30" s="20">
        <f t="shared" si="5"/>
        <v>7.32</v>
      </c>
      <c r="E30" s="20">
        <f t="shared" si="5"/>
        <v>1.220000000000006</v>
      </c>
      <c r="F30" s="20">
        <f t="shared" si="5"/>
        <v>-5.4899999999999984</v>
      </c>
      <c r="G30" s="20">
        <f t="shared" si="5"/>
        <v>3.0499999999999972</v>
      </c>
      <c r="H30" s="20">
        <f t="shared" si="5"/>
        <v>0.60999999999999943</v>
      </c>
      <c r="I30" s="20">
        <f t="shared" si="5"/>
        <v>0</v>
      </c>
      <c r="J30" s="20">
        <f t="shared" si="5"/>
        <v>-4.879999999999999</v>
      </c>
      <c r="K30" s="20">
        <f t="shared" si="5"/>
        <v>3.0500000000000007</v>
      </c>
      <c r="L30" s="20">
        <f t="shared" si="5"/>
        <v>8.5399999999999991</v>
      </c>
      <c r="M30" s="20">
        <f t="shared" si="5"/>
        <v>-0.60999999999999943</v>
      </c>
      <c r="N30" s="20">
        <f t="shared" si="5"/>
        <v>0</v>
      </c>
      <c r="O30" s="20">
        <f t="shared" si="5"/>
        <v>5.4899999999999984</v>
      </c>
      <c r="P30" s="20">
        <f t="shared" si="5"/>
        <v>0</v>
      </c>
      <c r="Q30" s="20">
        <f t="shared" si="5"/>
        <v>0.60999999999999943</v>
      </c>
      <c r="R30" s="20">
        <f t="shared" si="5"/>
        <v>0</v>
      </c>
      <c r="S30" s="22">
        <f t="shared" si="5"/>
        <v>-4.879999999999999</v>
      </c>
      <c r="T30" s="21">
        <f>AVERAGE(C30:S30)</f>
        <v>1.1123529411764708</v>
      </c>
      <c r="U30" s="22">
        <f>U28-U29</f>
        <v>1.1123529411764714</v>
      </c>
      <c r="AS30" s="75"/>
    </row>
    <row r="31" spans="1:45">
      <c r="A31" s="23" t="s">
        <v>95</v>
      </c>
      <c r="B31" s="85" t="s">
        <v>36</v>
      </c>
      <c r="C31" s="24"/>
      <c r="D31" s="24"/>
      <c r="E31" s="24"/>
      <c r="F31" s="24"/>
      <c r="G31" s="24"/>
      <c r="H31" s="24"/>
      <c r="I31" s="115"/>
      <c r="J31" s="24"/>
      <c r="K31" s="24"/>
      <c r="L31" s="24"/>
      <c r="M31" s="24"/>
      <c r="N31" s="24"/>
      <c r="O31" s="24"/>
      <c r="P31" s="24"/>
      <c r="Q31" s="24"/>
      <c r="R31" s="24"/>
      <c r="S31" s="33"/>
      <c r="T31" s="24"/>
      <c r="U31" s="76"/>
      <c r="AS31" s="24"/>
    </row>
    <row r="32" spans="1:45">
      <c r="A32" s="76"/>
      <c r="B32" s="76" t="s">
        <v>96</v>
      </c>
      <c r="C32" s="24"/>
      <c r="D32" s="24"/>
      <c r="E32" s="24"/>
      <c r="F32" s="24"/>
      <c r="G32" s="24"/>
      <c r="H32" s="24"/>
      <c r="I32" s="115"/>
      <c r="J32" s="24"/>
      <c r="K32" s="24"/>
      <c r="L32" s="24"/>
      <c r="M32" s="24"/>
      <c r="N32" s="24"/>
      <c r="O32" s="24"/>
      <c r="P32" s="24"/>
      <c r="Q32" s="24"/>
      <c r="R32" s="24"/>
      <c r="S32" s="33"/>
      <c r="T32" s="24"/>
      <c r="U32" s="76"/>
      <c r="AS32" s="24"/>
    </row>
    <row r="33" spans="1:45">
      <c r="A33" s="27"/>
      <c r="B33" s="27" t="s">
        <v>23</v>
      </c>
      <c r="C33" s="76">
        <v>67</v>
      </c>
      <c r="D33" s="76">
        <v>100</v>
      </c>
      <c r="E33" s="76">
        <v>80</v>
      </c>
      <c r="F33" s="76">
        <v>90</v>
      </c>
      <c r="G33" s="76">
        <v>90</v>
      </c>
      <c r="H33" s="76">
        <v>10</v>
      </c>
      <c r="I33" s="116">
        <v>40</v>
      </c>
      <c r="J33" s="76">
        <v>95</v>
      </c>
      <c r="K33" s="76">
        <v>95</v>
      </c>
      <c r="L33" s="76">
        <v>90</v>
      </c>
      <c r="M33" s="76">
        <v>53</v>
      </c>
      <c r="N33" s="76">
        <v>80</v>
      </c>
      <c r="O33" s="76">
        <v>100</v>
      </c>
      <c r="P33" s="76">
        <v>90</v>
      </c>
      <c r="Q33" s="76">
        <v>80</v>
      </c>
      <c r="R33" s="76">
        <v>80</v>
      </c>
      <c r="S33" s="86">
        <v>60</v>
      </c>
      <c r="T33" s="76">
        <f t="shared" ref="T33:T47" si="6">SUM(C33:S33)</f>
        <v>1300</v>
      </c>
      <c r="U33" s="76">
        <f t="shared" ref="U33:U47" si="7">0.136*(T33/COLUMNS(C33:S33))</f>
        <v>10.4</v>
      </c>
      <c r="AS33" s="76"/>
    </row>
    <row r="34" spans="1:45">
      <c r="A34" s="27"/>
      <c r="B34" s="27" t="s">
        <v>24</v>
      </c>
      <c r="C34" s="76">
        <v>33</v>
      </c>
      <c r="D34" s="76"/>
      <c r="E34" s="76">
        <v>20</v>
      </c>
      <c r="F34" s="76">
        <v>10</v>
      </c>
      <c r="G34" s="76">
        <v>10</v>
      </c>
      <c r="H34" s="76">
        <v>90</v>
      </c>
      <c r="I34" s="116">
        <v>40</v>
      </c>
      <c r="J34" s="76">
        <v>5</v>
      </c>
      <c r="K34" s="76">
        <v>5</v>
      </c>
      <c r="L34" s="76">
        <v>10</v>
      </c>
      <c r="M34" s="76">
        <v>47</v>
      </c>
      <c r="N34" s="76">
        <v>20</v>
      </c>
      <c r="O34" s="24"/>
      <c r="P34" s="76">
        <v>10</v>
      </c>
      <c r="Q34" s="76">
        <v>20</v>
      </c>
      <c r="R34" s="76">
        <v>20</v>
      </c>
      <c r="S34" s="86">
        <v>40</v>
      </c>
      <c r="T34" s="76">
        <f t="shared" si="6"/>
        <v>380</v>
      </c>
      <c r="U34" s="76">
        <f t="shared" si="7"/>
        <v>3.04</v>
      </c>
      <c r="V34" s="160"/>
      <c r="AS34" s="76"/>
    </row>
    <row r="35" spans="1:45">
      <c r="A35" s="27"/>
      <c r="B35" s="27" t="s">
        <v>38</v>
      </c>
      <c r="C35" s="24"/>
      <c r="D35" s="76"/>
      <c r="E35" s="24"/>
      <c r="F35" s="24"/>
      <c r="G35" s="24"/>
      <c r="H35" s="24"/>
      <c r="I35" s="116">
        <v>20</v>
      </c>
      <c r="J35" s="24"/>
      <c r="K35" s="24"/>
      <c r="L35" s="24"/>
      <c r="M35" s="24"/>
      <c r="N35" s="24"/>
      <c r="O35" s="24"/>
      <c r="P35" s="24"/>
      <c r="Q35" s="24"/>
      <c r="R35" s="24"/>
      <c r="S35" s="33"/>
      <c r="T35" s="76">
        <f t="shared" si="6"/>
        <v>20</v>
      </c>
      <c r="U35" s="76">
        <f t="shared" si="7"/>
        <v>0.16</v>
      </c>
      <c r="V35" s="161"/>
      <c r="AS35" s="76"/>
    </row>
    <row r="36" spans="1:45">
      <c r="A36" s="76"/>
      <c r="B36" s="76" t="s">
        <v>97</v>
      </c>
      <c r="C36" s="24"/>
      <c r="D36" s="24"/>
      <c r="E36" s="24"/>
      <c r="F36" s="24"/>
      <c r="G36" s="24"/>
      <c r="H36" s="24"/>
      <c r="I36" s="115"/>
      <c r="J36" s="24"/>
      <c r="K36" s="24"/>
      <c r="L36" s="24"/>
      <c r="M36" s="24"/>
      <c r="N36" s="24"/>
      <c r="O36" s="24"/>
      <c r="P36" s="24"/>
      <c r="Q36" s="24"/>
      <c r="R36" s="24"/>
      <c r="S36" s="33"/>
      <c r="T36" s="76">
        <f t="shared" si="6"/>
        <v>0</v>
      </c>
      <c r="U36" s="76">
        <f t="shared" si="7"/>
        <v>0</v>
      </c>
      <c r="V36" s="161"/>
      <c r="AS36" s="24"/>
    </row>
    <row r="37" spans="1:45">
      <c r="A37" s="27"/>
      <c r="B37" s="27" t="s">
        <v>23</v>
      </c>
      <c r="C37" s="76">
        <v>67</v>
      </c>
      <c r="D37" s="76">
        <v>100</v>
      </c>
      <c r="E37" s="76">
        <v>70</v>
      </c>
      <c r="F37" s="76">
        <v>50</v>
      </c>
      <c r="G37" s="76">
        <v>90</v>
      </c>
      <c r="H37" s="76">
        <v>80</v>
      </c>
      <c r="I37" s="116">
        <v>57</v>
      </c>
      <c r="J37" s="76">
        <v>95</v>
      </c>
      <c r="K37" s="76">
        <v>95</v>
      </c>
      <c r="L37" s="76">
        <v>90</v>
      </c>
      <c r="M37" s="76">
        <v>69</v>
      </c>
      <c r="N37" s="76">
        <v>80</v>
      </c>
      <c r="O37" s="76">
        <v>90</v>
      </c>
      <c r="P37" s="76">
        <v>80</v>
      </c>
      <c r="Q37" s="76">
        <v>90</v>
      </c>
      <c r="R37" s="76">
        <v>80</v>
      </c>
      <c r="S37" s="86">
        <v>100</v>
      </c>
      <c r="T37" s="76">
        <f t="shared" si="6"/>
        <v>1383</v>
      </c>
      <c r="U37" s="76">
        <f t="shared" si="7"/>
        <v>11.064000000000002</v>
      </c>
      <c r="V37" s="160"/>
      <c r="AS37" s="76"/>
    </row>
    <row r="38" spans="1:45">
      <c r="A38" s="27"/>
      <c r="B38" s="27" t="s">
        <v>24</v>
      </c>
      <c r="C38" s="76">
        <v>33</v>
      </c>
      <c r="D38" s="76"/>
      <c r="E38" s="76">
        <v>20</v>
      </c>
      <c r="F38" s="76">
        <v>50</v>
      </c>
      <c r="G38" s="76">
        <v>10</v>
      </c>
      <c r="H38" s="76">
        <v>20</v>
      </c>
      <c r="I38" s="116">
        <v>43</v>
      </c>
      <c r="J38" s="76">
        <v>5</v>
      </c>
      <c r="K38" s="76">
        <v>5</v>
      </c>
      <c r="L38" s="76">
        <v>10</v>
      </c>
      <c r="M38" s="76">
        <v>31</v>
      </c>
      <c r="N38" s="76">
        <v>15</v>
      </c>
      <c r="O38" s="76">
        <v>10</v>
      </c>
      <c r="P38" s="76">
        <v>15</v>
      </c>
      <c r="Q38" s="76">
        <v>10</v>
      </c>
      <c r="R38" s="76">
        <v>20</v>
      </c>
      <c r="S38" s="86"/>
      <c r="T38" s="76">
        <f t="shared" si="6"/>
        <v>297</v>
      </c>
      <c r="U38" s="76">
        <f t="shared" si="7"/>
        <v>2.3759999999999999</v>
      </c>
      <c r="V38" s="160"/>
      <c r="AS38" s="76"/>
    </row>
    <row r="39" spans="1:45">
      <c r="A39" s="27"/>
      <c r="B39" s="27" t="s">
        <v>38</v>
      </c>
      <c r="C39" s="24"/>
      <c r="D39" s="76"/>
      <c r="E39" s="76">
        <v>10</v>
      </c>
      <c r="F39" s="24"/>
      <c r="G39" s="24"/>
      <c r="H39" s="24"/>
      <c r="I39" s="115"/>
      <c r="J39" s="24"/>
      <c r="K39" s="24"/>
      <c r="L39" s="24"/>
      <c r="M39" s="24"/>
      <c r="N39" s="76">
        <v>5</v>
      </c>
      <c r="O39" s="24"/>
      <c r="P39" s="76">
        <v>5</v>
      </c>
      <c r="Q39" s="24"/>
      <c r="R39" s="24"/>
      <c r="S39" s="33"/>
      <c r="T39" s="76">
        <f t="shared" si="6"/>
        <v>20</v>
      </c>
      <c r="U39" s="76">
        <f t="shared" si="7"/>
        <v>0.16</v>
      </c>
      <c r="V39" s="161"/>
      <c r="AS39" s="24"/>
    </row>
    <row r="40" spans="1:45">
      <c r="A40" s="76"/>
      <c r="B40" s="76" t="s">
        <v>98</v>
      </c>
      <c r="C40" s="24"/>
      <c r="D40" s="24"/>
      <c r="E40" s="24"/>
      <c r="F40" s="24"/>
      <c r="G40" s="24"/>
      <c r="H40" s="24"/>
      <c r="I40" s="116"/>
      <c r="J40" s="24"/>
      <c r="K40" s="24"/>
      <c r="L40" s="24"/>
      <c r="M40" s="24"/>
      <c r="N40" s="24"/>
      <c r="O40" s="24"/>
      <c r="P40" s="24"/>
      <c r="Q40" s="24"/>
      <c r="R40" s="24"/>
      <c r="S40" s="33"/>
      <c r="T40" s="76">
        <f t="shared" si="6"/>
        <v>0</v>
      </c>
      <c r="U40" s="76">
        <f t="shared" si="7"/>
        <v>0</v>
      </c>
      <c r="V40" s="161"/>
      <c r="AS40" s="76"/>
    </row>
    <row r="41" spans="1:45">
      <c r="A41" s="27"/>
      <c r="B41" s="27" t="s">
        <v>23</v>
      </c>
      <c r="C41" s="76">
        <v>50</v>
      </c>
      <c r="D41" s="76">
        <v>100</v>
      </c>
      <c r="E41" s="76">
        <v>80</v>
      </c>
      <c r="F41" s="76">
        <v>95</v>
      </c>
      <c r="G41" s="76">
        <v>90</v>
      </c>
      <c r="H41" s="76">
        <v>95</v>
      </c>
      <c r="I41" s="116">
        <v>57</v>
      </c>
      <c r="J41" s="76">
        <v>95</v>
      </c>
      <c r="K41" s="76">
        <v>100</v>
      </c>
      <c r="L41" s="76">
        <v>90</v>
      </c>
      <c r="M41" s="76">
        <v>83</v>
      </c>
      <c r="N41" s="76">
        <v>90</v>
      </c>
      <c r="O41" s="76">
        <v>100</v>
      </c>
      <c r="P41" s="76">
        <v>100</v>
      </c>
      <c r="Q41" s="76">
        <v>80</v>
      </c>
      <c r="R41" s="76">
        <v>95</v>
      </c>
      <c r="S41" s="86">
        <v>100</v>
      </c>
      <c r="T41" s="76">
        <f t="shared" si="6"/>
        <v>1500</v>
      </c>
      <c r="U41" s="76">
        <f t="shared" si="7"/>
        <v>12</v>
      </c>
      <c r="V41" s="160"/>
      <c r="AS41" s="76"/>
    </row>
    <row r="42" spans="1:45">
      <c r="A42" s="27"/>
      <c r="B42" s="27" t="s">
        <v>24</v>
      </c>
      <c r="C42" s="76">
        <v>50</v>
      </c>
      <c r="D42" s="76"/>
      <c r="E42" s="76">
        <v>20</v>
      </c>
      <c r="F42" s="76">
        <v>5</v>
      </c>
      <c r="G42" s="76">
        <v>10</v>
      </c>
      <c r="H42" s="76">
        <v>5</v>
      </c>
      <c r="I42" s="116">
        <v>43</v>
      </c>
      <c r="J42" s="76">
        <v>5</v>
      </c>
      <c r="K42" s="24"/>
      <c r="L42" s="76">
        <v>10</v>
      </c>
      <c r="M42" s="76">
        <v>17</v>
      </c>
      <c r="N42" s="76">
        <v>10</v>
      </c>
      <c r="O42" s="24"/>
      <c r="P42" s="76"/>
      <c r="Q42" s="76">
        <v>20</v>
      </c>
      <c r="R42" s="76">
        <v>5</v>
      </c>
      <c r="S42" s="86"/>
      <c r="T42" s="76">
        <f t="shared" si="6"/>
        <v>200</v>
      </c>
      <c r="U42" s="76">
        <f t="shared" si="7"/>
        <v>1.6000000000000003</v>
      </c>
      <c r="V42" s="160"/>
      <c r="AS42" s="76"/>
    </row>
    <row r="43" spans="1:45">
      <c r="A43" s="27"/>
      <c r="B43" s="27" t="s">
        <v>38</v>
      </c>
      <c r="C43" s="24"/>
      <c r="D43" s="24"/>
      <c r="E43" s="24"/>
      <c r="F43" s="24"/>
      <c r="G43" s="24"/>
      <c r="H43" s="24"/>
      <c r="I43" s="115"/>
      <c r="J43" s="24"/>
      <c r="K43" s="24"/>
      <c r="L43" s="24"/>
      <c r="M43" s="24"/>
      <c r="N43" s="24"/>
      <c r="O43" s="24"/>
      <c r="P43" s="24"/>
      <c r="Q43" s="24"/>
      <c r="R43" s="24"/>
      <c r="S43" s="33"/>
      <c r="T43" s="76">
        <f t="shared" si="6"/>
        <v>0</v>
      </c>
      <c r="U43" s="76">
        <f t="shared" si="7"/>
        <v>0</v>
      </c>
      <c r="V43" s="161"/>
      <c r="AS43" s="24"/>
    </row>
    <row r="44" spans="1:45">
      <c r="A44" s="76"/>
      <c r="B44" s="76" t="s">
        <v>99</v>
      </c>
      <c r="C44" s="24"/>
      <c r="D44" s="24"/>
      <c r="E44" s="24"/>
      <c r="F44" s="24"/>
      <c r="G44" s="24"/>
      <c r="H44" s="24"/>
      <c r="I44" s="115"/>
      <c r="J44" s="24"/>
      <c r="K44" s="24"/>
      <c r="L44" s="24"/>
      <c r="M44" s="24"/>
      <c r="N44" s="24"/>
      <c r="O44" s="24"/>
      <c r="P44" s="24"/>
      <c r="Q44" s="24"/>
      <c r="R44" s="24"/>
      <c r="S44" s="33"/>
      <c r="T44" s="76">
        <f t="shared" si="6"/>
        <v>0</v>
      </c>
      <c r="U44" s="76">
        <f t="shared" si="7"/>
        <v>0</v>
      </c>
      <c r="V44" s="161"/>
      <c r="AS44" s="24"/>
    </row>
    <row r="45" spans="1:45">
      <c r="A45" s="27"/>
      <c r="B45" s="27" t="s">
        <v>23</v>
      </c>
      <c r="C45" s="76">
        <v>67</v>
      </c>
      <c r="D45" s="76">
        <v>50</v>
      </c>
      <c r="E45" s="76">
        <v>70</v>
      </c>
      <c r="F45" s="76">
        <v>50</v>
      </c>
      <c r="G45" s="76">
        <v>98</v>
      </c>
      <c r="H45" s="76">
        <v>10</v>
      </c>
      <c r="I45" s="116">
        <v>50</v>
      </c>
      <c r="J45" s="76">
        <v>80</v>
      </c>
      <c r="K45" s="76">
        <v>95</v>
      </c>
      <c r="L45" s="76">
        <v>90</v>
      </c>
      <c r="M45" s="76">
        <v>67</v>
      </c>
      <c r="N45" s="76">
        <v>60</v>
      </c>
      <c r="O45" s="76">
        <v>90</v>
      </c>
      <c r="P45" s="76">
        <v>80</v>
      </c>
      <c r="Q45" s="76">
        <v>60</v>
      </c>
      <c r="R45" s="76">
        <v>70</v>
      </c>
      <c r="S45" s="86">
        <v>30</v>
      </c>
      <c r="T45" s="76">
        <f t="shared" si="6"/>
        <v>1117</v>
      </c>
      <c r="U45" s="76">
        <f t="shared" si="7"/>
        <v>8.9359999999999999</v>
      </c>
      <c r="V45" s="160"/>
      <c r="AS45" s="76"/>
    </row>
    <row r="46" spans="1:45">
      <c r="A46" s="27"/>
      <c r="B46" s="27" t="s">
        <v>24</v>
      </c>
      <c r="C46" s="76">
        <v>33</v>
      </c>
      <c r="D46" s="76">
        <v>50</v>
      </c>
      <c r="E46" s="76">
        <v>30</v>
      </c>
      <c r="F46" s="76">
        <v>50</v>
      </c>
      <c r="G46" s="76">
        <v>2</v>
      </c>
      <c r="H46" s="76">
        <v>90</v>
      </c>
      <c r="I46" s="116">
        <v>50</v>
      </c>
      <c r="J46" s="76">
        <v>20</v>
      </c>
      <c r="K46" s="76">
        <v>5</v>
      </c>
      <c r="L46" s="76">
        <v>10</v>
      </c>
      <c r="M46" s="76">
        <v>33</v>
      </c>
      <c r="N46" s="76">
        <v>35</v>
      </c>
      <c r="O46" s="76">
        <v>10</v>
      </c>
      <c r="P46" s="76">
        <v>20</v>
      </c>
      <c r="Q46" s="76">
        <v>40</v>
      </c>
      <c r="R46" s="76">
        <v>25</v>
      </c>
      <c r="S46" s="86">
        <v>70</v>
      </c>
      <c r="T46" s="76">
        <f t="shared" si="6"/>
        <v>573</v>
      </c>
      <c r="U46" s="76">
        <f t="shared" si="7"/>
        <v>4.5839999999999996</v>
      </c>
      <c r="V46" s="160"/>
      <c r="AS46" s="76"/>
    </row>
    <row r="47" spans="1:45">
      <c r="A47" s="27"/>
      <c r="B47" s="27" t="s">
        <v>38</v>
      </c>
      <c r="C47" s="24"/>
      <c r="D47" s="76"/>
      <c r="E47" s="24"/>
      <c r="F47" s="24"/>
      <c r="G47" s="24"/>
      <c r="H47" s="24"/>
      <c r="I47" s="115"/>
      <c r="J47" s="24"/>
      <c r="K47" s="24"/>
      <c r="L47" s="24"/>
      <c r="M47" s="24"/>
      <c r="N47" s="76">
        <v>5</v>
      </c>
      <c r="O47" s="24"/>
      <c r="P47" s="24"/>
      <c r="Q47" s="24"/>
      <c r="R47" s="76">
        <v>5</v>
      </c>
      <c r="S47" s="33"/>
      <c r="T47" s="76">
        <f t="shared" si="6"/>
        <v>10</v>
      </c>
      <c r="U47" s="76">
        <f t="shared" si="7"/>
        <v>0.08</v>
      </c>
      <c r="V47" s="161"/>
      <c r="AS47" s="24"/>
    </row>
    <row r="48" spans="1:45">
      <c r="A48" s="29"/>
      <c r="B48" s="29" t="s">
        <v>32</v>
      </c>
      <c r="C48" s="30">
        <f t="shared" ref="C48:S48" si="8">0.136*(C33+C37+C41+C45)</f>
        <v>34.136000000000003</v>
      </c>
      <c r="D48" s="30">
        <f t="shared" si="8"/>
        <v>47.6</v>
      </c>
      <c r="E48" s="30">
        <f t="shared" si="8"/>
        <v>40.800000000000004</v>
      </c>
      <c r="F48" s="30">
        <f t="shared" si="8"/>
        <v>38.760000000000005</v>
      </c>
      <c r="G48" s="30">
        <f t="shared" si="8"/>
        <v>50.048000000000002</v>
      </c>
      <c r="H48" s="30">
        <f t="shared" si="8"/>
        <v>26.520000000000003</v>
      </c>
      <c r="I48" s="30">
        <f t="shared" si="8"/>
        <v>27.744000000000003</v>
      </c>
      <c r="J48" s="30">
        <f t="shared" si="8"/>
        <v>49.64</v>
      </c>
      <c r="K48" s="30">
        <f t="shared" si="8"/>
        <v>52.360000000000007</v>
      </c>
      <c r="L48" s="30">
        <f t="shared" si="8"/>
        <v>48.96</v>
      </c>
      <c r="M48" s="30">
        <f t="shared" si="8"/>
        <v>36.992000000000004</v>
      </c>
      <c r="N48" s="30">
        <f t="shared" si="8"/>
        <v>42.160000000000004</v>
      </c>
      <c r="O48" s="30">
        <f t="shared" si="8"/>
        <v>51.680000000000007</v>
      </c>
      <c r="P48" s="30">
        <f t="shared" si="8"/>
        <v>47.6</v>
      </c>
      <c r="Q48" s="30">
        <f t="shared" si="8"/>
        <v>42.160000000000004</v>
      </c>
      <c r="R48" s="30">
        <f t="shared" si="8"/>
        <v>44.2</v>
      </c>
      <c r="S48" s="30">
        <f t="shared" si="8"/>
        <v>39.440000000000005</v>
      </c>
      <c r="T48" s="31">
        <f>AVERAGE(C48:S48)</f>
        <v>42.400000000000013</v>
      </c>
      <c r="U48" s="87">
        <f t="shared" ref="U48:U49" si="9">U33+U37+U41+U45</f>
        <v>42.4</v>
      </c>
      <c r="V48" s="161"/>
      <c r="AS48" s="24"/>
    </row>
    <row r="49" spans="1:45">
      <c r="A49" s="27"/>
      <c r="B49" s="27" t="s">
        <v>33</v>
      </c>
      <c r="C49" s="24">
        <f t="shared" ref="C49:S49" si="10">0.136*(C34+C38+C42+C46)</f>
        <v>20.264000000000003</v>
      </c>
      <c r="D49" s="24">
        <f t="shared" si="10"/>
        <v>6.8000000000000007</v>
      </c>
      <c r="E49" s="24">
        <f t="shared" si="10"/>
        <v>12.24</v>
      </c>
      <c r="F49" s="24">
        <f t="shared" si="10"/>
        <v>15.64</v>
      </c>
      <c r="G49" s="24">
        <f t="shared" si="10"/>
        <v>4.3520000000000003</v>
      </c>
      <c r="H49" s="24">
        <f t="shared" si="10"/>
        <v>27.880000000000003</v>
      </c>
      <c r="I49" s="24">
        <f t="shared" si="10"/>
        <v>23.936</v>
      </c>
      <c r="J49" s="24">
        <f t="shared" si="10"/>
        <v>4.7600000000000007</v>
      </c>
      <c r="K49" s="24">
        <f t="shared" si="10"/>
        <v>2.04</v>
      </c>
      <c r="L49" s="24">
        <f t="shared" si="10"/>
        <v>5.44</v>
      </c>
      <c r="M49" s="24">
        <f t="shared" si="10"/>
        <v>17.408000000000001</v>
      </c>
      <c r="N49" s="24">
        <f t="shared" si="10"/>
        <v>10.88</v>
      </c>
      <c r="O49" s="24">
        <f t="shared" si="10"/>
        <v>2.72</v>
      </c>
      <c r="P49" s="24">
        <f t="shared" si="10"/>
        <v>6.12</v>
      </c>
      <c r="Q49" s="24">
        <f t="shared" si="10"/>
        <v>12.24</v>
      </c>
      <c r="R49" s="24">
        <f t="shared" si="10"/>
        <v>9.5200000000000014</v>
      </c>
      <c r="S49" s="24">
        <f t="shared" si="10"/>
        <v>14.96</v>
      </c>
      <c r="T49" s="25">
        <f>AVERAGE(C49:S49)</f>
        <v>11.600000000000005</v>
      </c>
      <c r="U49" s="86">
        <f t="shared" si="9"/>
        <v>11.600000000000001</v>
      </c>
      <c r="V49" s="161"/>
      <c r="AS49" s="24"/>
    </row>
    <row r="50" spans="1:45">
      <c r="A50" s="34"/>
      <c r="B50" s="34" t="s">
        <v>34</v>
      </c>
      <c r="C50" s="35">
        <f t="shared" ref="C50:S50" si="11">C48-C49</f>
        <v>13.872</v>
      </c>
      <c r="D50" s="35">
        <f t="shared" si="11"/>
        <v>40.799999999999997</v>
      </c>
      <c r="E50" s="35">
        <f t="shared" si="11"/>
        <v>28.560000000000002</v>
      </c>
      <c r="F50" s="35">
        <f t="shared" si="11"/>
        <v>23.120000000000005</v>
      </c>
      <c r="G50" s="35">
        <f t="shared" si="11"/>
        <v>45.695999999999998</v>
      </c>
      <c r="H50" s="35">
        <f t="shared" si="11"/>
        <v>-1.3599999999999994</v>
      </c>
      <c r="I50" s="35">
        <f t="shared" si="11"/>
        <v>3.8080000000000034</v>
      </c>
      <c r="J50" s="35">
        <f t="shared" si="11"/>
        <v>44.88</v>
      </c>
      <c r="K50" s="35">
        <f t="shared" si="11"/>
        <v>50.320000000000007</v>
      </c>
      <c r="L50" s="35">
        <f t="shared" si="11"/>
        <v>43.52</v>
      </c>
      <c r="M50" s="35">
        <f t="shared" si="11"/>
        <v>19.584000000000003</v>
      </c>
      <c r="N50" s="35">
        <f t="shared" si="11"/>
        <v>31.28</v>
      </c>
      <c r="O50" s="35">
        <f t="shared" si="11"/>
        <v>48.960000000000008</v>
      </c>
      <c r="P50" s="35">
        <f t="shared" si="11"/>
        <v>41.480000000000004</v>
      </c>
      <c r="Q50" s="35">
        <f t="shared" si="11"/>
        <v>29.92</v>
      </c>
      <c r="R50" s="35">
        <f t="shared" si="11"/>
        <v>34.68</v>
      </c>
      <c r="S50" s="35">
        <f t="shared" si="11"/>
        <v>24.480000000000004</v>
      </c>
      <c r="T50" s="36">
        <f>AVERAGE(C50:S50)</f>
        <v>30.8</v>
      </c>
      <c r="U50" s="88">
        <f>U48-U49</f>
        <v>30.799999999999997</v>
      </c>
      <c r="V50" s="161"/>
      <c r="AS50" s="24"/>
    </row>
    <row r="51" spans="1:45">
      <c r="A51" s="38" t="s">
        <v>43</v>
      </c>
      <c r="B51" s="39" t="s">
        <v>44</v>
      </c>
      <c r="C51" s="40"/>
      <c r="D51" s="40"/>
      <c r="E51" s="40"/>
      <c r="F51" s="40"/>
      <c r="G51" s="40"/>
      <c r="H51" s="40"/>
      <c r="I51" s="117"/>
      <c r="J51" s="40"/>
      <c r="K51" s="40"/>
      <c r="L51" s="40"/>
      <c r="M51" s="40"/>
      <c r="N51" s="40"/>
      <c r="O51" s="40"/>
      <c r="P51" s="40"/>
      <c r="Q51" s="40"/>
      <c r="R51" s="40"/>
      <c r="S51" s="89"/>
      <c r="T51" s="40"/>
      <c r="U51" s="77"/>
      <c r="AS51" s="40"/>
    </row>
    <row r="52" spans="1:45">
      <c r="A52" s="38"/>
      <c r="B52" s="77" t="s">
        <v>100</v>
      </c>
      <c r="C52" s="40"/>
      <c r="D52" s="40"/>
      <c r="E52" s="40"/>
      <c r="F52" s="40"/>
      <c r="G52" s="40"/>
      <c r="H52" s="40"/>
      <c r="I52" s="117"/>
      <c r="J52" s="40"/>
      <c r="K52" s="40"/>
      <c r="L52" s="40"/>
      <c r="M52" s="40"/>
      <c r="N52" s="40"/>
      <c r="O52" s="40"/>
      <c r="P52" s="40"/>
      <c r="Q52" s="40"/>
      <c r="R52" s="40"/>
      <c r="S52" s="89"/>
      <c r="T52" s="40"/>
      <c r="U52" s="77"/>
      <c r="AS52" s="40"/>
    </row>
    <row r="53" spans="1:45">
      <c r="A53" s="43"/>
      <c r="B53" s="43" t="s">
        <v>23</v>
      </c>
      <c r="C53" s="77">
        <v>6</v>
      </c>
      <c r="D53" s="77">
        <v>6</v>
      </c>
      <c r="E53" s="77">
        <v>5</v>
      </c>
      <c r="F53" s="77">
        <v>6</v>
      </c>
      <c r="G53" s="77">
        <v>6</v>
      </c>
      <c r="H53" s="77">
        <v>5</v>
      </c>
      <c r="I53" s="118">
        <v>6</v>
      </c>
      <c r="J53" s="77">
        <v>6</v>
      </c>
      <c r="K53" s="77">
        <v>6</v>
      </c>
      <c r="L53" s="77">
        <v>6</v>
      </c>
      <c r="M53" s="77">
        <v>6</v>
      </c>
      <c r="N53" s="77">
        <v>5</v>
      </c>
      <c r="O53" s="77">
        <v>6</v>
      </c>
      <c r="P53" s="77">
        <v>5</v>
      </c>
      <c r="Q53" s="77">
        <v>5</v>
      </c>
      <c r="R53" s="77">
        <v>5</v>
      </c>
      <c r="S53" s="48">
        <v>5</v>
      </c>
      <c r="T53" s="77">
        <f t="shared" ref="T53:T63" si="12">SUM(C53:S53)</f>
        <v>95</v>
      </c>
      <c r="U53" s="77">
        <f t="shared" ref="U53:U63" si="13">2.27*(T53/COLUMNS(C53:S53))</f>
        <v>12.685294117647059</v>
      </c>
      <c r="V53" s="160"/>
      <c r="AS53" s="77"/>
    </row>
    <row r="54" spans="1:45">
      <c r="A54" s="43"/>
      <c r="B54" s="43" t="s">
        <v>24</v>
      </c>
      <c r="C54" s="77">
        <v>4</v>
      </c>
      <c r="D54" s="77">
        <v>6</v>
      </c>
      <c r="E54" s="77">
        <v>6</v>
      </c>
      <c r="F54" s="77">
        <v>6</v>
      </c>
      <c r="G54" s="77">
        <v>5</v>
      </c>
      <c r="H54" s="77">
        <v>6</v>
      </c>
      <c r="I54" s="118">
        <v>5</v>
      </c>
      <c r="J54" s="77">
        <v>6</v>
      </c>
      <c r="K54" s="77">
        <v>6</v>
      </c>
      <c r="L54" s="77">
        <v>6</v>
      </c>
      <c r="M54" s="77">
        <v>6</v>
      </c>
      <c r="N54" s="77">
        <v>6</v>
      </c>
      <c r="O54" s="77">
        <v>4</v>
      </c>
      <c r="P54" s="77">
        <v>5</v>
      </c>
      <c r="Q54" s="77">
        <v>6</v>
      </c>
      <c r="R54" s="77">
        <v>6</v>
      </c>
      <c r="S54" s="48">
        <v>5</v>
      </c>
      <c r="T54" s="77">
        <f t="shared" si="12"/>
        <v>94</v>
      </c>
      <c r="U54" s="77">
        <f t="shared" si="13"/>
        <v>12.551764705882352</v>
      </c>
      <c r="V54" s="160"/>
      <c r="AS54" s="77"/>
    </row>
    <row r="55" spans="1:45">
      <c r="A55" s="77"/>
      <c r="B55" s="77" t="s">
        <v>101</v>
      </c>
      <c r="C55" s="40"/>
      <c r="D55" s="40"/>
      <c r="E55" s="40"/>
      <c r="F55" s="40"/>
      <c r="G55" s="40"/>
      <c r="H55" s="40"/>
      <c r="I55" s="117"/>
      <c r="J55" s="40"/>
      <c r="K55" s="40"/>
      <c r="L55" s="40"/>
      <c r="M55" s="40"/>
      <c r="N55" s="40"/>
      <c r="O55" s="40"/>
      <c r="P55" s="40"/>
      <c r="Q55" s="40"/>
      <c r="R55" s="40"/>
      <c r="S55" s="89"/>
      <c r="T55" s="77">
        <f t="shared" si="12"/>
        <v>0</v>
      </c>
      <c r="U55" s="77">
        <f t="shared" si="13"/>
        <v>0</v>
      </c>
      <c r="V55" s="161"/>
      <c r="AS55" s="40"/>
    </row>
    <row r="56" spans="1:45">
      <c r="A56" s="43"/>
      <c r="B56" s="43" t="s">
        <v>23</v>
      </c>
      <c r="C56" s="77">
        <v>6</v>
      </c>
      <c r="D56" s="77">
        <v>6</v>
      </c>
      <c r="E56" s="77">
        <v>6</v>
      </c>
      <c r="F56" s="77">
        <v>6</v>
      </c>
      <c r="G56" s="77">
        <v>6</v>
      </c>
      <c r="H56" s="77">
        <v>6</v>
      </c>
      <c r="I56" s="118">
        <v>6</v>
      </c>
      <c r="J56" s="77">
        <v>6</v>
      </c>
      <c r="K56" s="77">
        <v>6</v>
      </c>
      <c r="L56" s="77">
        <v>6</v>
      </c>
      <c r="M56" s="77">
        <v>6</v>
      </c>
      <c r="N56" s="77">
        <v>5</v>
      </c>
      <c r="O56" s="77">
        <v>6</v>
      </c>
      <c r="P56" s="77">
        <v>6</v>
      </c>
      <c r="Q56" s="77">
        <v>5</v>
      </c>
      <c r="R56" s="77">
        <v>5</v>
      </c>
      <c r="S56" s="48">
        <v>5</v>
      </c>
      <c r="T56" s="77">
        <f t="shared" si="12"/>
        <v>98</v>
      </c>
      <c r="U56" s="77">
        <f t="shared" si="13"/>
        <v>13.085882352941177</v>
      </c>
      <c r="V56" s="160"/>
      <c r="AS56" s="77"/>
    </row>
    <row r="57" spans="1:45">
      <c r="A57" s="43"/>
      <c r="B57" s="43" t="s">
        <v>24</v>
      </c>
      <c r="C57" s="77">
        <v>5</v>
      </c>
      <c r="D57" s="77">
        <v>6</v>
      </c>
      <c r="E57" s="77">
        <v>6</v>
      </c>
      <c r="F57" s="77">
        <v>6</v>
      </c>
      <c r="G57" s="77">
        <v>6</v>
      </c>
      <c r="H57" s="77">
        <v>6</v>
      </c>
      <c r="I57" s="118">
        <v>6</v>
      </c>
      <c r="J57" s="77">
        <v>6</v>
      </c>
      <c r="K57" s="77">
        <v>6</v>
      </c>
      <c r="L57" s="77">
        <v>6</v>
      </c>
      <c r="M57" s="77">
        <v>6</v>
      </c>
      <c r="N57" s="77">
        <v>6</v>
      </c>
      <c r="O57" s="77">
        <v>6</v>
      </c>
      <c r="P57" s="77">
        <v>6</v>
      </c>
      <c r="Q57" s="77">
        <v>6</v>
      </c>
      <c r="R57" s="77">
        <v>6</v>
      </c>
      <c r="S57" s="48">
        <v>5</v>
      </c>
      <c r="T57" s="77">
        <f t="shared" si="12"/>
        <v>100</v>
      </c>
      <c r="U57" s="77">
        <f t="shared" si="13"/>
        <v>13.352941176470589</v>
      </c>
      <c r="V57" s="160"/>
      <c r="AS57" s="77"/>
    </row>
    <row r="58" spans="1:45">
      <c r="A58" s="77"/>
      <c r="B58" s="77" t="s">
        <v>102</v>
      </c>
      <c r="C58" s="40"/>
      <c r="D58" s="40"/>
      <c r="E58" s="40"/>
      <c r="F58" s="40"/>
      <c r="G58" s="40"/>
      <c r="H58" s="40"/>
      <c r="I58" s="117"/>
      <c r="J58" s="40"/>
      <c r="K58" s="40"/>
      <c r="L58" s="40"/>
      <c r="M58" s="40"/>
      <c r="N58" s="40"/>
      <c r="O58" s="40"/>
      <c r="P58" s="40"/>
      <c r="Q58" s="40"/>
      <c r="R58" s="40"/>
      <c r="S58" s="89"/>
      <c r="T58" s="77">
        <f t="shared" si="12"/>
        <v>0</v>
      </c>
      <c r="U58" s="77">
        <f t="shared" si="13"/>
        <v>0</v>
      </c>
      <c r="V58" s="161"/>
      <c r="AS58" s="40"/>
    </row>
    <row r="59" spans="1:45">
      <c r="A59" s="43"/>
      <c r="B59" s="43" t="s">
        <v>23</v>
      </c>
      <c r="C59" s="77">
        <v>6</v>
      </c>
      <c r="D59" s="77">
        <v>6</v>
      </c>
      <c r="E59" s="77">
        <v>6</v>
      </c>
      <c r="F59" s="77">
        <v>6</v>
      </c>
      <c r="G59" s="77">
        <v>5</v>
      </c>
      <c r="H59" s="77">
        <v>3</v>
      </c>
      <c r="I59" s="118">
        <v>6</v>
      </c>
      <c r="J59" s="77">
        <v>6</v>
      </c>
      <c r="K59" s="77">
        <v>6</v>
      </c>
      <c r="L59" s="77">
        <v>6</v>
      </c>
      <c r="M59" s="77">
        <v>6</v>
      </c>
      <c r="N59" s="77">
        <v>4</v>
      </c>
      <c r="O59" s="77">
        <v>6</v>
      </c>
      <c r="P59" s="77">
        <v>4</v>
      </c>
      <c r="Q59" s="77">
        <v>4</v>
      </c>
      <c r="R59" s="77">
        <v>5</v>
      </c>
      <c r="S59" s="48">
        <v>4</v>
      </c>
      <c r="T59" s="77">
        <f t="shared" si="12"/>
        <v>89</v>
      </c>
      <c r="U59" s="77">
        <f t="shared" si="13"/>
        <v>11.884117647058824</v>
      </c>
      <c r="V59" s="160"/>
      <c r="AS59" s="77"/>
    </row>
    <row r="60" spans="1:45">
      <c r="A60" s="43"/>
      <c r="B60" s="43" t="s">
        <v>24</v>
      </c>
      <c r="C60" s="77">
        <v>6</v>
      </c>
      <c r="D60" s="77">
        <v>6</v>
      </c>
      <c r="E60" s="77">
        <v>6</v>
      </c>
      <c r="F60" s="77">
        <v>6</v>
      </c>
      <c r="G60" s="77">
        <v>5</v>
      </c>
      <c r="H60" s="77">
        <v>6</v>
      </c>
      <c r="I60" s="118">
        <v>6</v>
      </c>
      <c r="J60" s="77">
        <v>6</v>
      </c>
      <c r="K60" s="77">
        <v>6</v>
      </c>
      <c r="L60" s="77">
        <v>6</v>
      </c>
      <c r="M60" s="77">
        <v>6</v>
      </c>
      <c r="N60" s="77">
        <v>6</v>
      </c>
      <c r="O60" s="77">
        <v>6</v>
      </c>
      <c r="P60" s="77">
        <v>4</v>
      </c>
      <c r="Q60" s="77">
        <v>6</v>
      </c>
      <c r="R60" s="77">
        <v>6</v>
      </c>
      <c r="S60" s="48">
        <v>5</v>
      </c>
      <c r="T60" s="77">
        <f t="shared" si="12"/>
        <v>98</v>
      </c>
      <c r="U60" s="77">
        <f t="shared" si="13"/>
        <v>13.085882352941177</v>
      </c>
      <c r="V60" s="160"/>
      <c r="AS60" s="77"/>
    </row>
    <row r="61" spans="1:45">
      <c r="A61" s="77"/>
      <c r="B61" s="77" t="s">
        <v>103</v>
      </c>
      <c r="C61" s="40"/>
      <c r="D61" s="40"/>
      <c r="E61" s="40"/>
      <c r="F61" s="40"/>
      <c r="G61" s="40"/>
      <c r="H61" s="40"/>
      <c r="I61" s="117"/>
      <c r="J61" s="40"/>
      <c r="K61" s="40"/>
      <c r="L61" s="40"/>
      <c r="M61" s="40"/>
      <c r="N61" s="40"/>
      <c r="O61" s="40"/>
      <c r="P61" s="40"/>
      <c r="Q61" s="40"/>
      <c r="R61" s="40"/>
      <c r="S61" s="89"/>
      <c r="T61" s="77">
        <f t="shared" si="12"/>
        <v>0</v>
      </c>
      <c r="U61" s="77">
        <f t="shared" si="13"/>
        <v>0</v>
      </c>
      <c r="V61" s="161"/>
      <c r="AS61" s="40"/>
    </row>
    <row r="62" spans="1:45">
      <c r="A62" s="43"/>
      <c r="B62" s="43" t="s">
        <v>23</v>
      </c>
      <c r="C62" s="77">
        <v>5</v>
      </c>
      <c r="D62" s="77">
        <v>6</v>
      </c>
      <c r="E62" s="77">
        <v>6</v>
      </c>
      <c r="F62" s="77">
        <v>6</v>
      </c>
      <c r="G62" s="77">
        <v>6</v>
      </c>
      <c r="H62" s="77">
        <v>3</v>
      </c>
      <c r="I62" s="118">
        <v>4</v>
      </c>
      <c r="J62" s="77">
        <v>6</v>
      </c>
      <c r="K62" s="77">
        <v>6</v>
      </c>
      <c r="L62" s="77">
        <v>6</v>
      </c>
      <c r="M62" s="77">
        <v>6</v>
      </c>
      <c r="N62" s="77">
        <v>6</v>
      </c>
      <c r="O62" s="77">
        <v>6</v>
      </c>
      <c r="P62" s="77">
        <v>5</v>
      </c>
      <c r="Q62" s="77">
        <v>6</v>
      </c>
      <c r="R62" s="77">
        <v>4</v>
      </c>
      <c r="S62" s="48">
        <v>5</v>
      </c>
      <c r="T62" s="77">
        <f t="shared" si="12"/>
        <v>92</v>
      </c>
      <c r="U62" s="77">
        <f t="shared" si="13"/>
        <v>12.284705882352942</v>
      </c>
      <c r="V62" s="160"/>
      <c r="AS62" s="77"/>
    </row>
    <row r="63" spans="1:45">
      <c r="A63" s="43"/>
      <c r="B63" s="43" t="s">
        <v>24</v>
      </c>
      <c r="C63" s="77">
        <v>6</v>
      </c>
      <c r="D63" s="77">
        <v>6</v>
      </c>
      <c r="E63" s="77">
        <v>6</v>
      </c>
      <c r="F63" s="77">
        <v>6</v>
      </c>
      <c r="G63" s="77">
        <v>6</v>
      </c>
      <c r="H63" s="77">
        <v>6</v>
      </c>
      <c r="I63" s="118">
        <v>4</v>
      </c>
      <c r="J63" s="77">
        <v>6</v>
      </c>
      <c r="K63" s="77">
        <v>6</v>
      </c>
      <c r="L63" s="77">
        <v>6</v>
      </c>
      <c r="M63" s="77">
        <v>6</v>
      </c>
      <c r="N63" s="77">
        <v>6</v>
      </c>
      <c r="O63" s="77">
        <v>5</v>
      </c>
      <c r="P63" s="77">
        <v>5</v>
      </c>
      <c r="Q63" s="77">
        <v>6</v>
      </c>
      <c r="R63" s="77">
        <v>6</v>
      </c>
      <c r="S63" s="48">
        <v>6</v>
      </c>
      <c r="T63" s="77">
        <f t="shared" si="12"/>
        <v>98</v>
      </c>
      <c r="U63" s="77">
        <f t="shared" si="13"/>
        <v>13.085882352941177</v>
      </c>
      <c r="V63" s="160"/>
      <c r="AS63" s="77"/>
    </row>
    <row r="64" spans="1:45">
      <c r="A64" s="44"/>
      <c r="B64" s="44" t="s">
        <v>32</v>
      </c>
      <c r="C64" s="45">
        <f t="shared" ref="C64:S64" si="14">2.27*(C53+C56+C59+C62)</f>
        <v>52.21</v>
      </c>
      <c r="D64" s="45">
        <f t="shared" si="14"/>
        <v>54.480000000000004</v>
      </c>
      <c r="E64" s="45">
        <f t="shared" si="14"/>
        <v>52.21</v>
      </c>
      <c r="F64" s="45">
        <f t="shared" si="14"/>
        <v>54.480000000000004</v>
      </c>
      <c r="G64" s="45">
        <f t="shared" si="14"/>
        <v>52.21</v>
      </c>
      <c r="H64" s="45">
        <f t="shared" si="14"/>
        <v>38.590000000000003</v>
      </c>
      <c r="I64" s="45">
        <f t="shared" si="14"/>
        <v>49.94</v>
      </c>
      <c r="J64" s="45">
        <f t="shared" si="14"/>
        <v>54.480000000000004</v>
      </c>
      <c r="K64" s="45">
        <f t="shared" si="14"/>
        <v>54.480000000000004</v>
      </c>
      <c r="L64" s="45">
        <f t="shared" si="14"/>
        <v>54.480000000000004</v>
      </c>
      <c r="M64" s="45">
        <f t="shared" si="14"/>
        <v>54.480000000000004</v>
      </c>
      <c r="N64" s="45">
        <f t="shared" si="14"/>
        <v>45.4</v>
      </c>
      <c r="O64" s="45">
        <f t="shared" si="14"/>
        <v>54.480000000000004</v>
      </c>
      <c r="P64" s="45">
        <f t="shared" si="14"/>
        <v>45.4</v>
      </c>
      <c r="Q64" s="45">
        <f t="shared" si="14"/>
        <v>45.4</v>
      </c>
      <c r="R64" s="45">
        <f t="shared" si="14"/>
        <v>43.13</v>
      </c>
      <c r="S64" s="47">
        <f t="shared" si="14"/>
        <v>43.13</v>
      </c>
      <c r="T64" s="90">
        <f>AVERAGE(C64:S64)</f>
        <v>49.94</v>
      </c>
      <c r="U64" s="47">
        <f t="shared" ref="U64:U65" si="15">U53+U56+U59+U62</f>
        <v>49.94</v>
      </c>
      <c r="AS64" s="77"/>
    </row>
    <row r="65" spans="1:45">
      <c r="A65" s="43"/>
      <c r="B65" s="43" t="s">
        <v>33</v>
      </c>
      <c r="C65" s="77">
        <f t="shared" ref="C65:S65" si="16">2.27*(C54+C57+C60+C63)</f>
        <v>47.67</v>
      </c>
      <c r="D65" s="77">
        <f t="shared" si="16"/>
        <v>54.480000000000004</v>
      </c>
      <c r="E65" s="77">
        <f t="shared" si="16"/>
        <v>54.480000000000004</v>
      </c>
      <c r="F65" s="77">
        <f t="shared" si="16"/>
        <v>54.480000000000004</v>
      </c>
      <c r="G65" s="77">
        <f t="shared" si="16"/>
        <v>49.94</v>
      </c>
      <c r="H65" s="77">
        <f t="shared" si="16"/>
        <v>54.480000000000004</v>
      </c>
      <c r="I65" s="118">
        <f t="shared" si="16"/>
        <v>47.67</v>
      </c>
      <c r="J65" s="77">
        <f t="shared" si="16"/>
        <v>54.480000000000004</v>
      </c>
      <c r="K65" s="77">
        <f t="shared" si="16"/>
        <v>54.480000000000004</v>
      </c>
      <c r="L65" s="77">
        <f t="shared" si="16"/>
        <v>54.480000000000004</v>
      </c>
      <c r="M65" s="77">
        <f t="shared" si="16"/>
        <v>54.480000000000004</v>
      </c>
      <c r="N65" s="77">
        <f t="shared" si="16"/>
        <v>54.480000000000004</v>
      </c>
      <c r="O65" s="77">
        <f t="shared" si="16"/>
        <v>47.67</v>
      </c>
      <c r="P65" s="77">
        <f t="shared" si="16"/>
        <v>45.4</v>
      </c>
      <c r="Q65" s="77">
        <f t="shared" si="16"/>
        <v>54.480000000000004</v>
      </c>
      <c r="R65" s="77">
        <f t="shared" si="16"/>
        <v>54.480000000000004</v>
      </c>
      <c r="S65" s="48">
        <f t="shared" si="16"/>
        <v>47.67</v>
      </c>
      <c r="T65" s="91">
        <f>AVERAGE(C65:S65)</f>
        <v>52.076470588235296</v>
      </c>
      <c r="U65" s="48">
        <f t="shared" si="15"/>
        <v>52.076470588235296</v>
      </c>
      <c r="AS65" s="77"/>
    </row>
    <row r="66" spans="1:45">
      <c r="A66" s="49"/>
      <c r="B66" s="49" t="s">
        <v>34</v>
      </c>
      <c r="C66" s="50">
        <f t="shared" ref="C66:S66" si="17">C64-C65</f>
        <v>4.5399999999999991</v>
      </c>
      <c r="D66" s="50">
        <f t="shared" si="17"/>
        <v>0</v>
      </c>
      <c r="E66" s="50">
        <f t="shared" si="17"/>
        <v>-2.2700000000000031</v>
      </c>
      <c r="F66" s="50">
        <f t="shared" si="17"/>
        <v>0</v>
      </c>
      <c r="G66" s="50">
        <f t="shared" si="17"/>
        <v>2.2700000000000031</v>
      </c>
      <c r="H66" s="50">
        <f t="shared" si="17"/>
        <v>-15.89</v>
      </c>
      <c r="I66" s="50">
        <f t="shared" si="17"/>
        <v>2.269999999999996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-9.0800000000000054</v>
      </c>
      <c r="O66" s="50">
        <f t="shared" si="17"/>
        <v>6.8100000000000023</v>
      </c>
      <c r="P66" s="50">
        <f t="shared" si="17"/>
        <v>0</v>
      </c>
      <c r="Q66" s="50">
        <f t="shared" si="17"/>
        <v>-9.0800000000000054</v>
      </c>
      <c r="R66" s="50">
        <f t="shared" si="17"/>
        <v>-11.350000000000001</v>
      </c>
      <c r="S66" s="52">
        <f t="shared" si="17"/>
        <v>-4.5399999999999991</v>
      </c>
      <c r="T66" s="92">
        <f>AVERAGE(C66:S66)</f>
        <v>-2.1364705882352948</v>
      </c>
      <c r="U66" s="52">
        <f>U64-U65</f>
        <v>-2.1364705882352979</v>
      </c>
      <c r="AS66" s="77"/>
    </row>
    <row r="67" spans="1:45">
      <c r="A67" s="53" t="s">
        <v>104</v>
      </c>
      <c r="B67" s="93" t="s">
        <v>105</v>
      </c>
      <c r="C67" s="54"/>
      <c r="D67" s="54"/>
      <c r="E67" s="54"/>
      <c r="F67" s="54"/>
      <c r="G67" s="54"/>
      <c r="H67" s="54"/>
      <c r="I67" s="119"/>
      <c r="J67" s="54"/>
      <c r="K67" s="54"/>
      <c r="L67" s="54"/>
      <c r="M67" s="54"/>
      <c r="N67" s="54"/>
      <c r="O67" s="54"/>
      <c r="P67" s="54"/>
      <c r="Q67" s="54"/>
      <c r="R67" s="54"/>
      <c r="S67" s="94"/>
      <c r="T67" s="54"/>
      <c r="U67" s="55"/>
      <c r="AS67" s="54"/>
    </row>
    <row r="68" spans="1:45">
      <c r="A68" s="55"/>
      <c r="B68" s="55" t="s">
        <v>106</v>
      </c>
      <c r="C68" s="54"/>
      <c r="D68" s="54"/>
      <c r="E68" s="54"/>
      <c r="F68" s="54"/>
      <c r="G68" s="54"/>
      <c r="H68" s="54"/>
      <c r="I68" s="119"/>
      <c r="J68" s="54"/>
      <c r="K68" s="54"/>
      <c r="L68" s="54"/>
      <c r="M68" s="54"/>
      <c r="N68" s="54"/>
      <c r="O68" s="54"/>
      <c r="P68" s="54"/>
      <c r="Q68" s="54"/>
      <c r="R68" s="54"/>
      <c r="S68" s="94"/>
      <c r="T68" s="54"/>
      <c r="U68" s="55"/>
      <c r="AS68" s="54"/>
    </row>
    <row r="69" spans="1:45">
      <c r="A69" s="57"/>
      <c r="B69" s="57" t="s">
        <v>23</v>
      </c>
      <c r="C69" s="55">
        <v>6</v>
      </c>
      <c r="D69" s="55">
        <v>6</v>
      </c>
      <c r="E69" s="55">
        <v>5</v>
      </c>
      <c r="F69" s="55">
        <v>6</v>
      </c>
      <c r="G69" s="55">
        <v>6</v>
      </c>
      <c r="H69" s="55">
        <v>6</v>
      </c>
      <c r="I69" s="120">
        <v>5</v>
      </c>
      <c r="J69" s="55">
        <v>6</v>
      </c>
      <c r="K69" s="55">
        <v>6</v>
      </c>
      <c r="L69" s="55">
        <v>6</v>
      </c>
      <c r="M69" s="55">
        <v>6</v>
      </c>
      <c r="N69" s="55">
        <v>6</v>
      </c>
      <c r="O69" s="55">
        <v>6</v>
      </c>
      <c r="P69" s="55">
        <v>5</v>
      </c>
      <c r="Q69" s="55">
        <v>6</v>
      </c>
      <c r="R69" s="55">
        <v>6</v>
      </c>
      <c r="S69" s="62">
        <v>6</v>
      </c>
      <c r="T69" s="55">
        <f t="shared" ref="T69:T82" si="18">SUM(C69:S69)</f>
        <v>99</v>
      </c>
      <c r="U69" s="55">
        <f t="shared" ref="U69:U82" si="19">1.8*(T69/COLUMNS(C69:S69))</f>
        <v>10.482352941176471</v>
      </c>
      <c r="AS69" s="55"/>
    </row>
    <row r="70" spans="1:45">
      <c r="A70" s="57"/>
      <c r="B70" s="57" t="s">
        <v>24</v>
      </c>
      <c r="C70" s="55">
        <v>6</v>
      </c>
      <c r="D70" s="55">
        <v>6</v>
      </c>
      <c r="E70" s="55">
        <v>5</v>
      </c>
      <c r="F70" s="55">
        <v>6</v>
      </c>
      <c r="G70" s="55">
        <v>6</v>
      </c>
      <c r="H70" s="55">
        <v>6</v>
      </c>
      <c r="I70" s="120">
        <v>6</v>
      </c>
      <c r="J70" s="55">
        <v>6</v>
      </c>
      <c r="K70" s="55">
        <v>6</v>
      </c>
      <c r="L70" s="55">
        <v>6</v>
      </c>
      <c r="M70" s="55">
        <v>6</v>
      </c>
      <c r="N70" s="55">
        <v>6</v>
      </c>
      <c r="O70" s="55">
        <v>5</v>
      </c>
      <c r="P70" s="55">
        <v>5</v>
      </c>
      <c r="Q70" s="55">
        <v>6</v>
      </c>
      <c r="R70" s="55">
        <v>6</v>
      </c>
      <c r="S70" s="62">
        <v>6</v>
      </c>
      <c r="T70" s="55">
        <f t="shared" si="18"/>
        <v>99</v>
      </c>
      <c r="U70" s="55">
        <f t="shared" si="19"/>
        <v>10.482352941176471</v>
      </c>
      <c r="AS70" s="55"/>
    </row>
    <row r="71" spans="1:45">
      <c r="A71" s="55"/>
      <c r="B71" s="55" t="s">
        <v>107</v>
      </c>
      <c r="C71" s="54"/>
      <c r="D71" s="54"/>
      <c r="E71" s="54"/>
      <c r="F71" s="54"/>
      <c r="G71" s="54"/>
      <c r="H71" s="54"/>
      <c r="I71" s="119"/>
      <c r="J71" s="54"/>
      <c r="K71" s="54"/>
      <c r="L71" s="54"/>
      <c r="M71" s="54"/>
      <c r="N71" s="54"/>
      <c r="O71" s="54"/>
      <c r="P71" s="54"/>
      <c r="Q71" s="54"/>
      <c r="R71" s="54"/>
      <c r="S71" s="94"/>
      <c r="T71" s="55">
        <f t="shared" si="18"/>
        <v>0</v>
      </c>
      <c r="U71" s="55">
        <f t="shared" si="19"/>
        <v>0</v>
      </c>
      <c r="AS71" s="54"/>
    </row>
    <row r="72" spans="1:45">
      <c r="A72" s="57"/>
      <c r="B72" s="57" t="s">
        <v>23</v>
      </c>
      <c r="C72" s="55">
        <v>6</v>
      </c>
      <c r="D72" s="55">
        <v>6</v>
      </c>
      <c r="E72" s="55">
        <v>5</v>
      </c>
      <c r="F72" s="55">
        <v>6</v>
      </c>
      <c r="G72" s="55">
        <v>6</v>
      </c>
      <c r="H72" s="55">
        <v>6</v>
      </c>
      <c r="I72" s="120">
        <v>5</v>
      </c>
      <c r="J72" s="55">
        <v>6</v>
      </c>
      <c r="K72" s="55">
        <v>6</v>
      </c>
      <c r="L72" s="55">
        <v>6</v>
      </c>
      <c r="M72" s="55">
        <v>6</v>
      </c>
      <c r="N72" s="55">
        <v>6</v>
      </c>
      <c r="O72" s="55">
        <v>6</v>
      </c>
      <c r="P72" s="55">
        <v>5</v>
      </c>
      <c r="Q72" s="55">
        <v>6</v>
      </c>
      <c r="R72" s="55">
        <v>6</v>
      </c>
      <c r="S72" s="62">
        <v>6</v>
      </c>
      <c r="T72" s="55">
        <f t="shared" si="18"/>
        <v>99</v>
      </c>
      <c r="U72" s="55">
        <f t="shared" si="19"/>
        <v>10.482352941176471</v>
      </c>
      <c r="AS72" s="55"/>
    </row>
    <row r="73" spans="1:45">
      <c r="A73" s="57"/>
      <c r="B73" s="57" t="s">
        <v>24</v>
      </c>
      <c r="C73" s="55">
        <v>6</v>
      </c>
      <c r="D73" s="55">
        <v>6</v>
      </c>
      <c r="E73" s="55">
        <v>5</v>
      </c>
      <c r="F73" s="55">
        <v>6</v>
      </c>
      <c r="G73" s="55">
        <v>6</v>
      </c>
      <c r="H73" s="55">
        <v>6</v>
      </c>
      <c r="I73" s="120">
        <v>5</v>
      </c>
      <c r="J73" s="55">
        <v>6</v>
      </c>
      <c r="K73" s="55">
        <v>6</v>
      </c>
      <c r="L73" s="55">
        <v>6</v>
      </c>
      <c r="M73" s="55">
        <v>5</v>
      </c>
      <c r="N73" s="55">
        <v>6</v>
      </c>
      <c r="O73" s="55">
        <v>5</v>
      </c>
      <c r="P73" s="55">
        <v>5</v>
      </c>
      <c r="Q73" s="55">
        <v>6</v>
      </c>
      <c r="R73" s="55">
        <v>6</v>
      </c>
      <c r="S73" s="62">
        <v>6</v>
      </c>
      <c r="T73" s="55">
        <f t="shared" si="18"/>
        <v>97</v>
      </c>
      <c r="U73" s="55">
        <f t="shared" si="19"/>
        <v>10.270588235294118</v>
      </c>
      <c r="AS73" s="55"/>
    </row>
    <row r="74" spans="1:45">
      <c r="A74" s="55"/>
      <c r="B74" s="55" t="s">
        <v>108</v>
      </c>
      <c r="C74" s="54"/>
      <c r="D74" s="54"/>
      <c r="E74" s="54"/>
      <c r="F74" s="54"/>
      <c r="G74" s="54"/>
      <c r="H74" s="54"/>
      <c r="I74" s="119"/>
      <c r="J74" s="54"/>
      <c r="K74" s="54"/>
      <c r="L74" s="54"/>
      <c r="M74" s="54"/>
      <c r="N74" s="54"/>
      <c r="O74" s="54"/>
      <c r="P74" s="54"/>
      <c r="Q74" s="54"/>
      <c r="R74" s="54"/>
      <c r="S74" s="94"/>
      <c r="T74" s="55">
        <f t="shared" si="18"/>
        <v>0</v>
      </c>
      <c r="U74" s="55">
        <f t="shared" si="19"/>
        <v>0</v>
      </c>
      <c r="AS74" s="54"/>
    </row>
    <row r="75" spans="1:45">
      <c r="A75" s="57"/>
      <c r="B75" s="57" t="s">
        <v>55</v>
      </c>
      <c r="C75" s="55">
        <v>6</v>
      </c>
      <c r="D75" s="55">
        <v>6</v>
      </c>
      <c r="E75" s="55">
        <v>6</v>
      </c>
      <c r="F75" s="55">
        <v>4</v>
      </c>
      <c r="G75" s="55">
        <v>6</v>
      </c>
      <c r="H75" s="55">
        <v>6</v>
      </c>
      <c r="I75" s="120"/>
      <c r="J75" s="55">
        <v>6</v>
      </c>
      <c r="K75" s="55">
        <v>6</v>
      </c>
      <c r="L75" s="55">
        <v>6</v>
      </c>
      <c r="M75" s="55">
        <v>6</v>
      </c>
      <c r="N75" s="55">
        <v>6</v>
      </c>
      <c r="O75" s="55">
        <v>6</v>
      </c>
      <c r="P75" s="55">
        <v>5</v>
      </c>
      <c r="Q75" s="55">
        <v>6</v>
      </c>
      <c r="R75" s="55">
        <v>6</v>
      </c>
      <c r="S75" s="62">
        <v>6</v>
      </c>
      <c r="T75" s="55">
        <f t="shared" si="18"/>
        <v>93</v>
      </c>
      <c r="U75" s="55">
        <f t="shared" si="19"/>
        <v>9.8470588235294123</v>
      </c>
      <c r="AS75" s="55"/>
    </row>
    <row r="76" spans="1:45">
      <c r="A76" s="57"/>
      <c r="B76" s="57" t="s">
        <v>56</v>
      </c>
      <c r="C76" s="55">
        <v>4</v>
      </c>
      <c r="D76" s="55">
        <v>0</v>
      </c>
      <c r="E76" s="55">
        <v>4</v>
      </c>
      <c r="F76" s="55">
        <v>4</v>
      </c>
      <c r="G76" s="55">
        <v>3</v>
      </c>
      <c r="H76" s="55">
        <v>5</v>
      </c>
      <c r="I76" s="120"/>
      <c r="J76" s="55">
        <v>4</v>
      </c>
      <c r="K76" s="55">
        <v>0</v>
      </c>
      <c r="L76" s="55">
        <v>0</v>
      </c>
      <c r="M76" s="55">
        <v>6</v>
      </c>
      <c r="N76" s="55">
        <v>5</v>
      </c>
      <c r="O76" s="55">
        <v>3</v>
      </c>
      <c r="P76" s="55">
        <v>5</v>
      </c>
      <c r="Q76" s="55">
        <v>5</v>
      </c>
      <c r="R76" s="55">
        <v>5</v>
      </c>
      <c r="S76" s="62">
        <v>5</v>
      </c>
      <c r="T76" s="55">
        <f t="shared" si="18"/>
        <v>58</v>
      </c>
      <c r="U76" s="55">
        <f t="shared" si="19"/>
        <v>6.1411764705882348</v>
      </c>
      <c r="AS76" s="55"/>
    </row>
    <row r="77" spans="1:45">
      <c r="A77" s="55"/>
      <c r="B77" s="55" t="s">
        <v>109</v>
      </c>
      <c r="C77" s="54"/>
      <c r="D77" s="54"/>
      <c r="E77" s="54"/>
      <c r="F77" s="54"/>
      <c r="G77" s="54"/>
      <c r="H77" s="54"/>
      <c r="I77" s="119"/>
      <c r="J77" s="54"/>
      <c r="K77" s="54"/>
      <c r="L77" s="54"/>
      <c r="M77" s="54"/>
      <c r="N77" s="54"/>
      <c r="O77" s="54"/>
      <c r="P77" s="54"/>
      <c r="Q77" s="54"/>
      <c r="R77" s="54"/>
      <c r="S77" s="94"/>
      <c r="T77" s="55">
        <f t="shared" si="18"/>
        <v>0</v>
      </c>
      <c r="U77" s="55">
        <f t="shared" si="19"/>
        <v>0</v>
      </c>
      <c r="AS77" s="54"/>
    </row>
    <row r="78" spans="1:45">
      <c r="A78" s="57"/>
      <c r="B78" s="57" t="s">
        <v>55</v>
      </c>
      <c r="C78" s="55">
        <v>6</v>
      </c>
      <c r="D78" s="55">
        <v>6</v>
      </c>
      <c r="E78" s="55">
        <v>6</v>
      </c>
      <c r="F78" s="55">
        <v>4</v>
      </c>
      <c r="G78" s="55">
        <v>6</v>
      </c>
      <c r="H78" s="55">
        <v>5</v>
      </c>
      <c r="I78" s="120">
        <v>6</v>
      </c>
      <c r="J78" s="55">
        <v>6</v>
      </c>
      <c r="K78" s="55">
        <v>6</v>
      </c>
      <c r="L78" s="55">
        <v>6</v>
      </c>
      <c r="M78" s="55">
        <v>6</v>
      </c>
      <c r="N78" s="55">
        <v>5</v>
      </c>
      <c r="O78" s="55">
        <v>6</v>
      </c>
      <c r="P78" s="55">
        <v>6</v>
      </c>
      <c r="Q78" s="55">
        <v>5</v>
      </c>
      <c r="R78" s="55">
        <v>5</v>
      </c>
      <c r="S78" s="62">
        <v>6</v>
      </c>
      <c r="T78" s="55">
        <f t="shared" si="18"/>
        <v>96</v>
      </c>
      <c r="U78" s="55">
        <f t="shared" si="19"/>
        <v>10.164705882352942</v>
      </c>
      <c r="AS78" s="55"/>
    </row>
    <row r="79" spans="1:45">
      <c r="A79" s="57"/>
      <c r="B79" s="57" t="s">
        <v>56</v>
      </c>
      <c r="C79" s="55">
        <v>4</v>
      </c>
      <c r="D79" s="55">
        <v>6</v>
      </c>
      <c r="E79" s="55">
        <v>4</v>
      </c>
      <c r="F79" s="55">
        <v>4</v>
      </c>
      <c r="G79" s="55">
        <v>3</v>
      </c>
      <c r="H79" s="55">
        <v>5</v>
      </c>
      <c r="I79" s="120">
        <v>6</v>
      </c>
      <c r="J79" s="55">
        <v>5</v>
      </c>
      <c r="K79" s="55">
        <v>0</v>
      </c>
      <c r="L79" s="55">
        <v>0</v>
      </c>
      <c r="M79" s="55">
        <v>6</v>
      </c>
      <c r="N79" s="55">
        <v>5</v>
      </c>
      <c r="O79" s="55">
        <v>3</v>
      </c>
      <c r="P79" s="55">
        <v>5</v>
      </c>
      <c r="Q79" s="55">
        <v>5</v>
      </c>
      <c r="R79" s="55">
        <v>5</v>
      </c>
      <c r="S79" s="62">
        <v>6</v>
      </c>
      <c r="T79" s="55">
        <f t="shared" si="18"/>
        <v>72</v>
      </c>
      <c r="U79" s="55">
        <f t="shared" si="19"/>
        <v>7.6235294117647063</v>
      </c>
      <c r="AS79" s="55"/>
    </row>
    <row r="80" spans="1:45">
      <c r="A80" s="57"/>
      <c r="B80" s="53" t="s">
        <v>110</v>
      </c>
      <c r="C80" s="57"/>
      <c r="D80" s="57"/>
      <c r="E80" s="57"/>
      <c r="F80" s="57"/>
      <c r="G80" s="57"/>
      <c r="H80" s="57"/>
      <c r="I80" s="121"/>
      <c r="J80" s="57"/>
      <c r="K80" s="57"/>
      <c r="L80" s="57"/>
      <c r="M80" s="57"/>
      <c r="N80" s="57"/>
      <c r="O80" s="57"/>
      <c r="P80" s="57"/>
      <c r="Q80" s="57"/>
      <c r="R80" s="57"/>
      <c r="S80" s="95"/>
      <c r="T80" s="55">
        <f t="shared" si="18"/>
        <v>0</v>
      </c>
      <c r="U80" s="55">
        <f t="shared" si="19"/>
        <v>0</v>
      </c>
      <c r="AS80" s="57"/>
    </row>
    <row r="81" spans="1:45">
      <c r="A81" s="57"/>
      <c r="B81" s="57" t="s">
        <v>55</v>
      </c>
      <c r="C81" s="57">
        <v>4</v>
      </c>
      <c r="D81" s="57">
        <v>6</v>
      </c>
      <c r="E81" s="57">
        <v>6</v>
      </c>
      <c r="F81" s="57">
        <v>6</v>
      </c>
      <c r="G81" s="57">
        <v>6</v>
      </c>
      <c r="H81" s="57">
        <v>4</v>
      </c>
      <c r="I81" s="121">
        <v>6</v>
      </c>
      <c r="J81" s="57">
        <v>6</v>
      </c>
      <c r="K81" s="57">
        <v>6</v>
      </c>
      <c r="L81" s="57">
        <v>6</v>
      </c>
      <c r="M81" s="57">
        <v>6</v>
      </c>
      <c r="N81" s="57">
        <v>4</v>
      </c>
      <c r="O81" s="57">
        <v>6</v>
      </c>
      <c r="P81" s="57">
        <v>6</v>
      </c>
      <c r="Q81" s="57">
        <v>6</v>
      </c>
      <c r="R81" s="57">
        <v>4</v>
      </c>
      <c r="S81" s="95">
        <v>6</v>
      </c>
      <c r="T81" s="55">
        <f t="shared" si="18"/>
        <v>94</v>
      </c>
      <c r="U81" s="55">
        <f t="shared" si="19"/>
        <v>9.9529411764705884</v>
      </c>
      <c r="AS81" s="57"/>
    </row>
    <row r="82" spans="1:45">
      <c r="A82" s="57"/>
      <c r="B82" s="57" t="s">
        <v>56</v>
      </c>
      <c r="C82" s="57">
        <v>6</v>
      </c>
      <c r="D82" s="57">
        <v>6</v>
      </c>
      <c r="E82" s="57">
        <v>6</v>
      </c>
      <c r="F82" s="57">
        <v>6</v>
      </c>
      <c r="G82" s="57">
        <v>3</v>
      </c>
      <c r="H82" s="57">
        <v>6</v>
      </c>
      <c r="I82" s="121">
        <v>5</v>
      </c>
      <c r="J82" s="57">
        <v>4</v>
      </c>
      <c r="K82" s="57">
        <v>3</v>
      </c>
      <c r="L82" s="57">
        <v>0</v>
      </c>
      <c r="M82" s="57">
        <v>6</v>
      </c>
      <c r="N82" s="57">
        <v>6</v>
      </c>
      <c r="O82" s="57">
        <v>2</v>
      </c>
      <c r="P82" s="57">
        <v>6</v>
      </c>
      <c r="Q82" s="57">
        <v>6</v>
      </c>
      <c r="R82" s="57">
        <v>6</v>
      </c>
      <c r="S82" s="95">
        <v>5</v>
      </c>
      <c r="T82" s="55">
        <f t="shared" si="18"/>
        <v>82</v>
      </c>
      <c r="U82" s="55">
        <f t="shared" si="19"/>
        <v>8.6823529411764699</v>
      </c>
      <c r="AS82" s="57"/>
    </row>
    <row r="83" spans="1:45">
      <c r="A83" s="58"/>
      <c r="B83" s="58" t="s">
        <v>32</v>
      </c>
      <c r="C83" s="58">
        <f t="shared" ref="C83:S83" si="20">1.8*(C69+C72+C75+C78+C81)</f>
        <v>50.4</v>
      </c>
      <c r="D83" s="58">
        <f t="shared" si="20"/>
        <v>54</v>
      </c>
      <c r="E83" s="58">
        <f t="shared" si="20"/>
        <v>50.4</v>
      </c>
      <c r="F83" s="58">
        <f t="shared" si="20"/>
        <v>46.800000000000004</v>
      </c>
      <c r="G83" s="58">
        <f t="shared" si="20"/>
        <v>54</v>
      </c>
      <c r="H83" s="58">
        <f t="shared" si="20"/>
        <v>48.6</v>
      </c>
      <c r="I83" s="58">
        <f t="shared" si="20"/>
        <v>39.6</v>
      </c>
      <c r="J83" s="58">
        <f t="shared" si="20"/>
        <v>54</v>
      </c>
      <c r="K83" s="58">
        <f t="shared" si="20"/>
        <v>54</v>
      </c>
      <c r="L83" s="58">
        <f t="shared" si="20"/>
        <v>54</v>
      </c>
      <c r="M83" s="58">
        <f t="shared" si="20"/>
        <v>54</v>
      </c>
      <c r="N83" s="58">
        <f t="shared" si="20"/>
        <v>48.6</v>
      </c>
      <c r="O83" s="58">
        <f t="shared" si="20"/>
        <v>54</v>
      </c>
      <c r="P83" s="58">
        <f t="shared" si="20"/>
        <v>48.6</v>
      </c>
      <c r="Q83" s="58">
        <f t="shared" si="20"/>
        <v>52.2</v>
      </c>
      <c r="R83" s="58">
        <f t="shared" si="20"/>
        <v>48.6</v>
      </c>
      <c r="S83" s="96">
        <f t="shared" si="20"/>
        <v>54</v>
      </c>
      <c r="T83" s="97">
        <f t="shared" ref="T83:T88" si="21">AVERAGE(C83:S83)</f>
        <v>50.92941176470589</v>
      </c>
      <c r="U83" s="61">
        <f t="shared" ref="U83:U84" si="22">U69+U72+U75+U78+U81</f>
        <v>50.929411764705883</v>
      </c>
      <c r="AS83" s="57"/>
    </row>
    <row r="84" spans="1:45">
      <c r="A84" s="57"/>
      <c r="B84" s="57" t="s">
        <v>33</v>
      </c>
      <c r="C84" s="57">
        <f t="shared" ref="C84:S84" si="23">1.8*(C70+C73+C76+C79+C82)</f>
        <v>46.800000000000004</v>
      </c>
      <c r="D84" s="57">
        <f t="shared" si="23"/>
        <v>43.2</v>
      </c>
      <c r="E84" s="57">
        <f t="shared" si="23"/>
        <v>43.2</v>
      </c>
      <c r="F84" s="57">
        <f t="shared" si="23"/>
        <v>46.800000000000004</v>
      </c>
      <c r="G84" s="57">
        <f t="shared" si="23"/>
        <v>37.800000000000004</v>
      </c>
      <c r="H84" s="57">
        <f t="shared" si="23"/>
        <v>50.4</v>
      </c>
      <c r="I84" s="121">
        <f t="shared" si="23"/>
        <v>39.6</v>
      </c>
      <c r="J84" s="57">
        <f t="shared" si="23"/>
        <v>45</v>
      </c>
      <c r="K84" s="57">
        <f t="shared" si="23"/>
        <v>27</v>
      </c>
      <c r="L84" s="57">
        <f t="shared" si="23"/>
        <v>21.6</v>
      </c>
      <c r="M84" s="57">
        <f t="shared" si="23"/>
        <v>52.2</v>
      </c>
      <c r="N84" s="57">
        <f t="shared" si="23"/>
        <v>50.4</v>
      </c>
      <c r="O84" s="57">
        <f t="shared" si="23"/>
        <v>32.4</v>
      </c>
      <c r="P84" s="57">
        <f t="shared" si="23"/>
        <v>46.800000000000004</v>
      </c>
      <c r="Q84" s="57">
        <f t="shared" si="23"/>
        <v>50.4</v>
      </c>
      <c r="R84" s="57">
        <f t="shared" si="23"/>
        <v>50.4</v>
      </c>
      <c r="S84" s="95">
        <f t="shared" si="23"/>
        <v>50.4</v>
      </c>
      <c r="T84" s="98">
        <f t="shared" si="21"/>
        <v>43.199999999999989</v>
      </c>
      <c r="U84" s="62">
        <f t="shared" si="22"/>
        <v>43.199999999999996</v>
      </c>
      <c r="AS84" s="57"/>
    </row>
    <row r="85" spans="1:45">
      <c r="A85" s="63"/>
      <c r="B85" s="63" t="s">
        <v>34</v>
      </c>
      <c r="C85" s="63">
        <f t="shared" ref="C85:S85" si="24">C83-C84</f>
        <v>3.5999999999999943</v>
      </c>
      <c r="D85" s="63">
        <f t="shared" si="24"/>
        <v>10.799999999999997</v>
      </c>
      <c r="E85" s="63">
        <f t="shared" si="24"/>
        <v>7.1999999999999957</v>
      </c>
      <c r="F85" s="63">
        <f t="shared" si="24"/>
        <v>0</v>
      </c>
      <c r="G85" s="63">
        <f t="shared" si="24"/>
        <v>16.199999999999996</v>
      </c>
      <c r="H85" s="63">
        <f t="shared" si="24"/>
        <v>-1.7999999999999972</v>
      </c>
      <c r="I85" s="63">
        <f t="shared" si="24"/>
        <v>0</v>
      </c>
      <c r="J85" s="63">
        <f t="shared" si="24"/>
        <v>9</v>
      </c>
      <c r="K85" s="63">
        <f t="shared" si="24"/>
        <v>27</v>
      </c>
      <c r="L85" s="63">
        <f t="shared" si="24"/>
        <v>32.4</v>
      </c>
      <c r="M85" s="63">
        <f t="shared" si="24"/>
        <v>1.7999999999999972</v>
      </c>
      <c r="N85" s="63">
        <f t="shared" si="24"/>
        <v>-1.7999999999999972</v>
      </c>
      <c r="O85" s="63">
        <f t="shared" si="24"/>
        <v>21.6</v>
      </c>
      <c r="P85" s="63">
        <f t="shared" si="24"/>
        <v>1.7999999999999972</v>
      </c>
      <c r="Q85" s="63">
        <f t="shared" si="24"/>
        <v>1.8000000000000043</v>
      </c>
      <c r="R85" s="63">
        <f t="shared" si="24"/>
        <v>-1.7999999999999972</v>
      </c>
      <c r="S85" s="99">
        <f t="shared" si="24"/>
        <v>3.6000000000000014</v>
      </c>
      <c r="T85" s="100">
        <f t="shared" si="21"/>
        <v>7.7294117647058806</v>
      </c>
      <c r="U85" s="66">
        <f>U83-U84</f>
        <v>7.7294117647058869</v>
      </c>
      <c r="AS85" s="57"/>
    </row>
    <row r="86" spans="1:45">
      <c r="A86" s="2"/>
      <c r="B86" s="78" t="s">
        <v>65</v>
      </c>
      <c r="C86" s="68">
        <f t="shared" ref="C86:S86" si="25">C28+C48+C64+C83</f>
        <v>167.24600000000001</v>
      </c>
      <c r="D86" s="68">
        <f t="shared" si="25"/>
        <v>185.97000000000003</v>
      </c>
      <c r="E86" s="68">
        <f t="shared" si="25"/>
        <v>178.79000000000002</v>
      </c>
      <c r="F86" s="68">
        <f t="shared" si="25"/>
        <v>162.00000000000003</v>
      </c>
      <c r="G86" s="68">
        <f t="shared" si="25"/>
        <v>184.928</v>
      </c>
      <c r="H86" s="68">
        <f t="shared" si="25"/>
        <v>144.21</v>
      </c>
      <c r="I86" s="122">
        <f t="shared" si="25"/>
        <v>145.95400000000001</v>
      </c>
      <c r="J86" s="68">
        <f t="shared" si="25"/>
        <v>186.79000000000002</v>
      </c>
      <c r="K86" s="68">
        <f t="shared" si="25"/>
        <v>191.95</v>
      </c>
      <c r="L86" s="68">
        <f t="shared" si="25"/>
        <v>189.76999999999998</v>
      </c>
      <c r="M86" s="68">
        <f t="shared" si="25"/>
        <v>178.71699999999998</v>
      </c>
      <c r="N86" s="68">
        <f t="shared" si="25"/>
        <v>167.27</v>
      </c>
      <c r="O86" s="68">
        <f t="shared" si="25"/>
        <v>191.27</v>
      </c>
      <c r="P86" s="68">
        <f t="shared" si="25"/>
        <v>173.01499999999999</v>
      </c>
      <c r="Q86" s="68">
        <f t="shared" si="25"/>
        <v>170.87</v>
      </c>
      <c r="R86" s="68">
        <f t="shared" si="25"/>
        <v>167.04</v>
      </c>
      <c r="S86" s="101">
        <f t="shared" si="25"/>
        <v>162.19</v>
      </c>
      <c r="T86" s="68">
        <f t="shared" si="21"/>
        <v>173.41058823529411</v>
      </c>
      <c r="U86" s="102">
        <f t="shared" ref="U86:U88" si="26">U28+U48+U64+U83</f>
        <v>173.41058823529411</v>
      </c>
    </row>
    <row r="87" spans="1:45">
      <c r="A87" s="2"/>
      <c r="B87" s="78" t="s">
        <v>66</v>
      </c>
      <c r="C87" s="68">
        <f t="shared" ref="C87:S87" si="27">C29+C49+C65+C84</f>
        <v>140.35400000000001</v>
      </c>
      <c r="D87" s="68">
        <f t="shared" si="27"/>
        <v>127.05000000000001</v>
      </c>
      <c r="E87" s="68">
        <f t="shared" si="27"/>
        <v>144.07999999999998</v>
      </c>
      <c r="F87" s="68">
        <f t="shared" si="27"/>
        <v>144.37</v>
      </c>
      <c r="G87" s="68">
        <f t="shared" si="27"/>
        <v>117.71200000000002</v>
      </c>
      <c r="H87" s="68">
        <f t="shared" si="27"/>
        <v>162.65</v>
      </c>
      <c r="I87" s="122">
        <f t="shared" si="27"/>
        <v>139.876</v>
      </c>
      <c r="J87" s="68">
        <f t="shared" si="27"/>
        <v>137.79</v>
      </c>
      <c r="K87" s="68">
        <f t="shared" si="27"/>
        <v>111.58</v>
      </c>
      <c r="L87" s="68">
        <f t="shared" si="27"/>
        <v>105.31</v>
      </c>
      <c r="M87" s="68">
        <f t="shared" si="27"/>
        <v>157.94299999999998</v>
      </c>
      <c r="N87" s="68">
        <f t="shared" si="27"/>
        <v>146.87</v>
      </c>
      <c r="O87" s="68">
        <f t="shared" si="27"/>
        <v>108.41</v>
      </c>
      <c r="P87" s="68">
        <f t="shared" si="27"/>
        <v>129.73500000000001</v>
      </c>
      <c r="Q87" s="68">
        <f t="shared" si="27"/>
        <v>147.62</v>
      </c>
      <c r="R87" s="68">
        <f t="shared" si="27"/>
        <v>145.51000000000002</v>
      </c>
      <c r="S87" s="101">
        <f t="shared" si="27"/>
        <v>143.53</v>
      </c>
      <c r="T87" s="68">
        <f t="shared" si="21"/>
        <v>135.90529411764709</v>
      </c>
      <c r="U87" s="102">
        <f t="shared" si="26"/>
        <v>135.90529411764706</v>
      </c>
    </row>
    <row r="88" spans="1:45">
      <c r="A88" s="103"/>
      <c r="B88" s="104" t="s">
        <v>67</v>
      </c>
      <c r="C88" s="105">
        <f t="shared" ref="C88:S88" si="28">C86-C87</f>
        <v>26.891999999999996</v>
      </c>
      <c r="D88" s="105">
        <f t="shared" si="28"/>
        <v>58.920000000000016</v>
      </c>
      <c r="E88" s="105">
        <f t="shared" si="28"/>
        <v>34.710000000000036</v>
      </c>
      <c r="F88" s="105">
        <f t="shared" si="28"/>
        <v>17.630000000000024</v>
      </c>
      <c r="G88" s="105">
        <f t="shared" si="28"/>
        <v>67.21599999999998</v>
      </c>
      <c r="H88" s="105">
        <f t="shared" si="28"/>
        <v>-18.439999999999998</v>
      </c>
      <c r="I88" s="105">
        <f t="shared" si="28"/>
        <v>6.078000000000003</v>
      </c>
      <c r="J88" s="105">
        <f t="shared" si="28"/>
        <v>49.000000000000028</v>
      </c>
      <c r="K88" s="105">
        <f t="shared" si="28"/>
        <v>80.36999999999999</v>
      </c>
      <c r="L88" s="105">
        <f t="shared" si="28"/>
        <v>84.45999999999998</v>
      </c>
      <c r="M88" s="105">
        <f t="shared" si="28"/>
        <v>20.774000000000001</v>
      </c>
      <c r="N88" s="105">
        <f t="shared" si="28"/>
        <v>20.400000000000006</v>
      </c>
      <c r="O88" s="105">
        <f t="shared" si="28"/>
        <v>82.860000000000014</v>
      </c>
      <c r="P88" s="105">
        <f t="shared" si="28"/>
        <v>43.279999999999973</v>
      </c>
      <c r="Q88" s="105">
        <f t="shared" si="28"/>
        <v>23.25</v>
      </c>
      <c r="R88" s="105">
        <f t="shared" si="28"/>
        <v>21.529999999999973</v>
      </c>
      <c r="S88" s="106">
        <f t="shared" si="28"/>
        <v>18.659999999999997</v>
      </c>
      <c r="T88" s="68">
        <f t="shared" si="21"/>
        <v>37.505294117647061</v>
      </c>
      <c r="U88" s="102">
        <f t="shared" si="26"/>
        <v>37.505294117647054</v>
      </c>
    </row>
    <row r="89" spans="1:45">
      <c r="A89" s="2"/>
      <c r="I89" s="122"/>
      <c r="S89" s="123"/>
    </row>
    <row r="90" spans="1:45">
      <c r="A90" s="2"/>
      <c r="B90" s="78" t="s">
        <v>68</v>
      </c>
      <c r="C90" s="68">
        <f t="shared" ref="C90:S90" si="29">0.61*((15-ROUND(C11,0)) + (15-ROUND(C14,0)) + C17 + C20 + C23 + C26) + 0.136*(C33+C37+C41+C45) + 2.27*(C53+C56+C59+C62) + 1.8*(C69+C72+C75+C78+C81)</f>
        <v>167.24600000000001</v>
      </c>
      <c r="D90" s="68">
        <f t="shared" si="29"/>
        <v>185.97000000000003</v>
      </c>
      <c r="E90" s="68">
        <f t="shared" si="29"/>
        <v>178.79000000000002</v>
      </c>
      <c r="F90" s="68">
        <f t="shared" si="29"/>
        <v>162.00000000000003</v>
      </c>
      <c r="G90" s="68">
        <f t="shared" si="29"/>
        <v>184.928</v>
      </c>
      <c r="H90" s="68">
        <f t="shared" si="29"/>
        <v>144.21</v>
      </c>
      <c r="I90" s="122">
        <f t="shared" si="29"/>
        <v>145.95400000000001</v>
      </c>
      <c r="J90" s="68">
        <f t="shared" si="29"/>
        <v>186.79000000000002</v>
      </c>
      <c r="K90" s="68">
        <f t="shared" si="29"/>
        <v>191.95</v>
      </c>
      <c r="L90" s="68">
        <f t="shared" si="29"/>
        <v>189.76999999999998</v>
      </c>
      <c r="M90" s="68">
        <f t="shared" si="29"/>
        <v>178.71699999999998</v>
      </c>
      <c r="N90" s="68">
        <f t="shared" si="29"/>
        <v>167.27</v>
      </c>
      <c r="O90" s="68">
        <f t="shared" si="29"/>
        <v>191.27</v>
      </c>
      <c r="P90" s="68">
        <f t="shared" si="29"/>
        <v>173.01499999999999</v>
      </c>
      <c r="Q90" s="68">
        <f t="shared" si="29"/>
        <v>170.87</v>
      </c>
      <c r="R90" s="68">
        <f t="shared" si="29"/>
        <v>167.04</v>
      </c>
      <c r="S90" s="101">
        <f t="shared" si="29"/>
        <v>162.19</v>
      </c>
      <c r="T90" s="68">
        <f>AVERAGE(C90:S90)</f>
        <v>173.41058823529411</v>
      </c>
    </row>
    <row r="91" spans="1:45">
      <c r="A91" s="70"/>
      <c r="B91" s="107" t="s">
        <v>69</v>
      </c>
      <c r="C91" s="70">
        <f t="shared" ref="C91:S91" si="30">0.61*((15-ROUND(C12,0)) + (15-ROUND(C15,0)) + C18 + C21 + C24 + C27) + 0.136*(C34+C38+C42+C46) + 2.27*(C54+C57+C60+C63) + 1.8*(C70+C73+C76+C79+C82)</f>
        <v>140.35400000000001</v>
      </c>
      <c r="D91" s="70">
        <f t="shared" si="30"/>
        <v>127.05000000000001</v>
      </c>
      <c r="E91" s="70">
        <f t="shared" si="30"/>
        <v>144.07999999999998</v>
      </c>
      <c r="F91" s="70">
        <f t="shared" si="30"/>
        <v>144.37</v>
      </c>
      <c r="G91" s="70">
        <f t="shared" si="30"/>
        <v>117.71200000000002</v>
      </c>
      <c r="H91" s="70">
        <f t="shared" si="30"/>
        <v>162.65</v>
      </c>
      <c r="I91" s="124">
        <f t="shared" si="30"/>
        <v>139.876</v>
      </c>
      <c r="J91" s="70">
        <f t="shared" si="30"/>
        <v>137.79</v>
      </c>
      <c r="K91" s="70">
        <f t="shared" si="30"/>
        <v>111.58</v>
      </c>
      <c r="L91" s="70">
        <f t="shared" si="30"/>
        <v>105.31</v>
      </c>
      <c r="M91" s="70">
        <f t="shared" si="30"/>
        <v>157.94299999999998</v>
      </c>
      <c r="N91" s="70">
        <f t="shared" si="30"/>
        <v>146.87</v>
      </c>
      <c r="O91" s="70">
        <f t="shared" si="30"/>
        <v>108.41</v>
      </c>
      <c r="P91" s="70">
        <f t="shared" si="30"/>
        <v>129.73500000000001</v>
      </c>
      <c r="Q91" s="70">
        <f t="shared" si="30"/>
        <v>147.62</v>
      </c>
      <c r="R91" s="70">
        <f t="shared" si="30"/>
        <v>145.51000000000002</v>
      </c>
      <c r="S91" s="108">
        <f t="shared" si="30"/>
        <v>143.53</v>
      </c>
      <c r="T91" s="68">
        <f>AVERAGE(C91:S91)</f>
        <v>135.90529411764709</v>
      </c>
      <c r="U91" s="70"/>
      <c r="AS91" s="70"/>
    </row>
    <row r="92" spans="1:45">
      <c r="A92" s="71"/>
      <c r="B92" s="72" t="s">
        <v>70</v>
      </c>
      <c r="C92" s="72">
        <v>26.891999999999999</v>
      </c>
      <c r="D92" s="72">
        <v>58.92</v>
      </c>
      <c r="E92" s="72">
        <v>34.71</v>
      </c>
      <c r="F92" s="72">
        <v>17.63</v>
      </c>
      <c r="G92" s="72">
        <v>67.215999999999994</v>
      </c>
      <c r="H92" s="72">
        <v>-18.440000000000001</v>
      </c>
      <c r="I92" s="125">
        <v>6.0780000000000003</v>
      </c>
      <c r="J92" s="72">
        <v>49</v>
      </c>
      <c r="K92" s="72">
        <v>80.37</v>
      </c>
      <c r="L92" s="72">
        <v>84.46</v>
      </c>
      <c r="M92" s="72">
        <v>20.774000000000001</v>
      </c>
      <c r="N92" s="72">
        <v>20.399999999999999</v>
      </c>
      <c r="O92" s="72">
        <v>82.86</v>
      </c>
      <c r="P92" s="72">
        <v>43.28</v>
      </c>
      <c r="Q92" s="72">
        <v>23.25</v>
      </c>
      <c r="R92" s="72">
        <v>21.53</v>
      </c>
      <c r="S92" s="109">
        <v>18.66</v>
      </c>
      <c r="T92" s="68">
        <f>AVERAGE(C92:S92)</f>
        <v>37.505294117647047</v>
      </c>
      <c r="U92" s="72"/>
      <c r="AS92" s="72"/>
    </row>
    <row r="93" spans="1:45">
      <c r="A93" s="2"/>
      <c r="AP93" s="101"/>
    </row>
    <row r="94" spans="1:45">
      <c r="A94" s="2"/>
      <c r="B94" s="78" t="s">
        <v>15</v>
      </c>
      <c r="C94" s="68">
        <f>AVERAGE(C92:S92)</f>
        <v>37.505294117647047</v>
      </c>
      <c r="AP94" s="101"/>
    </row>
    <row r="95" spans="1:45">
      <c r="A95" s="2"/>
      <c r="B95" s="78" t="s">
        <v>71</v>
      </c>
      <c r="C95" s="9">
        <f>MEDIAN(C92:S92)</f>
        <v>26.891999999999999</v>
      </c>
      <c r="AP95" s="101"/>
    </row>
    <row r="96" spans="1:45">
      <c r="A96" s="2"/>
      <c r="B96" s="78" t="s">
        <v>72</v>
      </c>
      <c r="C96" s="68">
        <f>AVERAGE(C90:S90)</f>
        <v>173.41058823529411</v>
      </c>
      <c r="AP96" s="101"/>
    </row>
    <row r="97" spans="1:42">
      <c r="A97" s="2"/>
      <c r="B97" s="78" t="s">
        <v>73</v>
      </c>
      <c r="C97" s="68">
        <f>AVERAGE(C91:S91)</f>
        <v>135.90529411764709</v>
      </c>
      <c r="AP97" s="101"/>
    </row>
    <row r="98" spans="1:42">
      <c r="A98" s="2"/>
      <c r="AP98" s="101"/>
    </row>
    <row r="99" spans="1:42">
      <c r="A99" s="2"/>
      <c r="B99" s="187"/>
      <c r="C99" s="186"/>
      <c r="D99" s="185"/>
      <c r="AP99" s="101"/>
    </row>
    <row r="100" spans="1:42">
      <c r="A100" s="2"/>
      <c r="B100" s="188"/>
      <c r="C100" s="186"/>
      <c r="D100" s="185"/>
      <c r="AP100" s="101"/>
    </row>
    <row r="101" spans="1:42">
      <c r="A101" s="2"/>
      <c r="B101" s="187"/>
      <c r="C101" s="186"/>
      <c r="D101" s="185"/>
      <c r="AP101" s="101"/>
    </row>
    <row r="102" spans="1:42">
      <c r="A102" s="2"/>
      <c r="B102" s="188"/>
      <c r="C102" s="186"/>
      <c r="D102" s="185"/>
      <c r="AP102" s="101"/>
    </row>
    <row r="103" spans="1:42">
      <c r="A103" s="2"/>
      <c r="B103" s="188"/>
      <c r="C103" s="186"/>
      <c r="D103" s="185"/>
      <c r="AP103" s="101"/>
    </row>
    <row r="104" spans="1:42">
      <c r="A104" s="2"/>
      <c r="B104" s="185"/>
      <c r="C104" s="186"/>
      <c r="D104" s="185"/>
      <c r="AP104" s="101"/>
    </row>
    <row r="105" spans="1:42">
      <c r="A105" s="2"/>
      <c r="AP105" s="101"/>
    </row>
    <row r="106" spans="1:42">
      <c r="A106" s="2"/>
      <c r="AP106" s="101"/>
    </row>
    <row r="107" spans="1:42">
      <c r="A107" s="2"/>
      <c r="AP107" s="101"/>
    </row>
    <row r="108" spans="1:42">
      <c r="A108" s="2"/>
      <c r="AP108" s="101"/>
    </row>
    <row r="109" spans="1:42">
      <c r="A109" s="2"/>
      <c r="AP109" s="101"/>
    </row>
    <row r="110" spans="1:42">
      <c r="A110" s="2"/>
      <c r="AP110" s="101"/>
    </row>
    <row r="111" spans="1:42">
      <c r="A111" s="2"/>
      <c r="AP111" s="101"/>
    </row>
    <row r="112" spans="1:42">
      <c r="A112" s="2"/>
      <c r="AP112" s="101"/>
    </row>
    <row r="113" spans="1:42">
      <c r="A113" s="2"/>
      <c r="AP113" s="101"/>
    </row>
    <row r="114" spans="1:42">
      <c r="A114" s="2"/>
      <c r="AP114" s="101"/>
    </row>
    <row r="115" spans="1:42">
      <c r="A115" s="2"/>
      <c r="AP115" s="101"/>
    </row>
    <row r="116" spans="1:42">
      <c r="A116" s="2"/>
      <c r="AP116" s="101"/>
    </row>
    <row r="117" spans="1:42">
      <c r="A117" s="2"/>
      <c r="AP117" s="101"/>
    </row>
    <row r="118" spans="1:42">
      <c r="A118" s="2"/>
      <c r="AP118" s="101"/>
    </row>
    <row r="119" spans="1:42">
      <c r="A119" s="2"/>
      <c r="AP119" s="101"/>
    </row>
    <row r="120" spans="1:42">
      <c r="A120" s="2"/>
      <c r="AP120" s="101"/>
    </row>
    <row r="121" spans="1:42">
      <c r="A121" s="2"/>
      <c r="AP121" s="101"/>
    </row>
    <row r="122" spans="1:42">
      <c r="A122" s="2"/>
      <c r="AP122" s="101"/>
    </row>
    <row r="123" spans="1:42">
      <c r="A123" s="2"/>
      <c r="AP123" s="101"/>
    </row>
    <row r="124" spans="1:42">
      <c r="A124" s="2"/>
      <c r="AP124" s="101"/>
    </row>
    <row r="125" spans="1:42">
      <c r="A125" s="2"/>
      <c r="AP125" s="101"/>
    </row>
    <row r="126" spans="1:42">
      <c r="A126" s="2"/>
      <c r="AP126" s="101"/>
    </row>
    <row r="127" spans="1:42">
      <c r="A127" s="2"/>
      <c r="AP127" s="101"/>
    </row>
    <row r="128" spans="1:42">
      <c r="A128" s="2"/>
      <c r="AP128" s="101"/>
    </row>
    <row r="129" spans="1:42">
      <c r="A129" s="2"/>
      <c r="AP129" s="101"/>
    </row>
    <row r="130" spans="1:42">
      <c r="A130" s="2"/>
      <c r="AP130" s="101"/>
    </row>
    <row r="131" spans="1:42">
      <c r="A131" s="2"/>
      <c r="AP131" s="101"/>
    </row>
    <row r="132" spans="1:42">
      <c r="A132" s="2"/>
      <c r="AP132" s="101"/>
    </row>
    <row r="133" spans="1:42">
      <c r="A133" s="2"/>
      <c r="AP133" s="101"/>
    </row>
    <row r="134" spans="1:42">
      <c r="A134" s="2"/>
      <c r="AP134" s="101"/>
    </row>
    <row r="135" spans="1:42">
      <c r="A135" s="2"/>
      <c r="AP135" s="101"/>
    </row>
    <row r="136" spans="1:42">
      <c r="A136" s="2"/>
      <c r="AP136" s="101"/>
    </row>
    <row r="137" spans="1:42">
      <c r="A137" s="2"/>
      <c r="AP137" s="101"/>
    </row>
    <row r="138" spans="1:42">
      <c r="A138" s="2"/>
      <c r="AP138" s="101"/>
    </row>
    <row r="139" spans="1:42">
      <c r="A139" s="2"/>
      <c r="AP139" s="101"/>
    </row>
    <row r="140" spans="1:42">
      <c r="A140" s="2"/>
      <c r="AP140" s="101"/>
    </row>
    <row r="141" spans="1:42">
      <c r="A141" s="2"/>
      <c r="AP141" s="101"/>
    </row>
    <row r="142" spans="1:42">
      <c r="A142" s="2"/>
      <c r="AP142" s="101"/>
    </row>
    <row r="143" spans="1:42">
      <c r="A143" s="2"/>
      <c r="AP143" s="101"/>
    </row>
    <row r="144" spans="1:42">
      <c r="A144" s="2"/>
      <c r="AP144" s="101"/>
    </row>
    <row r="145" spans="1:42">
      <c r="A145" s="2"/>
      <c r="AP145" s="101"/>
    </row>
    <row r="146" spans="1:42">
      <c r="A146" s="2"/>
      <c r="AP146" s="101"/>
    </row>
    <row r="147" spans="1:42">
      <c r="A147" s="2"/>
      <c r="AP147" s="101"/>
    </row>
    <row r="148" spans="1:42">
      <c r="A148" s="2"/>
      <c r="AP148" s="101"/>
    </row>
    <row r="149" spans="1:42">
      <c r="A149" s="2"/>
      <c r="AP149" s="101"/>
    </row>
    <row r="150" spans="1:42">
      <c r="A150" s="2"/>
      <c r="AP150" s="101"/>
    </row>
    <row r="151" spans="1:42">
      <c r="A151" s="2"/>
      <c r="AP151" s="101"/>
    </row>
    <row r="152" spans="1:42">
      <c r="A152" s="2"/>
      <c r="AP152" s="101"/>
    </row>
    <row r="153" spans="1:42">
      <c r="A153" s="2"/>
      <c r="AP153" s="101"/>
    </row>
    <row r="154" spans="1:42">
      <c r="A154" s="2"/>
      <c r="AP154" s="101"/>
    </row>
    <row r="155" spans="1:42">
      <c r="A155" s="2"/>
      <c r="AP155" s="101"/>
    </row>
    <row r="156" spans="1:42">
      <c r="A156" s="2"/>
      <c r="AP156" s="101"/>
    </row>
    <row r="157" spans="1:42">
      <c r="A157" s="2"/>
      <c r="AP157" s="101"/>
    </row>
    <row r="158" spans="1:42">
      <c r="A158" s="2"/>
      <c r="AP158" s="101"/>
    </row>
    <row r="159" spans="1:42">
      <c r="A159" s="2"/>
      <c r="AP159" s="101"/>
    </row>
    <row r="160" spans="1:42">
      <c r="A160" s="2"/>
      <c r="AP160" s="101"/>
    </row>
    <row r="161" spans="1:42">
      <c r="A161" s="2"/>
      <c r="AP161" s="101"/>
    </row>
    <row r="162" spans="1:42">
      <c r="A162" s="2"/>
      <c r="AP162" s="101"/>
    </row>
    <row r="163" spans="1:42">
      <c r="A163" s="2"/>
      <c r="AP163" s="101"/>
    </row>
    <row r="164" spans="1:42">
      <c r="A164" s="2"/>
      <c r="AP164" s="101"/>
    </row>
    <row r="165" spans="1:42">
      <c r="A165" s="2"/>
      <c r="AP165" s="101"/>
    </row>
    <row r="166" spans="1:42">
      <c r="A166" s="2"/>
      <c r="AP166" s="101"/>
    </row>
    <row r="167" spans="1:42">
      <c r="A167" s="2"/>
      <c r="AP167" s="101"/>
    </row>
    <row r="168" spans="1:42">
      <c r="A168" s="2"/>
      <c r="AP168" s="101"/>
    </row>
    <row r="169" spans="1:42">
      <c r="A169" s="2"/>
      <c r="AP169" s="101"/>
    </row>
    <row r="170" spans="1:42">
      <c r="A170" s="2"/>
      <c r="AP170" s="101"/>
    </row>
    <row r="171" spans="1:42">
      <c r="A171" s="2"/>
      <c r="AP171" s="101"/>
    </row>
    <row r="172" spans="1:42">
      <c r="A172" s="2"/>
      <c r="AP172" s="101"/>
    </row>
    <row r="173" spans="1:42">
      <c r="A173" s="2"/>
      <c r="AP173" s="101"/>
    </row>
    <row r="174" spans="1:42">
      <c r="A174" s="2"/>
      <c r="AP174" s="101"/>
    </row>
    <row r="175" spans="1:42">
      <c r="A175" s="2"/>
      <c r="AP175" s="101"/>
    </row>
    <row r="176" spans="1:42">
      <c r="A176" s="2"/>
      <c r="AP176" s="101"/>
    </row>
    <row r="177" spans="1:42">
      <c r="A177" s="2"/>
      <c r="AP177" s="101"/>
    </row>
    <row r="178" spans="1:42">
      <c r="A178" s="2"/>
      <c r="AP178" s="101"/>
    </row>
    <row r="179" spans="1:42">
      <c r="A179" s="2"/>
      <c r="AP179" s="101"/>
    </row>
    <row r="180" spans="1:42">
      <c r="A180" s="2"/>
      <c r="AP180" s="101"/>
    </row>
    <row r="181" spans="1:42">
      <c r="A181" s="2"/>
      <c r="AP181" s="101"/>
    </row>
    <row r="182" spans="1:42">
      <c r="A182" s="2"/>
      <c r="AP182" s="101"/>
    </row>
    <row r="183" spans="1:42">
      <c r="A183" s="2"/>
      <c r="AP183" s="101"/>
    </row>
    <row r="184" spans="1:42">
      <c r="A184" s="2"/>
      <c r="AP184" s="101"/>
    </row>
    <row r="185" spans="1:42">
      <c r="A185" s="2"/>
      <c r="AP185" s="101"/>
    </row>
    <row r="186" spans="1:42">
      <c r="A186" s="2"/>
      <c r="AP186" s="101"/>
    </row>
    <row r="187" spans="1:42">
      <c r="A187" s="2"/>
      <c r="AP187" s="101"/>
    </row>
    <row r="188" spans="1:42">
      <c r="A188" s="2"/>
      <c r="AP188" s="101"/>
    </row>
    <row r="189" spans="1:42">
      <c r="A189" s="2"/>
      <c r="AP189" s="101"/>
    </row>
    <row r="190" spans="1:42">
      <c r="A190" s="2"/>
      <c r="AP190" s="101"/>
    </row>
    <row r="191" spans="1:42">
      <c r="A191" s="2"/>
      <c r="AP191" s="101"/>
    </row>
    <row r="192" spans="1:42">
      <c r="A192" s="2"/>
      <c r="AP192" s="101"/>
    </row>
    <row r="193" spans="1:42">
      <c r="A193" s="2"/>
      <c r="AP193" s="101"/>
    </row>
    <row r="194" spans="1:42">
      <c r="A194" s="2"/>
      <c r="AP194" s="101"/>
    </row>
    <row r="195" spans="1:42">
      <c r="A195" s="2"/>
      <c r="AP195" s="101"/>
    </row>
    <row r="196" spans="1:42">
      <c r="A196" s="2"/>
      <c r="AP196" s="101"/>
    </row>
    <row r="197" spans="1:42">
      <c r="A197" s="2"/>
      <c r="AP197" s="101"/>
    </row>
    <row r="198" spans="1:42">
      <c r="A198" s="2"/>
      <c r="AP198" s="101"/>
    </row>
    <row r="199" spans="1:42">
      <c r="A199" s="2"/>
      <c r="AP199" s="101"/>
    </row>
    <row r="200" spans="1:42">
      <c r="A200" s="2"/>
      <c r="AP200" s="101"/>
    </row>
    <row r="201" spans="1:42">
      <c r="A201" s="2"/>
      <c r="AP201" s="101"/>
    </row>
    <row r="202" spans="1:42">
      <c r="A202" s="2"/>
      <c r="AP202" s="101"/>
    </row>
    <row r="203" spans="1:42">
      <c r="A203" s="2"/>
      <c r="AP203" s="101"/>
    </row>
    <row r="204" spans="1:42">
      <c r="A204" s="2"/>
      <c r="AP204" s="101"/>
    </row>
    <row r="205" spans="1:42">
      <c r="A205" s="2"/>
      <c r="AP205" s="101"/>
    </row>
    <row r="206" spans="1:42">
      <c r="A206" s="2"/>
      <c r="AP206" s="101"/>
    </row>
    <row r="207" spans="1:42">
      <c r="A207" s="2"/>
      <c r="AP207" s="101"/>
    </row>
    <row r="208" spans="1:42">
      <c r="A208" s="2"/>
      <c r="AP208" s="101"/>
    </row>
    <row r="209" spans="1:42">
      <c r="A209" s="2"/>
      <c r="AP209" s="101"/>
    </row>
    <row r="210" spans="1:42">
      <c r="A210" s="2"/>
      <c r="AP210" s="101"/>
    </row>
    <row r="211" spans="1:42">
      <c r="A211" s="2"/>
      <c r="AP211" s="101"/>
    </row>
    <row r="212" spans="1:42">
      <c r="A212" s="2"/>
      <c r="AP212" s="101"/>
    </row>
    <row r="213" spans="1:42">
      <c r="A213" s="2"/>
      <c r="AP213" s="101"/>
    </row>
    <row r="214" spans="1:42">
      <c r="A214" s="2"/>
      <c r="AP214" s="101"/>
    </row>
    <row r="215" spans="1:42">
      <c r="A215" s="2"/>
      <c r="AP215" s="101"/>
    </row>
    <row r="216" spans="1:42">
      <c r="A216" s="2"/>
      <c r="AP216" s="101"/>
    </row>
    <row r="217" spans="1:42">
      <c r="A217" s="2"/>
      <c r="AP217" s="101"/>
    </row>
    <row r="218" spans="1:42">
      <c r="A218" s="2"/>
      <c r="AP218" s="101"/>
    </row>
    <row r="219" spans="1:42">
      <c r="A219" s="2"/>
      <c r="AP219" s="101"/>
    </row>
    <row r="220" spans="1:42">
      <c r="A220" s="2"/>
      <c r="AP220" s="101"/>
    </row>
    <row r="221" spans="1:42">
      <c r="A221" s="2"/>
      <c r="AP221" s="101"/>
    </row>
    <row r="222" spans="1:42">
      <c r="A222" s="2"/>
      <c r="AP222" s="101"/>
    </row>
    <row r="223" spans="1:42">
      <c r="A223" s="2"/>
      <c r="AP223" s="101"/>
    </row>
    <row r="224" spans="1:42">
      <c r="A224" s="2"/>
      <c r="AP224" s="101"/>
    </row>
    <row r="225" spans="1:42">
      <c r="A225" s="2"/>
      <c r="AP225" s="101"/>
    </row>
    <row r="226" spans="1:42">
      <c r="A226" s="2"/>
      <c r="AP226" s="101"/>
    </row>
    <row r="227" spans="1:42">
      <c r="A227" s="2"/>
      <c r="AP227" s="101"/>
    </row>
    <row r="228" spans="1:42">
      <c r="A228" s="2"/>
      <c r="AP228" s="101"/>
    </row>
    <row r="229" spans="1:42">
      <c r="A229" s="2"/>
      <c r="AP229" s="101"/>
    </row>
    <row r="230" spans="1:42">
      <c r="A230" s="2"/>
      <c r="AP230" s="101"/>
    </row>
    <row r="231" spans="1:42">
      <c r="A231" s="2"/>
      <c r="AP231" s="101"/>
    </row>
    <row r="232" spans="1:42">
      <c r="A232" s="2"/>
      <c r="AP232" s="101"/>
    </row>
    <row r="233" spans="1:42">
      <c r="A233" s="2"/>
      <c r="AP233" s="101"/>
    </row>
    <row r="234" spans="1:42">
      <c r="A234" s="2"/>
      <c r="AP234" s="101"/>
    </row>
    <row r="235" spans="1:42">
      <c r="A235" s="2"/>
      <c r="AP235" s="101"/>
    </row>
    <row r="236" spans="1:42">
      <c r="A236" s="2"/>
      <c r="AP236" s="101"/>
    </row>
    <row r="237" spans="1:42">
      <c r="A237" s="2"/>
      <c r="AP237" s="101"/>
    </row>
    <row r="238" spans="1:42">
      <c r="A238" s="2"/>
      <c r="AP238" s="101"/>
    </row>
    <row r="239" spans="1:42">
      <c r="A239" s="2"/>
      <c r="AP239" s="101"/>
    </row>
    <row r="240" spans="1:42">
      <c r="A240" s="2"/>
      <c r="AP240" s="101"/>
    </row>
    <row r="241" spans="1:42">
      <c r="A241" s="2"/>
      <c r="AP241" s="101"/>
    </row>
    <row r="242" spans="1:42">
      <c r="A242" s="2"/>
      <c r="AP242" s="101"/>
    </row>
    <row r="243" spans="1:42">
      <c r="A243" s="2"/>
      <c r="AP243" s="101"/>
    </row>
    <row r="244" spans="1:42">
      <c r="A244" s="2"/>
      <c r="AP244" s="101"/>
    </row>
    <row r="245" spans="1:42">
      <c r="A245" s="2"/>
      <c r="AP245" s="101"/>
    </row>
    <row r="246" spans="1:42">
      <c r="A246" s="2"/>
      <c r="AP246" s="101"/>
    </row>
    <row r="247" spans="1:42">
      <c r="A247" s="2"/>
      <c r="AP247" s="101"/>
    </row>
    <row r="248" spans="1:42">
      <c r="A248" s="2"/>
      <c r="AP248" s="101"/>
    </row>
    <row r="249" spans="1:42">
      <c r="A249" s="2"/>
      <c r="AP249" s="101"/>
    </row>
    <row r="250" spans="1:42">
      <c r="A250" s="2"/>
      <c r="AP250" s="101"/>
    </row>
    <row r="251" spans="1:42">
      <c r="A251" s="2"/>
      <c r="AP251" s="101"/>
    </row>
    <row r="252" spans="1:42">
      <c r="A252" s="2"/>
      <c r="AP252" s="101"/>
    </row>
    <row r="253" spans="1:42">
      <c r="A253" s="2"/>
      <c r="AP253" s="101"/>
    </row>
    <row r="254" spans="1:42">
      <c r="A254" s="2"/>
      <c r="AP254" s="101"/>
    </row>
    <row r="255" spans="1:42">
      <c r="A255" s="2"/>
      <c r="AP255" s="101"/>
    </row>
    <row r="256" spans="1:42">
      <c r="A256" s="2"/>
      <c r="AP256" s="101"/>
    </row>
    <row r="257" spans="1:42">
      <c r="A257" s="2"/>
      <c r="AP257" s="101"/>
    </row>
    <row r="258" spans="1:42">
      <c r="A258" s="2"/>
      <c r="AP258" s="101"/>
    </row>
    <row r="259" spans="1:42">
      <c r="A259" s="2"/>
      <c r="AP259" s="101"/>
    </row>
    <row r="260" spans="1:42">
      <c r="A260" s="2"/>
      <c r="AP260" s="101"/>
    </row>
    <row r="261" spans="1:42">
      <c r="A261" s="2"/>
      <c r="AP261" s="101"/>
    </row>
    <row r="262" spans="1:42">
      <c r="A262" s="2"/>
      <c r="AP262" s="101"/>
    </row>
    <row r="263" spans="1:42">
      <c r="A263" s="2"/>
      <c r="AP263" s="101"/>
    </row>
    <row r="264" spans="1:42">
      <c r="A264" s="2"/>
      <c r="AP264" s="101"/>
    </row>
    <row r="265" spans="1:42">
      <c r="A265" s="2"/>
      <c r="AP265" s="101"/>
    </row>
    <row r="266" spans="1:42">
      <c r="A266" s="2"/>
      <c r="AP266" s="101"/>
    </row>
    <row r="267" spans="1:42">
      <c r="A267" s="2"/>
      <c r="AP267" s="101"/>
    </row>
    <row r="268" spans="1:42">
      <c r="A268" s="2"/>
      <c r="AP268" s="101"/>
    </row>
    <row r="269" spans="1:42">
      <c r="A269" s="2"/>
      <c r="AP269" s="101"/>
    </row>
    <row r="270" spans="1:42">
      <c r="A270" s="2"/>
      <c r="AP270" s="101"/>
    </row>
    <row r="271" spans="1:42">
      <c r="A271" s="2"/>
      <c r="AP271" s="101"/>
    </row>
    <row r="272" spans="1:42">
      <c r="A272" s="2"/>
      <c r="AP272" s="101"/>
    </row>
    <row r="273" spans="1:42">
      <c r="A273" s="2"/>
      <c r="AP273" s="101"/>
    </row>
    <row r="274" spans="1:42">
      <c r="A274" s="2"/>
      <c r="AP274" s="101"/>
    </row>
    <row r="275" spans="1:42">
      <c r="A275" s="2"/>
      <c r="AP275" s="101"/>
    </row>
    <row r="276" spans="1:42">
      <c r="A276" s="2"/>
      <c r="AP276" s="101"/>
    </row>
    <row r="277" spans="1:42">
      <c r="A277" s="2"/>
      <c r="AP277" s="101"/>
    </row>
    <row r="278" spans="1:42">
      <c r="A278" s="2"/>
      <c r="AP278" s="101"/>
    </row>
    <row r="279" spans="1:42">
      <c r="A279" s="2"/>
      <c r="AP279" s="101"/>
    </row>
    <row r="280" spans="1:42">
      <c r="A280" s="2"/>
      <c r="AP280" s="101"/>
    </row>
    <row r="281" spans="1:42">
      <c r="A281" s="2"/>
      <c r="AP281" s="101"/>
    </row>
    <row r="282" spans="1:42">
      <c r="A282" s="2"/>
      <c r="AP282" s="101"/>
    </row>
    <row r="283" spans="1:42">
      <c r="A283" s="2"/>
      <c r="AP283" s="101"/>
    </row>
    <row r="284" spans="1:42">
      <c r="A284" s="2"/>
      <c r="AP284" s="101"/>
    </row>
    <row r="285" spans="1:42">
      <c r="A285" s="2"/>
      <c r="AP285" s="101"/>
    </row>
    <row r="286" spans="1:42">
      <c r="A286" s="2"/>
      <c r="AP286" s="101"/>
    </row>
    <row r="287" spans="1:42">
      <c r="A287" s="2"/>
      <c r="AP287" s="101"/>
    </row>
    <row r="288" spans="1:42">
      <c r="A288" s="2"/>
      <c r="AP288" s="101"/>
    </row>
    <row r="289" spans="1:42">
      <c r="A289" s="2"/>
      <c r="AP289" s="101"/>
    </row>
    <row r="290" spans="1:42">
      <c r="A290" s="2"/>
      <c r="AP290" s="101"/>
    </row>
    <row r="291" spans="1:42">
      <c r="A291" s="2"/>
      <c r="AP291" s="101"/>
    </row>
    <row r="292" spans="1:42">
      <c r="A292" s="2"/>
      <c r="AP292" s="101"/>
    </row>
    <row r="293" spans="1:42">
      <c r="A293" s="2"/>
      <c r="AP293" s="101"/>
    </row>
    <row r="294" spans="1:42">
      <c r="A294" s="2"/>
      <c r="AP294" s="101"/>
    </row>
    <row r="295" spans="1:42">
      <c r="A295" s="2"/>
      <c r="AP295" s="101"/>
    </row>
    <row r="296" spans="1:42">
      <c r="A296" s="2"/>
      <c r="AP296" s="101"/>
    </row>
    <row r="297" spans="1:42">
      <c r="A297" s="2"/>
      <c r="AP297" s="101"/>
    </row>
    <row r="298" spans="1:42">
      <c r="A298" s="2"/>
      <c r="AP298" s="101"/>
    </row>
    <row r="299" spans="1:42">
      <c r="A299" s="2"/>
      <c r="AP299" s="101"/>
    </row>
    <row r="300" spans="1:42">
      <c r="A300" s="2"/>
      <c r="AP300" s="101"/>
    </row>
    <row r="301" spans="1:42">
      <c r="A301" s="2"/>
      <c r="AP301" s="101"/>
    </row>
    <row r="302" spans="1:42">
      <c r="A302" s="2"/>
      <c r="AP302" s="101"/>
    </row>
    <row r="303" spans="1:42">
      <c r="A303" s="2"/>
      <c r="AP303" s="101"/>
    </row>
    <row r="304" spans="1:42">
      <c r="A304" s="2"/>
      <c r="AP304" s="101"/>
    </row>
    <row r="305" spans="1:42">
      <c r="A305" s="2"/>
      <c r="AP305" s="101"/>
    </row>
    <row r="306" spans="1:42">
      <c r="A306" s="2"/>
      <c r="AP306" s="101"/>
    </row>
    <row r="307" spans="1:42">
      <c r="A307" s="2"/>
      <c r="AP307" s="101"/>
    </row>
    <row r="308" spans="1:42">
      <c r="A308" s="2"/>
      <c r="AP308" s="101"/>
    </row>
    <row r="309" spans="1:42">
      <c r="A309" s="2"/>
      <c r="AP309" s="101"/>
    </row>
    <row r="310" spans="1:42">
      <c r="A310" s="2"/>
      <c r="AP310" s="101"/>
    </row>
    <row r="311" spans="1:42">
      <c r="A311" s="2"/>
      <c r="AP311" s="101"/>
    </row>
    <row r="312" spans="1:42">
      <c r="A312" s="2"/>
      <c r="AP312" s="101"/>
    </row>
    <row r="313" spans="1:42">
      <c r="A313" s="2"/>
      <c r="AP313" s="101"/>
    </row>
    <row r="314" spans="1:42">
      <c r="A314" s="2"/>
      <c r="AP314" s="101"/>
    </row>
    <row r="315" spans="1:42">
      <c r="A315" s="2"/>
      <c r="AP315" s="101"/>
    </row>
    <row r="316" spans="1:42">
      <c r="A316" s="2"/>
      <c r="AP316" s="101"/>
    </row>
    <row r="317" spans="1:42">
      <c r="A317" s="2"/>
      <c r="AP317" s="101"/>
    </row>
    <row r="318" spans="1:42">
      <c r="A318" s="2"/>
      <c r="AP318" s="101"/>
    </row>
    <row r="319" spans="1:42">
      <c r="A319" s="2"/>
      <c r="AP319" s="101"/>
    </row>
    <row r="320" spans="1:42">
      <c r="A320" s="2"/>
      <c r="AP320" s="101"/>
    </row>
    <row r="321" spans="1:42">
      <c r="A321" s="2"/>
      <c r="AP321" s="101"/>
    </row>
    <row r="322" spans="1:42">
      <c r="A322" s="2"/>
      <c r="AP322" s="101"/>
    </row>
    <row r="323" spans="1:42">
      <c r="A323" s="2"/>
      <c r="AP323" s="101"/>
    </row>
    <row r="324" spans="1:42">
      <c r="A324" s="2"/>
      <c r="AP324" s="101"/>
    </row>
    <row r="325" spans="1:42">
      <c r="A325" s="2"/>
      <c r="AP325" s="101"/>
    </row>
    <row r="326" spans="1:42">
      <c r="A326" s="2"/>
      <c r="AP326" s="101"/>
    </row>
    <row r="327" spans="1:42">
      <c r="A327" s="2"/>
      <c r="AP327" s="101"/>
    </row>
    <row r="328" spans="1:42">
      <c r="A328" s="2"/>
      <c r="AP328" s="101"/>
    </row>
    <row r="329" spans="1:42">
      <c r="A329" s="2"/>
      <c r="AP329" s="101"/>
    </row>
    <row r="330" spans="1:42">
      <c r="A330" s="2"/>
      <c r="AP330" s="101"/>
    </row>
    <row r="331" spans="1:42">
      <c r="A331" s="2"/>
      <c r="AP331" s="101"/>
    </row>
    <row r="332" spans="1:42">
      <c r="A332" s="2"/>
      <c r="AP332" s="101"/>
    </row>
    <row r="333" spans="1:42">
      <c r="A333" s="2"/>
      <c r="AP333" s="101"/>
    </row>
    <row r="334" spans="1:42">
      <c r="A334" s="2"/>
      <c r="AP334" s="101"/>
    </row>
    <row r="335" spans="1:42">
      <c r="A335" s="2"/>
      <c r="AP335" s="101"/>
    </row>
    <row r="336" spans="1:42">
      <c r="A336" s="2"/>
      <c r="AP336" s="101"/>
    </row>
    <row r="337" spans="1:42">
      <c r="A337" s="2"/>
      <c r="AP337" s="101"/>
    </row>
    <row r="338" spans="1:42">
      <c r="A338" s="2"/>
      <c r="AP338" s="101"/>
    </row>
    <row r="339" spans="1:42">
      <c r="A339" s="2"/>
      <c r="AP339" s="101"/>
    </row>
    <row r="340" spans="1:42">
      <c r="A340" s="2"/>
      <c r="AP340" s="101"/>
    </row>
    <row r="341" spans="1:42">
      <c r="A341" s="2"/>
      <c r="AP341" s="101"/>
    </row>
    <row r="342" spans="1:42">
      <c r="A342" s="2"/>
      <c r="AP342" s="101"/>
    </row>
    <row r="343" spans="1:42">
      <c r="A343" s="2"/>
      <c r="AP343" s="101"/>
    </row>
    <row r="344" spans="1:42">
      <c r="A344" s="2"/>
      <c r="AP344" s="101"/>
    </row>
    <row r="345" spans="1:42">
      <c r="A345" s="2"/>
      <c r="AP345" s="101"/>
    </row>
    <row r="346" spans="1:42">
      <c r="A346" s="2"/>
      <c r="AP346" s="101"/>
    </row>
    <row r="347" spans="1:42">
      <c r="A347" s="2"/>
      <c r="AP347" s="101"/>
    </row>
    <row r="348" spans="1:42">
      <c r="A348" s="2"/>
      <c r="AP348" s="101"/>
    </row>
    <row r="349" spans="1:42">
      <c r="A349" s="2"/>
      <c r="AP349" s="101"/>
    </row>
    <row r="350" spans="1:42">
      <c r="A350" s="2"/>
      <c r="AP350" s="101"/>
    </row>
    <row r="351" spans="1:42">
      <c r="A351" s="2"/>
      <c r="AP351" s="101"/>
    </row>
    <row r="352" spans="1:42">
      <c r="A352" s="2"/>
      <c r="AP352" s="101"/>
    </row>
    <row r="353" spans="1:42">
      <c r="A353" s="2"/>
      <c r="AP353" s="101"/>
    </row>
    <row r="354" spans="1:42">
      <c r="A354" s="2"/>
      <c r="AP354" s="101"/>
    </row>
    <row r="355" spans="1:42">
      <c r="A355" s="2"/>
      <c r="AP355" s="101"/>
    </row>
    <row r="356" spans="1:42">
      <c r="A356" s="2"/>
      <c r="AP356" s="101"/>
    </row>
    <row r="357" spans="1:42">
      <c r="A357" s="2"/>
      <c r="AP357" s="101"/>
    </row>
    <row r="358" spans="1:42">
      <c r="A358" s="2"/>
      <c r="AP358" s="101"/>
    </row>
    <row r="359" spans="1:42">
      <c r="A359" s="2"/>
      <c r="AP359" s="101"/>
    </row>
    <row r="360" spans="1:42">
      <c r="A360" s="2"/>
      <c r="AP360" s="101"/>
    </row>
    <row r="361" spans="1:42">
      <c r="A361" s="2"/>
      <c r="AP361" s="101"/>
    </row>
    <row r="362" spans="1:42">
      <c r="A362" s="2"/>
      <c r="AP362" s="101"/>
    </row>
    <row r="363" spans="1:42">
      <c r="A363" s="2"/>
      <c r="AP363" s="101"/>
    </row>
    <row r="364" spans="1:42">
      <c r="A364" s="2"/>
      <c r="AP364" s="101"/>
    </row>
    <row r="365" spans="1:42">
      <c r="A365" s="2"/>
      <c r="AP365" s="101"/>
    </row>
    <row r="366" spans="1:42">
      <c r="A366" s="2"/>
      <c r="AP366" s="101"/>
    </row>
    <row r="367" spans="1:42">
      <c r="A367" s="2"/>
      <c r="AP367" s="101"/>
    </row>
    <row r="368" spans="1:42">
      <c r="A368" s="2"/>
      <c r="AP368" s="101"/>
    </row>
    <row r="369" spans="1:42">
      <c r="A369" s="2"/>
      <c r="AP369" s="101"/>
    </row>
    <row r="370" spans="1:42">
      <c r="A370" s="2"/>
      <c r="AP370" s="101"/>
    </row>
    <row r="371" spans="1:42">
      <c r="A371" s="2"/>
      <c r="AP371" s="101"/>
    </row>
    <row r="372" spans="1:42">
      <c r="A372" s="2"/>
      <c r="AP372" s="101"/>
    </row>
    <row r="373" spans="1:42">
      <c r="A373" s="2"/>
      <c r="AP373" s="101"/>
    </row>
    <row r="374" spans="1:42">
      <c r="A374" s="2"/>
      <c r="AP374" s="101"/>
    </row>
    <row r="375" spans="1:42">
      <c r="A375" s="2"/>
      <c r="AP375" s="101"/>
    </row>
    <row r="376" spans="1:42">
      <c r="A376" s="2"/>
      <c r="AP376" s="101"/>
    </row>
    <row r="377" spans="1:42">
      <c r="A377" s="2"/>
      <c r="AP377" s="101"/>
    </row>
    <row r="378" spans="1:42">
      <c r="A378" s="2"/>
      <c r="AP378" s="101"/>
    </row>
    <row r="379" spans="1:42">
      <c r="A379" s="2"/>
      <c r="AP379" s="101"/>
    </row>
    <row r="380" spans="1:42">
      <c r="A380" s="2"/>
      <c r="AP380" s="101"/>
    </row>
    <row r="381" spans="1:42">
      <c r="A381" s="2"/>
      <c r="AP381" s="101"/>
    </row>
    <row r="382" spans="1:42">
      <c r="A382" s="2"/>
      <c r="AP382" s="101"/>
    </row>
    <row r="383" spans="1:42">
      <c r="A383" s="2"/>
      <c r="AP383" s="101"/>
    </row>
    <row r="384" spans="1:42">
      <c r="A384" s="2"/>
      <c r="AP384" s="101"/>
    </row>
    <row r="385" spans="1:42">
      <c r="A385" s="2"/>
      <c r="AP385" s="101"/>
    </row>
    <row r="386" spans="1:42">
      <c r="A386" s="2"/>
      <c r="AP386" s="101"/>
    </row>
    <row r="387" spans="1:42">
      <c r="A387" s="2"/>
      <c r="AP387" s="101"/>
    </row>
    <row r="388" spans="1:42">
      <c r="A388" s="2"/>
      <c r="AP388" s="101"/>
    </row>
    <row r="389" spans="1:42">
      <c r="A389" s="2"/>
      <c r="AP389" s="101"/>
    </row>
    <row r="390" spans="1:42">
      <c r="A390" s="2"/>
      <c r="AP390" s="101"/>
    </row>
    <row r="391" spans="1:42">
      <c r="A391" s="2"/>
      <c r="AP391" s="101"/>
    </row>
    <row r="392" spans="1:42">
      <c r="A392" s="2"/>
      <c r="AP392" s="101"/>
    </row>
    <row r="393" spans="1:42">
      <c r="A393" s="2"/>
      <c r="AP393" s="101"/>
    </row>
    <row r="394" spans="1:42">
      <c r="A394" s="2"/>
      <c r="AP394" s="101"/>
    </row>
    <row r="395" spans="1:42">
      <c r="A395" s="2"/>
      <c r="AP395" s="101"/>
    </row>
    <row r="396" spans="1:42">
      <c r="A396" s="2"/>
      <c r="AP396" s="101"/>
    </row>
    <row r="397" spans="1:42">
      <c r="A397" s="2"/>
      <c r="AP397" s="101"/>
    </row>
    <row r="398" spans="1:42">
      <c r="A398" s="2"/>
      <c r="AP398" s="101"/>
    </row>
    <row r="399" spans="1:42">
      <c r="A399" s="2"/>
      <c r="AP399" s="101"/>
    </row>
    <row r="400" spans="1:42">
      <c r="A400" s="2"/>
      <c r="AP400" s="101"/>
    </row>
    <row r="401" spans="1:42">
      <c r="A401" s="2"/>
      <c r="AP401" s="101"/>
    </row>
    <row r="402" spans="1:42">
      <c r="A402" s="2"/>
      <c r="AP402" s="101"/>
    </row>
    <row r="403" spans="1:42">
      <c r="A403" s="2"/>
      <c r="AP403" s="101"/>
    </row>
    <row r="404" spans="1:42">
      <c r="A404" s="2"/>
      <c r="AP404" s="101"/>
    </row>
    <row r="405" spans="1:42">
      <c r="A405" s="2"/>
      <c r="AP405" s="101"/>
    </row>
    <row r="406" spans="1:42">
      <c r="A406" s="2"/>
      <c r="AP406" s="101"/>
    </row>
    <row r="407" spans="1:42">
      <c r="A407" s="2"/>
      <c r="AP407" s="101"/>
    </row>
    <row r="408" spans="1:42">
      <c r="A408" s="2"/>
      <c r="AP408" s="101"/>
    </row>
    <row r="409" spans="1:42">
      <c r="A409" s="2"/>
      <c r="AP409" s="101"/>
    </row>
    <row r="410" spans="1:42">
      <c r="A410" s="2"/>
      <c r="AP410" s="101"/>
    </row>
    <row r="411" spans="1:42">
      <c r="A411" s="2"/>
      <c r="AP411" s="101"/>
    </row>
    <row r="412" spans="1:42">
      <c r="A412" s="2"/>
      <c r="AP412" s="101"/>
    </row>
    <row r="413" spans="1:42">
      <c r="A413" s="2"/>
      <c r="AP413" s="101"/>
    </row>
    <row r="414" spans="1:42">
      <c r="A414" s="2"/>
      <c r="AP414" s="101"/>
    </row>
    <row r="415" spans="1:42">
      <c r="A415" s="2"/>
      <c r="AP415" s="101"/>
    </row>
    <row r="416" spans="1:42">
      <c r="A416" s="2"/>
      <c r="AP416" s="101"/>
    </row>
    <row r="417" spans="1:42">
      <c r="A417" s="2"/>
      <c r="AP417" s="101"/>
    </row>
    <row r="418" spans="1:42">
      <c r="A418" s="2"/>
      <c r="AP418" s="101"/>
    </row>
    <row r="419" spans="1:42">
      <c r="A419" s="2"/>
      <c r="AP419" s="101"/>
    </row>
    <row r="420" spans="1:42">
      <c r="A420" s="2"/>
      <c r="AP420" s="101"/>
    </row>
    <row r="421" spans="1:42">
      <c r="A421" s="2"/>
      <c r="AP421" s="101"/>
    </row>
    <row r="422" spans="1:42">
      <c r="A422" s="2"/>
      <c r="AP422" s="101"/>
    </row>
    <row r="423" spans="1:42">
      <c r="A423" s="2"/>
      <c r="AP423" s="101"/>
    </row>
    <row r="424" spans="1:42">
      <c r="A424" s="2"/>
      <c r="AP424" s="101"/>
    </row>
    <row r="425" spans="1:42">
      <c r="A425" s="2"/>
      <c r="AP425" s="101"/>
    </row>
    <row r="426" spans="1:42">
      <c r="A426" s="2"/>
      <c r="AP426" s="101"/>
    </row>
    <row r="427" spans="1:42">
      <c r="A427" s="2"/>
      <c r="AP427" s="101"/>
    </row>
    <row r="428" spans="1:42">
      <c r="A428" s="2"/>
      <c r="AP428" s="101"/>
    </row>
    <row r="429" spans="1:42">
      <c r="A429" s="2"/>
      <c r="AP429" s="101"/>
    </row>
    <row r="430" spans="1:42">
      <c r="A430" s="2"/>
      <c r="AP430" s="101"/>
    </row>
    <row r="431" spans="1:42">
      <c r="A431" s="2"/>
      <c r="AP431" s="101"/>
    </row>
    <row r="432" spans="1:42">
      <c r="A432" s="2"/>
      <c r="AP432" s="101"/>
    </row>
    <row r="433" spans="1:42">
      <c r="A433" s="2"/>
      <c r="AP433" s="101"/>
    </row>
    <row r="434" spans="1:42">
      <c r="A434" s="2"/>
      <c r="AP434" s="101"/>
    </row>
    <row r="435" spans="1:42">
      <c r="A435" s="2"/>
      <c r="AP435" s="101"/>
    </row>
    <row r="436" spans="1:42">
      <c r="A436" s="2"/>
      <c r="AP436" s="101"/>
    </row>
    <row r="437" spans="1:42">
      <c r="A437" s="2"/>
      <c r="AP437" s="101"/>
    </row>
    <row r="438" spans="1:42">
      <c r="A438" s="2"/>
      <c r="AP438" s="101"/>
    </row>
    <row r="439" spans="1:42">
      <c r="A439" s="2"/>
      <c r="AP439" s="101"/>
    </row>
    <row r="440" spans="1:42">
      <c r="A440" s="2"/>
      <c r="AP440" s="101"/>
    </row>
    <row r="441" spans="1:42">
      <c r="A441" s="2"/>
      <c r="AP441" s="101"/>
    </row>
    <row r="442" spans="1:42">
      <c r="A442" s="2"/>
      <c r="AP442" s="101"/>
    </row>
    <row r="443" spans="1:42">
      <c r="A443" s="2"/>
      <c r="AP443" s="101"/>
    </row>
    <row r="444" spans="1:42">
      <c r="A444" s="2"/>
      <c r="AP444" s="101"/>
    </row>
    <row r="445" spans="1:42">
      <c r="A445" s="2"/>
      <c r="AP445" s="101"/>
    </row>
    <row r="446" spans="1:42">
      <c r="A446" s="2"/>
      <c r="AP446" s="101"/>
    </row>
    <row r="447" spans="1:42">
      <c r="A447" s="2"/>
      <c r="AP447" s="101"/>
    </row>
    <row r="448" spans="1:42">
      <c r="A448" s="2"/>
      <c r="AP448" s="101"/>
    </row>
    <row r="449" spans="1:42">
      <c r="A449" s="2"/>
      <c r="AP449" s="101"/>
    </row>
    <row r="450" spans="1:42">
      <c r="A450" s="2"/>
      <c r="AP450" s="101"/>
    </row>
    <row r="451" spans="1:42">
      <c r="A451" s="2"/>
      <c r="AP451" s="101"/>
    </row>
    <row r="452" spans="1:42">
      <c r="A452" s="2"/>
      <c r="AP452" s="101"/>
    </row>
    <row r="453" spans="1:42">
      <c r="A453" s="2"/>
      <c r="AP453" s="101"/>
    </row>
    <row r="454" spans="1:42">
      <c r="A454" s="2"/>
      <c r="AP454" s="101"/>
    </row>
    <row r="455" spans="1:42">
      <c r="A455" s="2"/>
      <c r="AP455" s="101"/>
    </row>
    <row r="456" spans="1:42">
      <c r="A456" s="2"/>
      <c r="AP456" s="101"/>
    </row>
    <row r="457" spans="1:42">
      <c r="A457" s="2"/>
      <c r="AP457" s="101"/>
    </row>
    <row r="458" spans="1:42">
      <c r="A458" s="2"/>
      <c r="AP458" s="101"/>
    </row>
    <row r="459" spans="1:42">
      <c r="A459" s="2"/>
      <c r="AP459" s="101"/>
    </row>
    <row r="460" spans="1:42">
      <c r="A460" s="2"/>
      <c r="AP460" s="101"/>
    </row>
    <row r="461" spans="1:42">
      <c r="A461" s="2"/>
      <c r="AP461" s="101"/>
    </row>
    <row r="462" spans="1:42">
      <c r="A462" s="2"/>
      <c r="AP462" s="101"/>
    </row>
    <row r="463" spans="1:42">
      <c r="A463" s="2"/>
      <c r="AP463" s="101"/>
    </row>
    <row r="464" spans="1:42">
      <c r="A464" s="2"/>
      <c r="AP464" s="101"/>
    </row>
    <row r="465" spans="1:42">
      <c r="A465" s="2"/>
      <c r="AP465" s="101"/>
    </row>
    <row r="466" spans="1:42">
      <c r="A466" s="2"/>
      <c r="AP466" s="101"/>
    </row>
    <row r="467" spans="1:42">
      <c r="A467" s="2"/>
      <c r="AP467" s="101"/>
    </row>
    <row r="468" spans="1:42">
      <c r="A468" s="2"/>
      <c r="AP468" s="101"/>
    </row>
    <row r="469" spans="1:42">
      <c r="A469" s="2"/>
      <c r="AP469" s="101"/>
    </row>
    <row r="470" spans="1:42">
      <c r="A470" s="2"/>
      <c r="AP470" s="101"/>
    </row>
    <row r="471" spans="1:42">
      <c r="A471" s="2"/>
      <c r="AP471" s="101"/>
    </row>
    <row r="472" spans="1:42">
      <c r="A472" s="2"/>
      <c r="AP472" s="101"/>
    </row>
    <row r="473" spans="1:42">
      <c r="A473" s="2"/>
      <c r="AP473" s="101"/>
    </row>
    <row r="474" spans="1:42">
      <c r="A474" s="2"/>
      <c r="AP474" s="101"/>
    </row>
    <row r="475" spans="1:42">
      <c r="A475" s="2"/>
      <c r="AP475" s="101"/>
    </row>
    <row r="476" spans="1:42">
      <c r="A476" s="2"/>
      <c r="AP476" s="101"/>
    </row>
    <row r="477" spans="1:42">
      <c r="A477" s="2"/>
      <c r="AP477" s="101"/>
    </row>
    <row r="478" spans="1:42">
      <c r="A478" s="2"/>
      <c r="AP478" s="101"/>
    </row>
    <row r="479" spans="1:42">
      <c r="A479" s="2"/>
      <c r="AP479" s="101"/>
    </row>
    <row r="480" spans="1:42">
      <c r="A480" s="2"/>
      <c r="AP480" s="101"/>
    </row>
    <row r="481" spans="1:42">
      <c r="A481" s="2"/>
      <c r="AP481" s="101"/>
    </row>
    <row r="482" spans="1:42">
      <c r="A482" s="2"/>
      <c r="AP482" s="101"/>
    </row>
    <row r="483" spans="1:42">
      <c r="A483" s="2"/>
      <c r="AP483" s="101"/>
    </row>
    <row r="484" spans="1:42">
      <c r="A484" s="2"/>
      <c r="AP484" s="101"/>
    </row>
    <row r="485" spans="1:42">
      <c r="A485" s="2"/>
      <c r="AP485" s="101"/>
    </row>
    <row r="486" spans="1:42">
      <c r="A486" s="2"/>
      <c r="AP486" s="101"/>
    </row>
    <row r="487" spans="1:42">
      <c r="A487" s="2"/>
      <c r="AP487" s="101"/>
    </row>
    <row r="488" spans="1:42">
      <c r="A488" s="2"/>
      <c r="AP488" s="101"/>
    </row>
    <row r="489" spans="1:42">
      <c r="A489" s="2"/>
      <c r="AP489" s="101"/>
    </row>
    <row r="490" spans="1:42">
      <c r="A490" s="2"/>
      <c r="AP490" s="101"/>
    </row>
    <row r="491" spans="1:42">
      <c r="A491" s="2"/>
      <c r="AP491" s="101"/>
    </row>
    <row r="492" spans="1:42">
      <c r="A492" s="2"/>
      <c r="AP492" s="101"/>
    </row>
    <row r="493" spans="1:42">
      <c r="A493" s="2"/>
      <c r="AP493" s="101"/>
    </row>
    <row r="494" spans="1:42">
      <c r="A494" s="2"/>
      <c r="AP494" s="101"/>
    </row>
    <row r="495" spans="1:42">
      <c r="A495" s="2"/>
      <c r="AP495" s="101"/>
    </row>
    <row r="496" spans="1:42">
      <c r="A496" s="2"/>
      <c r="AP496" s="101"/>
    </row>
    <row r="497" spans="1:42">
      <c r="A497" s="2"/>
      <c r="AP497" s="101"/>
    </row>
    <row r="498" spans="1:42">
      <c r="A498" s="2"/>
      <c r="AP498" s="101"/>
    </row>
    <row r="499" spans="1:42">
      <c r="A499" s="2"/>
      <c r="AP499" s="101"/>
    </row>
    <row r="500" spans="1:42">
      <c r="A500" s="2"/>
      <c r="AP500" s="101"/>
    </row>
    <row r="501" spans="1:42">
      <c r="A501" s="2"/>
      <c r="AP501" s="101"/>
    </row>
    <row r="502" spans="1:42">
      <c r="A502" s="2"/>
      <c r="AP502" s="101"/>
    </row>
    <row r="503" spans="1:42">
      <c r="A503" s="2"/>
      <c r="AP503" s="101"/>
    </row>
    <row r="504" spans="1:42">
      <c r="A504" s="2"/>
      <c r="AP504" s="101"/>
    </row>
    <row r="505" spans="1:42">
      <c r="A505" s="2"/>
      <c r="AP505" s="101"/>
    </row>
    <row r="506" spans="1:42">
      <c r="A506" s="2"/>
      <c r="AP506" s="101"/>
    </row>
    <row r="507" spans="1:42">
      <c r="A507" s="2"/>
      <c r="AP507" s="101"/>
    </row>
    <row r="508" spans="1:42">
      <c r="A508" s="2"/>
      <c r="AP508" s="101"/>
    </row>
    <row r="509" spans="1:42">
      <c r="A509" s="2"/>
      <c r="AP509" s="101"/>
    </row>
    <row r="510" spans="1:42">
      <c r="A510" s="2"/>
      <c r="AP510" s="101"/>
    </row>
    <row r="511" spans="1:42">
      <c r="A511" s="2"/>
      <c r="AP511" s="101"/>
    </row>
    <row r="512" spans="1:42">
      <c r="A512" s="2"/>
      <c r="AP512" s="101"/>
    </row>
    <row r="513" spans="1:42">
      <c r="A513" s="2"/>
      <c r="AP513" s="101"/>
    </row>
    <row r="514" spans="1:42">
      <c r="A514" s="2"/>
      <c r="AP514" s="101"/>
    </row>
    <row r="515" spans="1:42">
      <c r="A515" s="2"/>
      <c r="AP515" s="101"/>
    </row>
    <row r="516" spans="1:42">
      <c r="A516" s="2"/>
      <c r="AP516" s="101"/>
    </row>
    <row r="517" spans="1:42">
      <c r="A517" s="2"/>
      <c r="AP517" s="101"/>
    </row>
    <row r="518" spans="1:42">
      <c r="A518" s="2"/>
      <c r="AP518" s="101"/>
    </row>
    <row r="519" spans="1:42">
      <c r="A519" s="2"/>
      <c r="AP519" s="101"/>
    </row>
    <row r="520" spans="1:42">
      <c r="A520" s="2"/>
      <c r="AP520" s="101"/>
    </row>
    <row r="521" spans="1:42">
      <c r="A521" s="2"/>
      <c r="AP521" s="101"/>
    </row>
    <row r="522" spans="1:42">
      <c r="A522" s="2"/>
      <c r="AP522" s="101"/>
    </row>
    <row r="523" spans="1:42">
      <c r="A523" s="2"/>
      <c r="AP523" s="101"/>
    </row>
    <row r="524" spans="1:42">
      <c r="A524" s="2"/>
      <c r="AP524" s="101"/>
    </row>
    <row r="525" spans="1:42">
      <c r="A525" s="2"/>
      <c r="AP525" s="101"/>
    </row>
    <row r="526" spans="1:42">
      <c r="A526" s="2"/>
      <c r="AP526" s="101"/>
    </row>
    <row r="527" spans="1:42">
      <c r="A527" s="2"/>
      <c r="AP527" s="101"/>
    </row>
    <row r="528" spans="1:42">
      <c r="A528" s="2"/>
      <c r="AP528" s="101"/>
    </row>
    <row r="529" spans="1:42">
      <c r="A529" s="2"/>
      <c r="AP529" s="101"/>
    </row>
    <row r="530" spans="1:42">
      <c r="A530" s="2"/>
      <c r="AP530" s="101"/>
    </row>
    <row r="531" spans="1:42">
      <c r="A531" s="2"/>
      <c r="AP531" s="101"/>
    </row>
    <row r="532" spans="1:42">
      <c r="A532" s="2"/>
      <c r="AP532" s="101"/>
    </row>
    <row r="533" spans="1:42">
      <c r="A533" s="2"/>
      <c r="AP533" s="101"/>
    </row>
    <row r="534" spans="1:42">
      <c r="A534" s="2"/>
      <c r="AP534" s="101"/>
    </row>
    <row r="535" spans="1:42">
      <c r="A535" s="2"/>
      <c r="AP535" s="101"/>
    </row>
    <row r="536" spans="1:42">
      <c r="A536" s="2"/>
      <c r="AP536" s="101"/>
    </row>
    <row r="537" spans="1:42">
      <c r="A537" s="2"/>
      <c r="AP537" s="101"/>
    </row>
    <row r="538" spans="1:42">
      <c r="A538" s="2"/>
      <c r="AP538" s="101"/>
    </row>
    <row r="539" spans="1:42">
      <c r="A539" s="2"/>
      <c r="AP539" s="101"/>
    </row>
    <row r="540" spans="1:42">
      <c r="A540" s="2"/>
      <c r="AP540" s="101"/>
    </row>
    <row r="541" spans="1:42">
      <c r="A541" s="2"/>
      <c r="AP541" s="101"/>
    </row>
    <row r="542" spans="1:42">
      <c r="A542" s="2"/>
      <c r="AP542" s="101"/>
    </row>
    <row r="543" spans="1:42">
      <c r="A543" s="2"/>
      <c r="AP543" s="101"/>
    </row>
    <row r="544" spans="1:42">
      <c r="A544" s="2"/>
      <c r="AP544" s="101"/>
    </row>
    <row r="545" spans="1:42">
      <c r="A545" s="2"/>
      <c r="AP545" s="101"/>
    </row>
    <row r="546" spans="1:42">
      <c r="A546" s="2"/>
      <c r="AP546" s="101"/>
    </row>
    <row r="547" spans="1:42">
      <c r="A547" s="2"/>
      <c r="AP547" s="101"/>
    </row>
    <row r="548" spans="1:42">
      <c r="A548" s="2"/>
      <c r="AP548" s="101"/>
    </row>
    <row r="549" spans="1:42">
      <c r="A549" s="2"/>
      <c r="AP549" s="101"/>
    </row>
    <row r="550" spans="1:42">
      <c r="A550" s="2"/>
      <c r="AP550" s="101"/>
    </row>
    <row r="551" spans="1:42">
      <c r="A551" s="2"/>
      <c r="AP551" s="101"/>
    </row>
    <row r="552" spans="1:42">
      <c r="A552" s="2"/>
      <c r="AP552" s="101"/>
    </row>
    <row r="553" spans="1:42">
      <c r="A553" s="2"/>
      <c r="AP553" s="101"/>
    </row>
    <row r="554" spans="1:42">
      <c r="A554" s="2"/>
      <c r="AP554" s="101"/>
    </row>
    <row r="555" spans="1:42">
      <c r="A555" s="2"/>
      <c r="AP555" s="101"/>
    </row>
    <row r="556" spans="1:42">
      <c r="A556" s="2"/>
      <c r="AP556" s="101"/>
    </row>
    <row r="557" spans="1:42">
      <c r="A557" s="2"/>
      <c r="AP557" s="101"/>
    </row>
    <row r="558" spans="1:42">
      <c r="A558" s="2"/>
      <c r="AP558" s="101"/>
    </row>
    <row r="559" spans="1:42">
      <c r="A559" s="2"/>
      <c r="AP559" s="101"/>
    </row>
    <row r="560" spans="1:42">
      <c r="A560" s="2"/>
      <c r="AP560" s="101"/>
    </row>
    <row r="561" spans="1:42">
      <c r="A561" s="2"/>
      <c r="AP561" s="101"/>
    </row>
    <row r="562" spans="1:42">
      <c r="A562" s="2"/>
      <c r="AP562" s="101"/>
    </row>
    <row r="563" spans="1:42">
      <c r="A563" s="2"/>
      <c r="AP563" s="101"/>
    </row>
    <row r="564" spans="1:42">
      <c r="A564" s="2"/>
      <c r="AP564" s="101"/>
    </row>
    <row r="565" spans="1:42">
      <c r="A565" s="2"/>
      <c r="AP565" s="101"/>
    </row>
    <row r="566" spans="1:42">
      <c r="A566" s="2"/>
      <c r="AP566" s="101"/>
    </row>
    <row r="567" spans="1:42">
      <c r="A567" s="2"/>
      <c r="AP567" s="101"/>
    </row>
    <row r="568" spans="1:42">
      <c r="A568" s="2"/>
      <c r="AP568" s="101"/>
    </row>
    <row r="569" spans="1:42">
      <c r="A569" s="2"/>
      <c r="AP569" s="101"/>
    </row>
    <row r="570" spans="1:42">
      <c r="A570" s="2"/>
      <c r="AP570" s="101"/>
    </row>
    <row r="571" spans="1:42">
      <c r="A571" s="2"/>
      <c r="AP571" s="101"/>
    </row>
    <row r="572" spans="1:42">
      <c r="A572" s="2"/>
      <c r="AP572" s="101"/>
    </row>
    <row r="573" spans="1:42">
      <c r="A573" s="2"/>
      <c r="AP573" s="101"/>
    </row>
    <row r="574" spans="1:42">
      <c r="A574" s="2"/>
      <c r="AP574" s="101"/>
    </row>
    <row r="575" spans="1:42">
      <c r="A575" s="2"/>
      <c r="AP575" s="101"/>
    </row>
    <row r="576" spans="1:42">
      <c r="A576" s="2"/>
      <c r="AP576" s="101"/>
    </row>
    <row r="577" spans="1:42">
      <c r="A577" s="2"/>
      <c r="AP577" s="101"/>
    </row>
    <row r="578" spans="1:42">
      <c r="A578" s="2"/>
      <c r="AP578" s="101"/>
    </row>
    <row r="579" spans="1:42">
      <c r="A579" s="2"/>
      <c r="AP579" s="101"/>
    </row>
    <row r="580" spans="1:42">
      <c r="A580" s="2"/>
      <c r="AP580" s="101"/>
    </row>
    <row r="581" spans="1:42">
      <c r="A581" s="2"/>
      <c r="AP581" s="101"/>
    </row>
    <row r="582" spans="1:42">
      <c r="A582" s="2"/>
      <c r="AP582" s="101"/>
    </row>
    <row r="583" spans="1:42">
      <c r="A583" s="2"/>
      <c r="AP583" s="101"/>
    </row>
    <row r="584" spans="1:42">
      <c r="A584" s="2"/>
      <c r="AP584" s="101"/>
    </row>
    <row r="585" spans="1:42">
      <c r="A585" s="2"/>
      <c r="AP585" s="101"/>
    </row>
    <row r="586" spans="1:42">
      <c r="A586" s="2"/>
      <c r="AP586" s="101"/>
    </row>
    <row r="587" spans="1:42">
      <c r="A587" s="2"/>
      <c r="AP587" s="101"/>
    </row>
    <row r="588" spans="1:42">
      <c r="A588" s="2"/>
      <c r="AP588" s="101"/>
    </row>
    <row r="589" spans="1:42">
      <c r="A589" s="2"/>
      <c r="AP589" s="101"/>
    </row>
    <row r="590" spans="1:42">
      <c r="A590" s="2"/>
      <c r="AP590" s="101"/>
    </row>
    <row r="591" spans="1:42">
      <c r="A591" s="2"/>
      <c r="AP591" s="101"/>
    </row>
    <row r="592" spans="1:42">
      <c r="A592" s="2"/>
      <c r="AP592" s="101"/>
    </row>
    <row r="593" spans="1:42">
      <c r="A593" s="2"/>
      <c r="AP593" s="101"/>
    </row>
    <row r="594" spans="1:42">
      <c r="A594" s="2"/>
      <c r="AP594" s="101"/>
    </row>
    <row r="595" spans="1:42">
      <c r="A595" s="2"/>
      <c r="AP595" s="101"/>
    </row>
    <row r="596" spans="1:42">
      <c r="A596" s="2"/>
      <c r="AP596" s="101"/>
    </row>
    <row r="597" spans="1:42">
      <c r="A597" s="2"/>
      <c r="AP597" s="101"/>
    </row>
    <row r="598" spans="1:42">
      <c r="A598" s="2"/>
      <c r="AP598" s="101"/>
    </row>
    <row r="599" spans="1:42">
      <c r="A599" s="2"/>
      <c r="AP599" s="101"/>
    </row>
    <row r="600" spans="1:42">
      <c r="A600" s="2"/>
      <c r="AP600" s="101"/>
    </row>
    <row r="601" spans="1:42">
      <c r="A601" s="2"/>
      <c r="AP601" s="101"/>
    </row>
    <row r="602" spans="1:42">
      <c r="A602" s="2"/>
      <c r="AP602" s="101"/>
    </row>
    <row r="603" spans="1:42">
      <c r="A603" s="2"/>
      <c r="AP603" s="101"/>
    </row>
    <row r="604" spans="1:42">
      <c r="A604" s="2"/>
      <c r="AP604" s="101"/>
    </row>
    <row r="605" spans="1:42">
      <c r="A605" s="2"/>
      <c r="AP605" s="101"/>
    </row>
    <row r="606" spans="1:42">
      <c r="A606" s="2"/>
      <c r="AP606" s="101"/>
    </row>
    <row r="607" spans="1:42">
      <c r="A607" s="2"/>
      <c r="AP607" s="101"/>
    </row>
    <row r="608" spans="1:42">
      <c r="A608" s="2"/>
      <c r="AP608" s="101"/>
    </row>
    <row r="609" spans="1:42">
      <c r="A609" s="2"/>
      <c r="AP609" s="101"/>
    </row>
    <row r="610" spans="1:42">
      <c r="A610" s="2"/>
      <c r="AP610" s="101"/>
    </row>
    <row r="611" spans="1:42">
      <c r="A611" s="2"/>
      <c r="AP611" s="101"/>
    </row>
    <row r="612" spans="1:42">
      <c r="A612" s="2"/>
      <c r="AP612" s="101"/>
    </row>
    <row r="613" spans="1:42">
      <c r="A613" s="2"/>
      <c r="AP613" s="101"/>
    </row>
    <row r="614" spans="1:42">
      <c r="A614" s="2"/>
      <c r="AP614" s="101"/>
    </row>
    <row r="615" spans="1:42">
      <c r="A615" s="2"/>
      <c r="AP615" s="101"/>
    </row>
    <row r="616" spans="1:42">
      <c r="A616" s="2"/>
      <c r="AP616" s="101"/>
    </row>
    <row r="617" spans="1:42">
      <c r="A617" s="2"/>
      <c r="AP617" s="101"/>
    </row>
    <row r="618" spans="1:42">
      <c r="A618" s="2"/>
      <c r="AP618" s="101"/>
    </row>
    <row r="619" spans="1:42">
      <c r="A619" s="2"/>
      <c r="AP619" s="101"/>
    </row>
    <row r="620" spans="1:42">
      <c r="A620" s="2"/>
      <c r="AP620" s="101"/>
    </row>
    <row r="621" spans="1:42">
      <c r="A621" s="2"/>
      <c r="AP621" s="101"/>
    </row>
    <row r="622" spans="1:42">
      <c r="A622" s="2"/>
      <c r="AP622" s="101"/>
    </row>
    <row r="623" spans="1:42">
      <c r="A623" s="2"/>
      <c r="AP623" s="101"/>
    </row>
    <row r="624" spans="1:42">
      <c r="A624" s="2"/>
      <c r="AP624" s="101"/>
    </row>
    <row r="625" spans="1:42">
      <c r="A625" s="2"/>
      <c r="AP625" s="101"/>
    </row>
    <row r="626" spans="1:42">
      <c r="A626" s="2"/>
      <c r="AP626" s="101"/>
    </row>
    <row r="627" spans="1:42">
      <c r="A627" s="2"/>
      <c r="AP627" s="101"/>
    </row>
    <row r="628" spans="1:42">
      <c r="A628" s="2"/>
      <c r="AP628" s="101"/>
    </row>
    <row r="629" spans="1:42">
      <c r="A629" s="2"/>
      <c r="AP629" s="101"/>
    </row>
    <row r="630" spans="1:42">
      <c r="A630" s="2"/>
      <c r="AP630" s="101"/>
    </row>
    <row r="631" spans="1:42">
      <c r="A631" s="2"/>
      <c r="AP631" s="101"/>
    </row>
    <row r="632" spans="1:42">
      <c r="A632" s="2"/>
      <c r="AP632" s="101"/>
    </row>
    <row r="633" spans="1:42">
      <c r="A633" s="2"/>
      <c r="AP633" s="101"/>
    </row>
    <row r="634" spans="1:42">
      <c r="A634" s="2"/>
      <c r="AP634" s="101"/>
    </row>
    <row r="635" spans="1:42">
      <c r="A635" s="2"/>
      <c r="AP635" s="101"/>
    </row>
    <row r="636" spans="1:42">
      <c r="A636" s="2"/>
      <c r="AP636" s="101"/>
    </row>
    <row r="637" spans="1:42">
      <c r="A637" s="2"/>
      <c r="AP637" s="101"/>
    </row>
    <row r="638" spans="1:42">
      <c r="A638" s="2"/>
      <c r="AP638" s="101"/>
    </row>
    <row r="639" spans="1:42">
      <c r="A639" s="2"/>
      <c r="AP639" s="101"/>
    </row>
    <row r="640" spans="1:42">
      <c r="A640" s="2"/>
      <c r="AP640" s="101"/>
    </row>
    <row r="641" spans="1:42">
      <c r="A641" s="2"/>
      <c r="AP641" s="101"/>
    </row>
    <row r="642" spans="1:42">
      <c r="A642" s="2"/>
      <c r="AP642" s="101"/>
    </row>
    <row r="643" spans="1:42">
      <c r="A643" s="2"/>
      <c r="AP643" s="101"/>
    </row>
    <row r="644" spans="1:42">
      <c r="A644" s="2"/>
      <c r="AP644" s="101"/>
    </row>
    <row r="645" spans="1:42">
      <c r="A645" s="2"/>
      <c r="AP645" s="101"/>
    </row>
    <row r="646" spans="1:42">
      <c r="A646" s="2"/>
      <c r="AP646" s="101"/>
    </row>
    <row r="647" spans="1:42">
      <c r="A647" s="2"/>
      <c r="AP647" s="101"/>
    </row>
    <row r="648" spans="1:42">
      <c r="A648" s="2"/>
      <c r="AP648" s="101"/>
    </row>
    <row r="649" spans="1:42">
      <c r="A649" s="2"/>
      <c r="AP649" s="101"/>
    </row>
    <row r="650" spans="1:42">
      <c r="A650" s="2"/>
      <c r="AP650" s="101"/>
    </row>
    <row r="651" spans="1:42">
      <c r="A651" s="2"/>
      <c r="AP651" s="101"/>
    </row>
    <row r="652" spans="1:42">
      <c r="A652" s="2"/>
      <c r="AP652" s="101"/>
    </row>
    <row r="653" spans="1:42">
      <c r="A653" s="2"/>
      <c r="AP653" s="101"/>
    </row>
    <row r="654" spans="1:42">
      <c r="A654" s="2"/>
      <c r="AP654" s="101"/>
    </row>
    <row r="655" spans="1:42">
      <c r="A655" s="2"/>
      <c r="AP655" s="101"/>
    </row>
    <row r="656" spans="1:42">
      <c r="A656" s="2"/>
      <c r="AP656" s="101"/>
    </row>
    <row r="657" spans="1:42">
      <c r="A657" s="2"/>
      <c r="AP657" s="101"/>
    </row>
    <row r="658" spans="1:42">
      <c r="A658" s="2"/>
      <c r="AP658" s="101"/>
    </row>
    <row r="659" spans="1:42">
      <c r="A659" s="2"/>
      <c r="AP659" s="101"/>
    </row>
    <row r="660" spans="1:42">
      <c r="A660" s="2"/>
      <c r="AP660" s="101"/>
    </row>
    <row r="661" spans="1:42">
      <c r="A661" s="2"/>
      <c r="AP661" s="101"/>
    </row>
    <row r="662" spans="1:42">
      <c r="A662" s="2"/>
      <c r="AP662" s="101"/>
    </row>
    <row r="663" spans="1:42">
      <c r="A663" s="2"/>
      <c r="AP663" s="101"/>
    </row>
    <row r="664" spans="1:42">
      <c r="A664" s="2"/>
      <c r="AP664" s="101"/>
    </row>
    <row r="665" spans="1:42">
      <c r="A665" s="2"/>
      <c r="AP665" s="101"/>
    </row>
    <row r="666" spans="1:42">
      <c r="A666" s="2"/>
      <c r="AP666" s="101"/>
    </row>
    <row r="667" spans="1:42">
      <c r="A667" s="2"/>
      <c r="AP667" s="101"/>
    </row>
    <row r="668" spans="1:42">
      <c r="A668" s="2"/>
      <c r="AP668" s="101"/>
    </row>
    <row r="669" spans="1:42">
      <c r="A669" s="2"/>
      <c r="AP669" s="101"/>
    </row>
    <row r="670" spans="1:42">
      <c r="A670" s="2"/>
      <c r="AP670" s="101"/>
    </row>
    <row r="671" spans="1:42">
      <c r="A671" s="2"/>
      <c r="AP671" s="101"/>
    </row>
    <row r="672" spans="1:42">
      <c r="A672" s="2"/>
      <c r="AP672" s="101"/>
    </row>
    <row r="673" spans="1:42">
      <c r="A673" s="2"/>
      <c r="AP673" s="101"/>
    </row>
    <row r="674" spans="1:42">
      <c r="A674" s="2"/>
      <c r="AP674" s="101"/>
    </row>
    <row r="675" spans="1:42">
      <c r="A675" s="2"/>
      <c r="AP675" s="101"/>
    </row>
    <row r="676" spans="1:42">
      <c r="A676" s="2"/>
      <c r="AP676" s="101"/>
    </row>
    <row r="677" spans="1:42">
      <c r="A677" s="2"/>
      <c r="AP677" s="101"/>
    </row>
    <row r="678" spans="1:42">
      <c r="A678" s="2"/>
      <c r="AP678" s="101"/>
    </row>
    <row r="679" spans="1:42">
      <c r="A679" s="2"/>
      <c r="AP679" s="101"/>
    </row>
    <row r="680" spans="1:42">
      <c r="A680" s="2"/>
      <c r="AP680" s="101"/>
    </row>
    <row r="681" spans="1:42">
      <c r="A681" s="2"/>
      <c r="AP681" s="101"/>
    </row>
    <row r="682" spans="1:42">
      <c r="A682" s="2"/>
      <c r="AP682" s="101"/>
    </row>
    <row r="683" spans="1:42">
      <c r="A683" s="2"/>
      <c r="AP683" s="101"/>
    </row>
    <row r="684" spans="1:42">
      <c r="A684" s="2"/>
      <c r="AP684" s="101"/>
    </row>
    <row r="685" spans="1:42">
      <c r="A685" s="2"/>
      <c r="AP685" s="101"/>
    </row>
    <row r="686" spans="1:42">
      <c r="A686" s="2"/>
      <c r="AP686" s="101"/>
    </row>
    <row r="687" spans="1:42">
      <c r="A687" s="2"/>
      <c r="AP687" s="101"/>
    </row>
    <row r="688" spans="1:42">
      <c r="A688" s="2"/>
      <c r="AP688" s="101"/>
    </row>
    <row r="689" spans="1:42">
      <c r="A689" s="2"/>
      <c r="AP689" s="101"/>
    </row>
    <row r="690" spans="1:42">
      <c r="A690" s="2"/>
      <c r="AP690" s="101"/>
    </row>
    <row r="691" spans="1:42">
      <c r="A691" s="2"/>
      <c r="AP691" s="101"/>
    </row>
    <row r="692" spans="1:42">
      <c r="A692" s="2"/>
      <c r="AP692" s="101"/>
    </row>
    <row r="693" spans="1:42">
      <c r="A693" s="2"/>
      <c r="AP693" s="101"/>
    </row>
    <row r="694" spans="1:42">
      <c r="A694" s="2"/>
      <c r="AP694" s="101"/>
    </row>
    <row r="695" spans="1:42">
      <c r="A695" s="2"/>
      <c r="AP695" s="101"/>
    </row>
    <row r="696" spans="1:42">
      <c r="A696" s="2"/>
      <c r="AP696" s="101"/>
    </row>
    <row r="697" spans="1:42">
      <c r="A697" s="2"/>
      <c r="AP697" s="101"/>
    </row>
    <row r="698" spans="1:42">
      <c r="A698" s="2"/>
      <c r="AP698" s="101"/>
    </row>
    <row r="699" spans="1:42">
      <c r="A699" s="2"/>
      <c r="AP699" s="101"/>
    </row>
    <row r="700" spans="1:42">
      <c r="A700" s="2"/>
      <c r="AP700" s="101"/>
    </row>
    <row r="701" spans="1:42">
      <c r="A701" s="2"/>
      <c r="AP701" s="101"/>
    </row>
    <row r="702" spans="1:42">
      <c r="A702" s="2"/>
      <c r="AP702" s="101"/>
    </row>
    <row r="703" spans="1:42">
      <c r="A703" s="2"/>
      <c r="AP703" s="101"/>
    </row>
    <row r="704" spans="1:42">
      <c r="A704" s="2"/>
      <c r="AP704" s="101"/>
    </row>
    <row r="705" spans="1:42">
      <c r="A705" s="2"/>
      <c r="AP705" s="101"/>
    </row>
    <row r="706" spans="1:42">
      <c r="A706" s="2"/>
      <c r="AP706" s="101"/>
    </row>
    <row r="707" spans="1:42">
      <c r="A707" s="2"/>
      <c r="AP707" s="101"/>
    </row>
    <row r="708" spans="1:42">
      <c r="A708" s="2"/>
      <c r="AP708" s="101"/>
    </row>
    <row r="709" spans="1:42">
      <c r="A709" s="2"/>
      <c r="AP709" s="101"/>
    </row>
    <row r="710" spans="1:42">
      <c r="A710" s="2"/>
      <c r="AP710" s="101"/>
    </row>
    <row r="711" spans="1:42">
      <c r="A711" s="2"/>
      <c r="AP711" s="101"/>
    </row>
    <row r="712" spans="1:42">
      <c r="A712" s="2"/>
      <c r="AP712" s="101"/>
    </row>
    <row r="713" spans="1:42">
      <c r="A713" s="2"/>
      <c r="AP713" s="101"/>
    </row>
    <row r="714" spans="1:42">
      <c r="A714" s="2"/>
      <c r="AP714" s="101"/>
    </row>
    <row r="715" spans="1:42">
      <c r="A715" s="2"/>
      <c r="AP715" s="101"/>
    </row>
    <row r="716" spans="1:42">
      <c r="A716" s="2"/>
      <c r="AP716" s="101"/>
    </row>
    <row r="717" spans="1:42">
      <c r="A717" s="2"/>
      <c r="AP717" s="101"/>
    </row>
    <row r="718" spans="1:42">
      <c r="A718" s="2"/>
      <c r="AP718" s="101"/>
    </row>
    <row r="719" spans="1:42">
      <c r="A719" s="2"/>
      <c r="AP719" s="101"/>
    </row>
    <row r="720" spans="1:42">
      <c r="A720" s="2"/>
      <c r="AP720" s="101"/>
    </row>
    <row r="721" spans="1:42">
      <c r="A721" s="2"/>
      <c r="AP721" s="101"/>
    </row>
    <row r="722" spans="1:42">
      <c r="A722" s="2"/>
      <c r="AP722" s="101"/>
    </row>
    <row r="723" spans="1:42">
      <c r="A723" s="2"/>
      <c r="AP723" s="101"/>
    </row>
    <row r="724" spans="1:42">
      <c r="A724" s="2"/>
      <c r="AP724" s="101"/>
    </row>
    <row r="725" spans="1:42">
      <c r="A725" s="2"/>
      <c r="AP725" s="101"/>
    </row>
    <row r="726" spans="1:42">
      <c r="A726" s="2"/>
      <c r="AP726" s="101"/>
    </row>
    <row r="727" spans="1:42">
      <c r="A727" s="2"/>
      <c r="AP727" s="101"/>
    </row>
    <row r="728" spans="1:42">
      <c r="A728" s="2"/>
      <c r="AP728" s="101"/>
    </row>
    <row r="729" spans="1:42">
      <c r="A729" s="2"/>
      <c r="AP729" s="101"/>
    </row>
    <row r="730" spans="1:42">
      <c r="A730" s="2"/>
      <c r="AP730" s="101"/>
    </row>
    <row r="731" spans="1:42">
      <c r="A731" s="2"/>
      <c r="AP731" s="101"/>
    </row>
    <row r="732" spans="1:42">
      <c r="A732" s="2"/>
      <c r="AP732" s="101"/>
    </row>
    <row r="733" spans="1:42">
      <c r="A733" s="2"/>
      <c r="AP733" s="101"/>
    </row>
    <row r="734" spans="1:42">
      <c r="A734" s="2"/>
      <c r="AP734" s="101"/>
    </row>
    <row r="735" spans="1:42">
      <c r="A735" s="2"/>
      <c r="AP735" s="101"/>
    </row>
    <row r="736" spans="1:42">
      <c r="A736" s="2"/>
      <c r="AP736" s="101"/>
    </row>
    <row r="737" spans="1:42">
      <c r="A737" s="2"/>
      <c r="AP737" s="101"/>
    </row>
    <row r="738" spans="1:42">
      <c r="A738" s="2"/>
      <c r="AP738" s="101"/>
    </row>
    <row r="739" spans="1:42">
      <c r="A739" s="2"/>
      <c r="AP739" s="101"/>
    </row>
    <row r="740" spans="1:42">
      <c r="A740" s="2"/>
      <c r="AP740" s="101"/>
    </row>
    <row r="741" spans="1:42">
      <c r="A741" s="2"/>
      <c r="AP741" s="101"/>
    </row>
    <row r="742" spans="1:42">
      <c r="A742" s="2"/>
      <c r="AP742" s="101"/>
    </row>
    <row r="743" spans="1:42">
      <c r="A743" s="2"/>
      <c r="AP743" s="101"/>
    </row>
    <row r="744" spans="1:42">
      <c r="A744" s="2"/>
      <c r="AP744" s="101"/>
    </row>
    <row r="745" spans="1:42">
      <c r="A745" s="2"/>
      <c r="AP745" s="101"/>
    </row>
    <row r="746" spans="1:42">
      <c r="A746" s="2"/>
      <c r="AP746" s="101"/>
    </row>
    <row r="747" spans="1:42">
      <c r="A747" s="2"/>
      <c r="AP747" s="101"/>
    </row>
    <row r="748" spans="1:42">
      <c r="A748" s="2"/>
      <c r="AP748" s="101"/>
    </row>
    <row r="749" spans="1:42">
      <c r="A749" s="2"/>
      <c r="AP749" s="101"/>
    </row>
    <row r="750" spans="1:42">
      <c r="A750" s="2"/>
      <c r="AP750" s="101"/>
    </row>
    <row r="751" spans="1:42">
      <c r="A751" s="2"/>
      <c r="AP751" s="101"/>
    </row>
    <row r="752" spans="1:42">
      <c r="A752" s="2"/>
      <c r="AP752" s="101"/>
    </row>
    <row r="753" spans="1:42">
      <c r="A753" s="2"/>
      <c r="AP753" s="101"/>
    </row>
    <row r="754" spans="1:42">
      <c r="A754" s="2"/>
      <c r="AP754" s="101"/>
    </row>
    <row r="755" spans="1:42">
      <c r="A755" s="2"/>
      <c r="AP755" s="101"/>
    </row>
    <row r="756" spans="1:42">
      <c r="A756" s="2"/>
      <c r="AP756" s="101"/>
    </row>
    <row r="757" spans="1:42">
      <c r="A757" s="2"/>
      <c r="AP757" s="101"/>
    </row>
    <row r="758" spans="1:42">
      <c r="A758" s="2"/>
      <c r="AP758" s="101"/>
    </row>
    <row r="759" spans="1:42">
      <c r="A759" s="2"/>
      <c r="AP759" s="101"/>
    </row>
    <row r="760" spans="1:42">
      <c r="A760" s="2"/>
      <c r="AP760" s="101"/>
    </row>
    <row r="761" spans="1:42">
      <c r="A761" s="2"/>
      <c r="AP761" s="101"/>
    </row>
    <row r="762" spans="1:42">
      <c r="A762" s="2"/>
      <c r="AP762" s="101"/>
    </row>
    <row r="763" spans="1:42">
      <c r="A763" s="2"/>
      <c r="AP763" s="101"/>
    </row>
    <row r="764" spans="1:42">
      <c r="A764" s="2"/>
      <c r="AP764" s="101"/>
    </row>
    <row r="765" spans="1:42">
      <c r="A765" s="2"/>
      <c r="AP765" s="101"/>
    </row>
    <row r="766" spans="1:42">
      <c r="A766" s="2"/>
      <c r="AP766" s="101"/>
    </row>
    <row r="767" spans="1:42">
      <c r="A767" s="2"/>
      <c r="AP767" s="101"/>
    </row>
    <row r="768" spans="1:42">
      <c r="A768" s="2"/>
      <c r="AP768" s="101"/>
    </row>
    <row r="769" spans="1:42">
      <c r="A769" s="2"/>
      <c r="AP769" s="101"/>
    </row>
    <row r="770" spans="1:42">
      <c r="A770" s="2"/>
      <c r="AP770" s="101"/>
    </row>
    <row r="771" spans="1:42">
      <c r="A771" s="2"/>
      <c r="AP771" s="101"/>
    </row>
    <row r="772" spans="1:42">
      <c r="A772" s="2"/>
      <c r="AP772" s="101"/>
    </row>
    <row r="773" spans="1:42">
      <c r="A773" s="2"/>
      <c r="AP773" s="101"/>
    </row>
    <row r="774" spans="1:42">
      <c r="A774" s="2"/>
      <c r="AP774" s="101"/>
    </row>
    <row r="775" spans="1:42">
      <c r="A775" s="2"/>
      <c r="AP775" s="101"/>
    </row>
    <row r="776" spans="1:42">
      <c r="A776" s="2"/>
      <c r="AP776" s="101"/>
    </row>
    <row r="777" spans="1:42">
      <c r="A777" s="2"/>
      <c r="AP777" s="101"/>
    </row>
    <row r="778" spans="1:42">
      <c r="A778" s="2"/>
      <c r="AP778" s="101"/>
    </row>
    <row r="779" spans="1:42">
      <c r="A779" s="2"/>
      <c r="AP779" s="101"/>
    </row>
    <row r="780" spans="1:42">
      <c r="A780" s="2"/>
      <c r="AP780" s="101"/>
    </row>
    <row r="781" spans="1:42">
      <c r="A781" s="2"/>
      <c r="AP781" s="101"/>
    </row>
    <row r="782" spans="1:42">
      <c r="A782" s="2"/>
      <c r="AP782" s="101"/>
    </row>
    <row r="783" spans="1:42">
      <c r="A783" s="2"/>
      <c r="AP783" s="101"/>
    </row>
    <row r="784" spans="1:42">
      <c r="A784" s="2"/>
      <c r="AP784" s="101"/>
    </row>
    <row r="785" spans="1:42">
      <c r="A785" s="2"/>
      <c r="AP785" s="101"/>
    </row>
    <row r="786" spans="1:42">
      <c r="A786" s="2"/>
      <c r="AP786" s="101"/>
    </row>
    <row r="787" spans="1:42">
      <c r="A787" s="2"/>
      <c r="AP787" s="101"/>
    </row>
    <row r="788" spans="1:42">
      <c r="A788" s="2"/>
      <c r="AP788" s="101"/>
    </row>
    <row r="789" spans="1:42">
      <c r="A789" s="2"/>
      <c r="AP789" s="101"/>
    </row>
    <row r="790" spans="1:42">
      <c r="A790" s="2"/>
      <c r="AP790" s="101"/>
    </row>
    <row r="791" spans="1:42">
      <c r="A791" s="2"/>
      <c r="AP791" s="101"/>
    </row>
    <row r="792" spans="1:42">
      <c r="A792" s="2"/>
      <c r="AP792" s="101"/>
    </row>
    <row r="793" spans="1:42">
      <c r="A793" s="2"/>
      <c r="AP793" s="101"/>
    </row>
    <row r="794" spans="1:42">
      <c r="A794" s="2"/>
      <c r="AP794" s="101"/>
    </row>
    <row r="795" spans="1:42">
      <c r="A795" s="2"/>
      <c r="AP795" s="101"/>
    </row>
    <row r="796" spans="1:42">
      <c r="A796" s="2"/>
      <c r="AP796" s="101"/>
    </row>
    <row r="797" spans="1:42">
      <c r="A797" s="2"/>
      <c r="AP797" s="101"/>
    </row>
    <row r="798" spans="1:42">
      <c r="A798" s="2"/>
      <c r="AP798" s="101"/>
    </row>
    <row r="799" spans="1:42">
      <c r="A799" s="2"/>
      <c r="AP799" s="101"/>
    </row>
    <row r="800" spans="1:42">
      <c r="A800" s="2"/>
      <c r="AP800" s="101"/>
    </row>
    <row r="801" spans="1:42">
      <c r="A801" s="2"/>
      <c r="AP801" s="101"/>
    </row>
    <row r="802" spans="1:42">
      <c r="A802" s="2"/>
      <c r="AP802" s="101"/>
    </row>
    <row r="803" spans="1:42">
      <c r="A803" s="2"/>
      <c r="AP803" s="101"/>
    </row>
    <row r="804" spans="1:42">
      <c r="A804" s="2"/>
      <c r="AP804" s="101"/>
    </row>
    <row r="805" spans="1:42">
      <c r="A805" s="2"/>
      <c r="AP805" s="101"/>
    </row>
    <row r="806" spans="1:42">
      <c r="A806" s="2"/>
      <c r="AP806" s="101"/>
    </row>
    <row r="807" spans="1:42">
      <c r="A807" s="2"/>
      <c r="AP807" s="101"/>
    </row>
    <row r="808" spans="1:42">
      <c r="A808" s="2"/>
      <c r="AP808" s="101"/>
    </row>
    <row r="809" spans="1:42">
      <c r="A809" s="2"/>
      <c r="AP809" s="101"/>
    </row>
    <row r="810" spans="1:42">
      <c r="A810" s="2"/>
      <c r="AP810" s="101"/>
    </row>
    <row r="811" spans="1:42">
      <c r="A811" s="2"/>
      <c r="AP811" s="101"/>
    </row>
    <row r="812" spans="1:42">
      <c r="A812" s="2"/>
      <c r="AP812" s="101"/>
    </row>
    <row r="813" spans="1:42">
      <c r="A813" s="2"/>
      <c r="AP813" s="101"/>
    </row>
    <row r="814" spans="1:42">
      <c r="A814" s="2"/>
      <c r="AP814" s="101"/>
    </row>
    <row r="815" spans="1:42">
      <c r="A815" s="2"/>
      <c r="AP815" s="101"/>
    </row>
    <row r="816" spans="1:42">
      <c r="A816" s="2"/>
      <c r="AP816" s="101"/>
    </row>
    <row r="817" spans="1:42">
      <c r="A817" s="2"/>
      <c r="AP817" s="101"/>
    </row>
    <row r="818" spans="1:42">
      <c r="A818" s="2"/>
      <c r="AP818" s="101"/>
    </row>
    <row r="819" spans="1:42">
      <c r="A819" s="2"/>
      <c r="AP819" s="101"/>
    </row>
    <row r="820" spans="1:42">
      <c r="A820" s="2"/>
      <c r="AP820" s="101"/>
    </row>
    <row r="821" spans="1:42">
      <c r="A821" s="2"/>
      <c r="AP821" s="101"/>
    </row>
    <row r="822" spans="1:42">
      <c r="A822" s="2"/>
      <c r="AP822" s="101"/>
    </row>
    <row r="823" spans="1:42">
      <c r="A823" s="2"/>
      <c r="AP823" s="101"/>
    </row>
    <row r="824" spans="1:42">
      <c r="A824" s="2"/>
      <c r="AP824" s="101"/>
    </row>
    <row r="825" spans="1:42">
      <c r="A825" s="2"/>
      <c r="AP825" s="101"/>
    </row>
    <row r="826" spans="1:42">
      <c r="A826" s="2"/>
      <c r="AP826" s="101"/>
    </row>
    <row r="827" spans="1:42">
      <c r="A827" s="2"/>
      <c r="AP827" s="101"/>
    </row>
    <row r="828" spans="1:42">
      <c r="A828" s="2"/>
      <c r="AP828" s="101"/>
    </row>
    <row r="829" spans="1:42">
      <c r="A829" s="2"/>
      <c r="AP829" s="101"/>
    </row>
    <row r="830" spans="1:42">
      <c r="A830" s="2"/>
      <c r="AP830" s="101"/>
    </row>
    <row r="831" spans="1:42">
      <c r="A831" s="2"/>
      <c r="AP831" s="101"/>
    </row>
    <row r="832" spans="1:42">
      <c r="A832" s="2"/>
      <c r="AP832" s="101"/>
    </row>
    <row r="833" spans="1:42">
      <c r="A833" s="2"/>
      <c r="AP833" s="101"/>
    </row>
    <row r="834" spans="1:42">
      <c r="A834" s="2"/>
      <c r="AP834" s="101"/>
    </row>
    <row r="835" spans="1:42">
      <c r="A835" s="2"/>
      <c r="AP835" s="101"/>
    </row>
    <row r="836" spans="1:42">
      <c r="A836" s="2"/>
      <c r="AP836" s="101"/>
    </row>
    <row r="837" spans="1:42">
      <c r="A837" s="2"/>
      <c r="AP837" s="101"/>
    </row>
    <row r="838" spans="1:42">
      <c r="A838" s="2"/>
      <c r="AP838" s="101"/>
    </row>
    <row r="839" spans="1:42">
      <c r="A839" s="2"/>
      <c r="AP839" s="101"/>
    </row>
    <row r="840" spans="1:42">
      <c r="A840" s="2"/>
      <c r="AP840" s="101"/>
    </row>
    <row r="841" spans="1:42">
      <c r="A841" s="2"/>
      <c r="AP841" s="101"/>
    </row>
    <row r="842" spans="1:42">
      <c r="A842" s="2"/>
      <c r="AP842" s="101"/>
    </row>
    <row r="843" spans="1:42">
      <c r="A843" s="2"/>
      <c r="AP843" s="101"/>
    </row>
    <row r="844" spans="1:42">
      <c r="A844" s="2"/>
      <c r="AP844" s="101"/>
    </row>
    <row r="845" spans="1:42">
      <c r="A845" s="2"/>
      <c r="AP845" s="101"/>
    </row>
    <row r="846" spans="1:42">
      <c r="A846" s="2"/>
      <c r="AP846" s="101"/>
    </row>
    <row r="847" spans="1:42">
      <c r="A847" s="2"/>
      <c r="AP847" s="101"/>
    </row>
    <row r="848" spans="1:42">
      <c r="A848" s="2"/>
      <c r="AP848" s="101"/>
    </row>
    <row r="849" spans="1:42">
      <c r="A849" s="2"/>
      <c r="AP849" s="101"/>
    </row>
    <row r="850" spans="1:42">
      <c r="A850" s="2"/>
      <c r="AP850" s="101"/>
    </row>
    <row r="851" spans="1:42">
      <c r="A851" s="2"/>
      <c r="AP851" s="101"/>
    </row>
    <row r="852" spans="1:42">
      <c r="A852" s="2"/>
      <c r="AP852" s="101"/>
    </row>
    <row r="853" spans="1:42">
      <c r="A853" s="2"/>
      <c r="AP853" s="101"/>
    </row>
    <row r="854" spans="1:42">
      <c r="A854" s="2"/>
      <c r="AP854" s="101"/>
    </row>
    <row r="855" spans="1:42">
      <c r="A855" s="2"/>
      <c r="AP855" s="101"/>
    </row>
    <row r="856" spans="1:42">
      <c r="A856" s="2"/>
      <c r="AP856" s="101"/>
    </row>
    <row r="857" spans="1:42">
      <c r="A857" s="2"/>
      <c r="AP857" s="101"/>
    </row>
    <row r="858" spans="1:42">
      <c r="A858" s="2"/>
      <c r="AP858" s="101"/>
    </row>
    <row r="859" spans="1:42">
      <c r="A859" s="2"/>
      <c r="AP859" s="101"/>
    </row>
    <row r="860" spans="1:42">
      <c r="A860" s="2"/>
      <c r="AP860" s="101"/>
    </row>
    <row r="861" spans="1:42">
      <c r="A861" s="2"/>
      <c r="AP861" s="101"/>
    </row>
    <row r="862" spans="1:42">
      <c r="A862" s="2"/>
      <c r="AP862" s="101"/>
    </row>
    <row r="863" spans="1:42">
      <c r="A863" s="2"/>
      <c r="AP863" s="101"/>
    </row>
    <row r="864" spans="1:42">
      <c r="A864" s="2"/>
      <c r="AP864" s="101"/>
    </row>
    <row r="865" spans="1:42">
      <c r="A865" s="2"/>
      <c r="AP865" s="101"/>
    </row>
    <row r="866" spans="1:42">
      <c r="A866" s="2"/>
      <c r="AP866" s="101"/>
    </row>
    <row r="867" spans="1:42">
      <c r="A867" s="2"/>
      <c r="AP867" s="101"/>
    </row>
    <row r="868" spans="1:42">
      <c r="A868" s="2"/>
      <c r="AP868" s="101"/>
    </row>
    <row r="869" spans="1:42">
      <c r="A869" s="2"/>
      <c r="AP869" s="101"/>
    </row>
    <row r="870" spans="1:42">
      <c r="A870" s="2"/>
      <c r="AP870" s="101"/>
    </row>
    <row r="871" spans="1:42">
      <c r="A871" s="2"/>
      <c r="AP871" s="101"/>
    </row>
    <row r="872" spans="1:42">
      <c r="A872" s="2"/>
      <c r="AP872" s="101"/>
    </row>
    <row r="873" spans="1:42">
      <c r="A873" s="2"/>
      <c r="AP873" s="101"/>
    </row>
    <row r="874" spans="1:42">
      <c r="A874" s="2"/>
      <c r="AP874" s="101"/>
    </row>
    <row r="875" spans="1:42">
      <c r="A875" s="2"/>
      <c r="AP875" s="101"/>
    </row>
    <row r="876" spans="1:42">
      <c r="A876" s="2"/>
      <c r="AP876" s="101"/>
    </row>
    <row r="877" spans="1:42">
      <c r="A877" s="2"/>
      <c r="AP877" s="101"/>
    </row>
    <row r="878" spans="1:42">
      <c r="A878" s="2"/>
      <c r="AP878" s="101"/>
    </row>
    <row r="879" spans="1:42">
      <c r="A879" s="2"/>
      <c r="AP879" s="101"/>
    </row>
    <row r="880" spans="1:42">
      <c r="A880" s="2"/>
      <c r="AP880" s="101"/>
    </row>
    <row r="881" spans="1:42">
      <c r="A881" s="2"/>
      <c r="AP881" s="101"/>
    </row>
    <row r="882" spans="1:42">
      <c r="A882" s="2"/>
      <c r="AP882" s="101"/>
    </row>
    <row r="883" spans="1:42">
      <c r="A883" s="2"/>
      <c r="AP883" s="101"/>
    </row>
    <row r="884" spans="1:42">
      <c r="A884" s="2"/>
      <c r="AP884" s="101"/>
    </row>
    <row r="885" spans="1:42">
      <c r="A885" s="2"/>
      <c r="AP885" s="101"/>
    </row>
    <row r="886" spans="1:42">
      <c r="A886" s="2"/>
      <c r="AP886" s="101"/>
    </row>
    <row r="887" spans="1:42">
      <c r="A887" s="2"/>
      <c r="AP887" s="101"/>
    </row>
    <row r="888" spans="1:42">
      <c r="A888" s="2"/>
      <c r="AP888" s="101"/>
    </row>
    <row r="889" spans="1:42">
      <c r="A889" s="2"/>
      <c r="AP889" s="101"/>
    </row>
    <row r="890" spans="1:42">
      <c r="A890" s="2"/>
      <c r="AP890" s="101"/>
    </row>
    <row r="891" spans="1:42">
      <c r="A891" s="2"/>
      <c r="AP891" s="101"/>
    </row>
    <row r="892" spans="1:42">
      <c r="A892" s="2"/>
      <c r="AP892" s="101"/>
    </row>
    <row r="893" spans="1:42">
      <c r="A893" s="2"/>
      <c r="AP893" s="101"/>
    </row>
    <row r="894" spans="1:42">
      <c r="A894" s="2"/>
      <c r="AP894" s="101"/>
    </row>
    <row r="895" spans="1:42">
      <c r="A895" s="2"/>
      <c r="AP895" s="101"/>
    </row>
    <row r="896" spans="1:42">
      <c r="A896" s="2"/>
      <c r="AP896" s="101"/>
    </row>
    <row r="897" spans="1:42">
      <c r="A897" s="2"/>
      <c r="AP897" s="101"/>
    </row>
    <row r="898" spans="1:42">
      <c r="A898" s="2"/>
      <c r="AP898" s="101"/>
    </row>
    <row r="899" spans="1:42">
      <c r="A899" s="2"/>
      <c r="AP899" s="101"/>
    </row>
    <row r="900" spans="1:42">
      <c r="A900" s="2"/>
      <c r="AP900" s="101"/>
    </row>
    <row r="901" spans="1:42">
      <c r="A901" s="2"/>
      <c r="AP901" s="101"/>
    </row>
    <row r="902" spans="1:42">
      <c r="A902" s="2"/>
      <c r="AP902" s="101"/>
    </row>
    <row r="903" spans="1:42">
      <c r="A903" s="2"/>
      <c r="AP903" s="101"/>
    </row>
    <row r="904" spans="1:42">
      <c r="A904" s="2"/>
      <c r="AP904" s="101"/>
    </row>
    <row r="905" spans="1:42">
      <c r="A905" s="2"/>
      <c r="AP905" s="101"/>
    </row>
    <row r="906" spans="1:42">
      <c r="A906" s="2"/>
      <c r="AP906" s="101"/>
    </row>
    <row r="907" spans="1:42">
      <c r="A907" s="2"/>
      <c r="AP907" s="101"/>
    </row>
    <row r="908" spans="1:42">
      <c r="A908" s="2"/>
      <c r="AP908" s="101"/>
    </row>
    <row r="909" spans="1:42">
      <c r="A909" s="2"/>
      <c r="AP909" s="101"/>
    </row>
    <row r="910" spans="1:42">
      <c r="A910" s="2"/>
      <c r="AP910" s="101"/>
    </row>
    <row r="911" spans="1:42">
      <c r="A911" s="2"/>
      <c r="AP911" s="101"/>
    </row>
    <row r="912" spans="1:42">
      <c r="A912" s="2"/>
      <c r="AP912" s="101"/>
    </row>
    <row r="913" spans="1:42">
      <c r="A913" s="2"/>
      <c r="AP913" s="101"/>
    </row>
    <row r="914" spans="1:42">
      <c r="A914" s="2"/>
      <c r="AP914" s="101"/>
    </row>
    <row r="915" spans="1:42">
      <c r="A915" s="2"/>
      <c r="AP915" s="101"/>
    </row>
    <row r="916" spans="1:42">
      <c r="A916" s="2"/>
      <c r="AP916" s="101"/>
    </row>
    <row r="917" spans="1:42">
      <c r="A917" s="2"/>
      <c r="AP917" s="101"/>
    </row>
    <row r="918" spans="1:42">
      <c r="A918" s="2"/>
      <c r="AP918" s="101"/>
    </row>
    <row r="919" spans="1:42">
      <c r="A919" s="2"/>
      <c r="AP919" s="101"/>
    </row>
    <row r="920" spans="1:42">
      <c r="A920" s="2"/>
      <c r="AP920" s="101"/>
    </row>
    <row r="921" spans="1:42">
      <c r="A921" s="2"/>
      <c r="AP921" s="101"/>
    </row>
    <row r="922" spans="1:42">
      <c r="A922" s="2"/>
      <c r="AP922" s="101"/>
    </row>
    <row r="923" spans="1:42">
      <c r="A923" s="2"/>
      <c r="AP923" s="101"/>
    </row>
    <row r="924" spans="1:42">
      <c r="A924" s="2"/>
      <c r="AP924" s="101"/>
    </row>
    <row r="925" spans="1:42">
      <c r="A925" s="2"/>
      <c r="AP925" s="101"/>
    </row>
    <row r="926" spans="1:42">
      <c r="A926" s="2"/>
      <c r="AP926" s="101"/>
    </row>
    <row r="927" spans="1:42">
      <c r="A927" s="2"/>
      <c r="AP927" s="101"/>
    </row>
    <row r="928" spans="1:42">
      <c r="A928" s="2"/>
      <c r="AP928" s="101"/>
    </row>
    <row r="929" spans="1:42">
      <c r="A929" s="2"/>
      <c r="AP929" s="101"/>
    </row>
    <row r="930" spans="1:42">
      <c r="A930" s="2"/>
      <c r="AP930" s="101"/>
    </row>
    <row r="931" spans="1:42">
      <c r="A931" s="2"/>
      <c r="AP931" s="101"/>
    </row>
    <row r="932" spans="1:42">
      <c r="A932" s="2"/>
      <c r="AP932" s="101"/>
    </row>
    <row r="933" spans="1:42">
      <c r="A933" s="2"/>
      <c r="AP933" s="101"/>
    </row>
    <row r="934" spans="1:42">
      <c r="A934" s="2"/>
      <c r="AP934" s="101"/>
    </row>
    <row r="935" spans="1:42">
      <c r="A935" s="2"/>
      <c r="AP935" s="101"/>
    </row>
    <row r="936" spans="1:42">
      <c r="A936" s="2"/>
      <c r="AP936" s="101"/>
    </row>
    <row r="937" spans="1:42">
      <c r="A937" s="2"/>
      <c r="AP937" s="101"/>
    </row>
    <row r="938" spans="1:42">
      <c r="A938" s="2"/>
      <c r="AP938" s="101"/>
    </row>
    <row r="939" spans="1:42">
      <c r="A939" s="2"/>
      <c r="AP939" s="101"/>
    </row>
    <row r="940" spans="1:42">
      <c r="A940" s="2"/>
      <c r="AP940" s="101"/>
    </row>
    <row r="941" spans="1:42">
      <c r="A941" s="2"/>
      <c r="AP941" s="101"/>
    </row>
    <row r="942" spans="1:42">
      <c r="A942" s="2"/>
      <c r="AP942" s="101"/>
    </row>
    <row r="943" spans="1:42">
      <c r="A943" s="2"/>
      <c r="AP943" s="101"/>
    </row>
    <row r="944" spans="1:42">
      <c r="A944" s="2"/>
      <c r="AP944" s="101"/>
    </row>
    <row r="945" spans="1:42">
      <c r="A945" s="2"/>
      <c r="AP945" s="101"/>
    </row>
    <row r="946" spans="1:42">
      <c r="A946" s="2"/>
      <c r="AP946" s="101"/>
    </row>
    <row r="947" spans="1:42">
      <c r="A947" s="2"/>
      <c r="AP947" s="101"/>
    </row>
    <row r="948" spans="1:42">
      <c r="A948" s="2"/>
      <c r="AP948" s="101"/>
    </row>
    <row r="949" spans="1:42">
      <c r="A949" s="2"/>
      <c r="AP949" s="101"/>
    </row>
    <row r="950" spans="1:42">
      <c r="A950" s="2"/>
      <c r="AP950" s="101"/>
    </row>
    <row r="951" spans="1:42">
      <c r="A951" s="2"/>
      <c r="AP951" s="101"/>
    </row>
    <row r="952" spans="1:42">
      <c r="A952" s="2"/>
      <c r="AP952" s="101"/>
    </row>
    <row r="953" spans="1:42">
      <c r="A953" s="2"/>
      <c r="AP953" s="101"/>
    </row>
    <row r="954" spans="1:42">
      <c r="A954" s="2"/>
      <c r="AP954" s="101"/>
    </row>
    <row r="955" spans="1:42">
      <c r="A955" s="2"/>
      <c r="AP955" s="101"/>
    </row>
    <row r="956" spans="1:42">
      <c r="A956" s="2"/>
      <c r="AP956" s="101"/>
    </row>
    <row r="957" spans="1:42">
      <c r="A957" s="2"/>
      <c r="AP957" s="101"/>
    </row>
    <row r="958" spans="1:42">
      <c r="A958" s="2"/>
      <c r="AP958" s="101"/>
    </row>
    <row r="959" spans="1:42">
      <c r="A959" s="2"/>
      <c r="AP959" s="101"/>
    </row>
    <row r="960" spans="1:42">
      <c r="A960" s="2"/>
      <c r="AP960" s="101"/>
    </row>
    <row r="961" spans="1:42">
      <c r="A961" s="2"/>
      <c r="AP961" s="101"/>
    </row>
    <row r="962" spans="1:42">
      <c r="A962" s="2"/>
      <c r="AP962" s="101"/>
    </row>
    <row r="963" spans="1:42">
      <c r="A963" s="2"/>
      <c r="AP963" s="101"/>
    </row>
    <row r="964" spans="1:42">
      <c r="A964" s="2"/>
      <c r="AP964" s="101"/>
    </row>
    <row r="965" spans="1:42">
      <c r="A965" s="2"/>
      <c r="AP965" s="101"/>
    </row>
    <row r="966" spans="1:42">
      <c r="A966" s="2"/>
      <c r="AP966" s="101"/>
    </row>
    <row r="967" spans="1:42">
      <c r="A967" s="2"/>
      <c r="AP967" s="101"/>
    </row>
    <row r="968" spans="1:42">
      <c r="A968" s="2"/>
      <c r="AP968" s="101"/>
    </row>
    <row r="969" spans="1:42">
      <c r="A969" s="2"/>
      <c r="AP969" s="101"/>
    </row>
    <row r="970" spans="1:42">
      <c r="A970" s="2"/>
      <c r="AP970" s="101"/>
    </row>
    <row r="971" spans="1:42">
      <c r="A971" s="2"/>
      <c r="AP971" s="101"/>
    </row>
    <row r="972" spans="1:42">
      <c r="A972" s="2"/>
      <c r="AP972" s="101"/>
    </row>
    <row r="973" spans="1:42">
      <c r="A973" s="2"/>
      <c r="AP973" s="101"/>
    </row>
    <row r="974" spans="1:42">
      <c r="A974" s="2"/>
      <c r="AP974" s="101"/>
    </row>
    <row r="975" spans="1:42">
      <c r="A975" s="2"/>
      <c r="AP975" s="101"/>
    </row>
    <row r="976" spans="1:42">
      <c r="A976" s="2"/>
      <c r="AP976" s="101"/>
    </row>
    <row r="977" spans="1:42">
      <c r="A977" s="2"/>
      <c r="AP977" s="101"/>
    </row>
    <row r="978" spans="1:42">
      <c r="A978" s="2"/>
      <c r="AP978" s="101"/>
    </row>
    <row r="979" spans="1:42">
      <c r="A979" s="2"/>
      <c r="AP979" s="101"/>
    </row>
    <row r="980" spans="1:42">
      <c r="A980" s="2"/>
      <c r="AP980" s="101"/>
    </row>
    <row r="981" spans="1:42">
      <c r="A981" s="2"/>
      <c r="AP981" s="101"/>
    </row>
    <row r="982" spans="1:42">
      <c r="A982" s="2"/>
      <c r="AP982" s="101"/>
    </row>
    <row r="983" spans="1:42">
      <c r="A983" s="2"/>
      <c r="AP983" s="101"/>
    </row>
    <row r="984" spans="1:42">
      <c r="A984" s="2"/>
      <c r="AP984" s="101"/>
    </row>
    <row r="985" spans="1:42">
      <c r="A985" s="2"/>
      <c r="AP985" s="101"/>
    </row>
    <row r="986" spans="1:42">
      <c r="A986" s="2"/>
      <c r="AP986" s="101"/>
    </row>
    <row r="987" spans="1:42">
      <c r="A987" s="2"/>
      <c r="AP987" s="101"/>
    </row>
    <row r="988" spans="1:42">
      <c r="A988" s="2"/>
      <c r="AP988" s="101"/>
    </row>
    <row r="989" spans="1:42">
      <c r="A989" s="2"/>
      <c r="AP989" s="101"/>
    </row>
    <row r="990" spans="1:42">
      <c r="A990" s="2"/>
      <c r="AP990" s="101"/>
    </row>
    <row r="991" spans="1:42">
      <c r="A991" s="2"/>
      <c r="AP991" s="101"/>
    </row>
    <row r="992" spans="1:42">
      <c r="A992" s="2"/>
      <c r="AP992" s="101"/>
    </row>
    <row r="993" spans="1:42">
      <c r="A993" s="2"/>
      <c r="AP993" s="101"/>
    </row>
    <row r="994" spans="1:42">
      <c r="A994" s="2"/>
      <c r="AP994" s="101"/>
    </row>
    <row r="995" spans="1:42">
      <c r="A995" s="2"/>
      <c r="AP995" s="101"/>
    </row>
    <row r="996" spans="1:42">
      <c r="A996" s="2"/>
      <c r="AP996" s="101"/>
    </row>
    <row r="997" spans="1:42">
      <c r="A997" s="2"/>
      <c r="AP997" s="101"/>
    </row>
    <row r="998" spans="1:42">
      <c r="A998" s="2"/>
      <c r="AP998" s="101"/>
    </row>
    <row r="999" spans="1:42">
      <c r="A999" s="2"/>
      <c r="AP999" s="101"/>
    </row>
    <row r="1000" spans="1:42">
      <c r="A1000" s="2"/>
      <c r="AP1000" s="101"/>
    </row>
    <row r="1001" spans="1:42">
      <c r="A1001" s="2"/>
      <c r="AP1001" s="101"/>
    </row>
    <row r="1002" spans="1:42">
      <c r="A1002" s="2"/>
      <c r="AP1002" s="101"/>
    </row>
    <row r="1003" spans="1:42">
      <c r="A1003" s="2"/>
      <c r="AP1003" s="101"/>
    </row>
    <row r="1004" spans="1:42">
      <c r="A1004" s="2"/>
      <c r="AP1004" s="101"/>
    </row>
    <row r="1005" spans="1:42">
      <c r="A1005" s="2"/>
      <c r="AP1005" s="101"/>
    </row>
    <row r="1006" spans="1:42">
      <c r="A1006" s="2"/>
      <c r="AP1006" s="101"/>
    </row>
    <row r="1007" spans="1:42">
      <c r="A1007" s="2"/>
      <c r="AP1007" s="101"/>
    </row>
    <row r="1008" spans="1:42">
      <c r="A1008" s="2"/>
      <c r="AP1008" s="101"/>
    </row>
    <row r="1009" spans="1:42">
      <c r="A1009" s="2"/>
      <c r="AP1009" s="101"/>
    </row>
    <row r="1010" spans="1:42">
      <c r="A1010" s="2"/>
      <c r="AP1010" s="101"/>
    </row>
    <row r="1011" spans="1:42">
      <c r="A1011" s="2"/>
      <c r="AP1011" s="101"/>
    </row>
    <row r="1012" spans="1:42">
      <c r="A1012" s="2"/>
      <c r="AP1012" s="101"/>
    </row>
    <row r="1013" spans="1:42">
      <c r="A1013" s="2"/>
      <c r="AP1013" s="101"/>
    </row>
    <row r="1014" spans="1:42">
      <c r="A1014" s="2"/>
      <c r="AP1014" s="101"/>
    </row>
    <row r="1015" spans="1:42">
      <c r="A1015" s="2"/>
      <c r="AP1015" s="101"/>
    </row>
    <row r="1016" spans="1:42">
      <c r="A1016" s="2"/>
      <c r="AP1016" s="101"/>
    </row>
    <row r="1017" spans="1:42">
      <c r="A1017" s="2"/>
      <c r="AP1017" s="101"/>
    </row>
    <row r="1018" spans="1:42">
      <c r="A1018" s="2"/>
      <c r="AP1018" s="101"/>
    </row>
    <row r="1019" spans="1:42">
      <c r="A1019" s="2"/>
      <c r="AP1019" s="101"/>
    </row>
    <row r="1020" spans="1:42">
      <c r="A1020" s="2"/>
      <c r="AP1020" s="101"/>
    </row>
    <row r="1021" spans="1:42">
      <c r="A1021" s="2"/>
      <c r="AP1021" s="101"/>
    </row>
    <row r="1022" spans="1:42">
      <c r="A1022" s="2"/>
      <c r="AP1022" s="101"/>
    </row>
    <row r="1023" spans="1:42">
      <c r="A1023" s="2"/>
      <c r="AP1023" s="101"/>
    </row>
    <row r="1024" spans="1:42">
      <c r="A1024" s="2"/>
      <c r="AP1024" s="101"/>
    </row>
    <row r="1025" spans="1:42">
      <c r="A1025" s="2"/>
      <c r="AP1025" s="101"/>
    </row>
    <row r="1026" spans="1:42">
      <c r="A1026" s="2"/>
      <c r="AP1026" s="101"/>
    </row>
    <row r="1027" spans="1:42">
      <c r="A1027" s="2"/>
      <c r="AP1027" s="101"/>
    </row>
    <row r="1028" spans="1:42">
      <c r="A1028" s="2"/>
      <c r="AP1028" s="101"/>
    </row>
    <row r="1029" spans="1:42">
      <c r="A1029" s="2"/>
      <c r="AP1029" s="101"/>
    </row>
    <row r="1030" spans="1:42">
      <c r="A1030" s="2"/>
      <c r="AP1030" s="101"/>
    </row>
    <row r="1031" spans="1:42">
      <c r="A1031" s="2"/>
      <c r="AP1031" s="101"/>
    </row>
    <row r="1032" spans="1:42">
      <c r="A1032" s="2"/>
      <c r="AP1032" s="101"/>
    </row>
    <row r="1033" spans="1:42">
      <c r="A1033" s="2"/>
      <c r="AP1033" s="101"/>
    </row>
    <row r="1034" spans="1:42">
      <c r="A1034" s="2"/>
      <c r="AP1034" s="101"/>
    </row>
    <row r="1035" spans="1:42">
      <c r="A1035" s="2"/>
      <c r="AP1035" s="101"/>
    </row>
    <row r="1036" spans="1:42">
      <c r="A1036" s="2"/>
      <c r="AP1036" s="101"/>
    </row>
    <row r="1037" spans="1:42">
      <c r="A1037" s="2"/>
      <c r="AP1037" s="101"/>
    </row>
    <row r="1038" spans="1:42">
      <c r="A1038" s="2"/>
      <c r="AP1038" s="101"/>
    </row>
    <row r="1039" spans="1:42">
      <c r="A1039" s="2"/>
      <c r="AP1039" s="101"/>
    </row>
    <row r="1040" spans="1:42">
      <c r="A1040" s="2"/>
      <c r="AP1040" s="101"/>
    </row>
    <row r="1041" spans="42:42">
      <c r="AP1041" s="101"/>
    </row>
    <row r="1042" spans="42:42">
      <c r="AP1042" s="101"/>
    </row>
    <row r="1043" spans="42:42">
      <c r="AP1043" s="101"/>
    </row>
    <row r="1044" spans="42:42">
      <c r="AP1044" s="10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4E6C-CF7B-4E61-ACE2-60339C5892E7}">
  <sheetPr>
    <outlinePr summaryBelow="0" summaryRight="0"/>
  </sheetPr>
  <dimension ref="A1:BD1043"/>
  <sheetViews>
    <sheetView zoomScale="77" workbookViewId="0">
      <pane xSplit="2" ySplit="3" topLeftCell="C84" activePane="bottomRight" state="frozen"/>
      <selection pane="topRight" activeCell="C1" sqref="C1"/>
      <selection pane="bottomLeft" activeCell="A4" sqref="A4"/>
      <selection pane="bottomRight" activeCell="P3" sqref="P3"/>
    </sheetView>
  </sheetViews>
  <sheetFormatPr defaultColWidth="12.6640625" defaultRowHeight="15.75" customHeight="1"/>
  <cols>
    <col min="1" max="1" width="37" customWidth="1"/>
    <col min="2" max="2" width="58.88671875" customWidth="1"/>
  </cols>
  <sheetData>
    <row r="1" spans="1:56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67" t="s">
        <v>2</v>
      </c>
      <c r="S1" s="168" t="s">
        <v>3</v>
      </c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59"/>
      <c r="AZ1" s="159"/>
      <c r="BA1" s="161"/>
      <c r="BB1" s="159"/>
      <c r="BC1" s="159"/>
      <c r="BD1" s="159"/>
    </row>
    <row r="2" spans="1:56">
      <c r="A2" s="5" t="s">
        <v>4</v>
      </c>
      <c r="B2" s="74" t="s">
        <v>5</v>
      </c>
      <c r="C2" s="5">
        <v>13</v>
      </c>
      <c r="D2" s="5">
        <v>17</v>
      </c>
      <c r="E2" s="5">
        <v>4</v>
      </c>
      <c r="F2" s="5">
        <v>11</v>
      </c>
      <c r="G2" s="5">
        <v>48</v>
      </c>
      <c r="H2" s="5">
        <v>2</v>
      </c>
      <c r="I2" s="5">
        <v>40</v>
      </c>
      <c r="J2" s="5">
        <v>28</v>
      </c>
      <c r="K2" s="5">
        <v>8</v>
      </c>
      <c r="L2" s="5">
        <v>31</v>
      </c>
      <c r="M2" s="5">
        <v>42</v>
      </c>
      <c r="N2" s="5">
        <v>38</v>
      </c>
      <c r="O2" s="5">
        <v>47</v>
      </c>
      <c r="P2" s="5">
        <v>26</v>
      </c>
      <c r="Q2" s="5">
        <v>45</v>
      </c>
      <c r="R2" s="169"/>
      <c r="S2" s="111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59"/>
      <c r="AZ2" s="159"/>
      <c r="BA2" s="160"/>
      <c r="BB2" s="159"/>
      <c r="BC2" s="159"/>
      <c r="BD2" s="159"/>
    </row>
    <row r="3" spans="1:56">
      <c r="A3" s="5"/>
      <c r="B3" s="5" t="s">
        <v>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69"/>
      <c r="S3" s="111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59"/>
      <c r="AZ3" s="159"/>
      <c r="BA3" s="160"/>
      <c r="BB3" s="159"/>
      <c r="BC3" s="159"/>
      <c r="BD3" s="159"/>
    </row>
    <row r="4" spans="1:56">
      <c r="A4" s="5"/>
      <c r="B4" s="5" t="s">
        <v>7</v>
      </c>
      <c r="C4" s="5">
        <v>18</v>
      </c>
      <c r="D4" s="5">
        <v>19</v>
      </c>
      <c r="E4" s="5">
        <v>20</v>
      </c>
      <c r="F4" s="5">
        <v>20</v>
      </c>
      <c r="G4" s="5">
        <v>20</v>
      </c>
      <c r="H4" s="5">
        <v>21</v>
      </c>
      <c r="I4" s="5">
        <v>21</v>
      </c>
      <c r="J4" s="5">
        <v>22</v>
      </c>
      <c r="K4" s="5">
        <v>23</v>
      </c>
      <c r="L4" s="5">
        <v>24</v>
      </c>
      <c r="M4" s="5">
        <v>24</v>
      </c>
      <c r="N4" s="5">
        <v>27</v>
      </c>
      <c r="O4" s="5">
        <v>29</v>
      </c>
      <c r="P4" s="5">
        <v>39</v>
      </c>
      <c r="Q4" s="5">
        <v>40</v>
      </c>
      <c r="R4" s="169"/>
      <c r="S4" s="111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59"/>
      <c r="AZ4" s="159"/>
      <c r="BA4" s="160"/>
      <c r="BB4" s="159"/>
      <c r="BC4" s="159"/>
      <c r="BD4" s="159"/>
    </row>
    <row r="5" spans="1:56">
      <c r="A5" s="5"/>
      <c r="B5" s="5" t="s">
        <v>8</v>
      </c>
      <c r="C5" s="5" t="s">
        <v>9</v>
      </c>
      <c r="D5" s="5" t="s">
        <v>9</v>
      </c>
      <c r="E5" s="5" t="s">
        <v>9</v>
      </c>
      <c r="F5" s="5" t="s">
        <v>10</v>
      </c>
      <c r="G5" s="5" t="s">
        <v>9</v>
      </c>
      <c r="H5" s="5" t="s">
        <v>10</v>
      </c>
      <c r="I5" s="5" t="s">
        <v>9</v>
      </c>
      <c r="J5" s="5" t="s">
        <v>9</v>
      </c>
      <c r="K5" s="5" t="s">
        <v>10</v>
      </c>
      <c r="L5" s="5" t="s">
        <v>9</v>
      </c>
      <c r="M5" s="5" t="s">
        <v>9</v>
      </c>
      <c r="N5" s="5" t="s">
        <v>10</v>
      </c>
      <c r="O5" s="5" t="s">
        <v>10</v>
      </c>
      <c r="P5" s="5" t="s">
        <v>9</v>
      </c>
      <c r="Q5" s="5" t="s">
        <v>9</v>
      </c>
      <c r="R5" s="169"/>
      <c r="S5" s="111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59"/>
      <c r="AZ5" s="159"/>
      <c r="BA5" s="160"/>
      <c r="BB5" s="159"/>
      <c r="BC5" s="159"/>
      <c r="BD5" s="159"/>
    </row>
    <row r="6" spans="1:56">
      <c r="A6" s="5"/>
      <c r="B6" s="5" t="s">
        <v>11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169"/>
      <c r="S6" s="111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59"/>
      <c r="AZ6" s="159"/>
      <c r="BA6" s="160"/>
      <c r="BB6" s="159"/>
      <c r="BC6" s="159"/>
      <c r="BD6" s="159"/>
    </row>
    <row r="7" spans="1:56">
      <c r="A7" s="5"/>
      <c r="B7" s="5" t="s">
        <v>13</v>
      </c>
      <c r="C7" s="5"/>
      <c r="D7" s="5" t="s">
        <v>15</v>
      </c>
      <c r="E7" s="5" t="s">
        <v>15</v>
      </c>
      <c r="F7" s="5" t="s">
        <v>15</v>
      </c>
      <c r="G7" s="5" t="s">
        <v>15</v>
      </c>
      <c r="H7" s="5" t="s">
        <v>14</v>
      </c>
      <c r="I7" s="5" t="s">
        <v>15</v>
      </c>
      <c r="J7" s="5" t="s">
        <v>15</v>
      </c>
      <c r="K7" s="5" t="s">
        <v>16</v>
      </c>
      <c r="L7" s="5" t="s">
        <v>17</v>
      </c>
      <c r="M7" s="5"/>
      <c r="N7" s="5"/>
      <c r="O7" s="5" t="s">
        <v>16</v>
      </c>
      <c r="P7" s="5" t="s">
        <v>15</v>
      </c>
      <c r="Q7" s="5"/>
      <c r="R7" s="169"/>
      <c r="S7" s="111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1"/>
      <c r="AI7" s="160"/>
      <c r="AJ7" s="160"/>
      <c r="AK7" s="160"/>
      <c r="AL7" s="160"/>
      <c r="AM7" s="160"/>
      <c r="AN7" s="161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59"/>
      <c r="AZ7" s="159"/>
      <c r="BA7" s="160"/>
      <c r="BB7" s="159"/>
      <c r="BC7" s="159"/>
      <c r="BD7" s="159"/>
    </row>
    <row r="8" spans="1:56">
      <c r="A8" s="8" t="s">
        <v>18</v>
      </c>
      <c r="B8" s="83" t="s">
        <v>19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70"/>
      <c r="S8" s="113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59"/>
      <c r="AZ8" s="159"/>
      <c r="BA8" s="161"/>
      <c r="BB8" s="159"/>
      <c r="BC8" s="159"/>
      <c r="BD8" s="159"/>
    </row>
    <row r="9" spans="1:56">
      <c r="A9" s="8" t="s">
        <v>20</v>
      </c>
      <c r="B9" s="75" t="s">
        <v>21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70"/>
      <c r="S9" s="113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59"/>
      <c r="AZ9" s="159"/>
      <c r="BA9" s="161"/>
      <c r="BB9" s="159"/>
      <c r="BC9" s="159"/>
      <c r="BD9" s="159"/>
    </row>
    <row r="10" spans="1:56">
      <c r="A10" s="8" t="s">
        <v>22</v>
      </c>
      <c r="B10" s="12" t="s">
        <v>23</v>
      </c>
      <c r="C10" s="75">
        <v>2</v>
      </c>
      <c r="D10" s="75">
        <v>1.9</v>
      </c>
      <c r="E10" s="75">
        <v>1</v>
      </c>
      <c r="F10" s="75">
        <v>1.5</v>
      </c>
      <c r="G10" s="75">
        <v>1</v>
      </c>
      <c r="H10" s="75">
        <v>3</v>
      </c>
      <c r="I10" s="75">
        <v>1.5</v>
      </c>
      <c r="J10" s="75">
        <v>3</v>
      </c>
      <c r="K10" s="75">
        <v>3</v>
      </c>
      <c r="L10" s="75">
        <v>1.2</v>
      </c>
      <c r="M10" s="75">
        <v>1</v>
      </c>
      <c r="N10" s="75">
        <v>1.8</v>
      </c>
      <c r="O10" s="75">
        <v>1</v>
      </c>
      <c r="P10" s="75">
        <v>2</v>
      </c>
      <c r="Q10" s="75">
        <v>1</v>
      </c>
      <c r="R10" s="171" cm="1">
        <f t="array" ref="R10">SUM(IF(C10:Q10&gt;20, 0, 20-ROUND(C10:Q10,0)))</f>
        <v>273</v>
      </c>
      <c r="S10" s="114">
        <f t="shared" ref="S10:S26" si="0">0.454*(R10/COLUMNS(C10:Q10))</f>
        <v>8.2628000000000004</v>
      </c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59"/>
      <c r="AZ10" s="159"/>
      <c r="BA10" s="160"/>
      <c r="BB10" s="159"/>
      <c r="BC10" s="159"/>
      <c r="BD10" s="159"/>
    </row>
    <row r="11" spans="1:56">
      <c r="A11" s="8"/>
      <c r="B11" s="12" t="s">
        <v>24</v>
      </c>
      <c r="C11" s="75">
        <v>3</v>
      </c>
      <c r="D11" s="75">
        <v>7</v>
      </c>
      <c r="E11" s="75">
        <v>8</v>
      </c>
      <c r="F11" s="75">
        <v>1.8</v>
      </c>
      <c r="G11" s="75">
        <v>3</v>
      </c>
      <c r="H11" s="75">
        <v>7</v>
      </c>
      <c r="I11" s="75">
        <v>7</v>
      </c>
      <c r="J11" s="75">
        <v>3</v>
      </c>
      <c r="K11" s="75">
        <v>5</v>
      </c>
      <c r="L11" s="75">
        <v>3</v>
      </c>
      <c r="M11" s="75">
        <v>16</v>
      </c>
      <c r="N11" s="75">
        <v>7</v>
      </c>
      <c r="O11" s="75">
        <v>3</v>
      </c>
      <c r="P11" s="75">
        <v>6</v>
      </c>
      <c r="Q11" s="75">
        <v>4</v>
      </c>
      <c r="R11" s="171" cm="1">
        <f t="array" ref="R11">SUM(IF(C11:Q11&gt;20, 0, 20-ROUND(C11:Q11,0)))</f>
        <v>216</v>
      </c>
      <c r="S11" s="114">
        <f t="shared" si="0"/>
        <v>6.5376000000000003</v>
      </c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59"/>
      <c r="AZ11" s="159"/>
      <c r="BA11" s="160"/>
      <c r="BB11" s="159"/>
      <c r="BC11" s="159"/>
      <c r="BD11" s="159"/>
    </row>
    <row r="12" spans="1:56">
      <c r="A12" s="8" t="s">
        <v>20</v>
      </c>
      <c r="B12" s="75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71"/>
      <c r="S12" s="114">
        <f t="shared" si="0"/>
        <v>0</v>
      </c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59"/>
      <c r="AZ12" s="159"/>
      <c r="BA12" s="161"/>
      <c r="BB12" s="159"/>
      <c r="BC12" s="159"/>
      <c r="BD12" s="159"/>
    </row>
    <row r="13" spans="1:56">
      <c r="A13" s="8" t="s">
        <v>22</v>
      </c>
      <c r="B13" s="12" t="s">
        <v>23</v>
      </c>
      <c r="C13" s="75">
        <v>4</v>
      </c>
      <c r="D13" s="75">
        <v>5</v>
      </c>
      <c r="E13" s="75">
        <v>2</v>
      </c>
      <c r="F13" s="75">
        <v>2</v>
      </c>
      <c r="G13" s="75">
        <v>2</v>
      </c>
      <c r="H13" s="75">
        <v>10</v>
      </c>
      <c r="I13" s="75">
        <v>1.5</v>
      </c>
      <c r="J13" s="75">
        <v>4</v>
      </c>
      <c r="K13" s="75">
        <v>5</v>
      </c>
      <c r="L13" s="75">
        <v>1.5</v>
      </c>
      <c r="M13" s="75">
        <v>2</v>
      </c>
      <c r="N13" s="75">
        <v>3</v>
      </c>
      <c r="O13" s="75">
        <v>2</v>
      </c>
      <c r="P13" s="75">
        <v>4</v>
      </c>
      <c r="Q13" s="75">
        <v>3</v>
      </c>
      <c r="R13" s="171" cm="1">
        <f t="array" ref="R13">SUM(IF(C13:Q13&gt;20, 0, 20-ROUND(C13:Q13,0)))</f>
        <v>248</v>
      </c>
      <c r="S13" s="114">
        <f t="shared" si="0"/>
        <v>7.5061333333333344</v>
      </c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59"/>
      <c r="AZ13" s="159"/>
      <c r="BA13" s="160"/>
      <c r="BB13" s="159"/>
      <c r="BC13" s="159"/>
      <c r="BD13" s="159"/>
    </row>
    <row r="14" spans="1:56">
      <c r="A14" s="8"/>
      <c r="B14" s="12" t="s">
        <v>24</v>
      </c>
      <c r="C14" s="75">
        <v>4</v>
      </c>
      <c r="D14" s="75">
        <v>7</v>
      </c>
      <c r="E14" s="75">
        <v>16.5</v>
      </c>
      <c r="F14" s="75">
        <v>2</v>
      </c>
      <c r="G14" s="75">
        <v>5</v>
      </c>
      <c r="H14" s="75">
        <v>13</v>
      </c>
      <c r="I14" s="75">
        <v>12</v>
      </c>
      <c r="J14" s="75">
        <v>4</v>
      </c>
      <c r="K14" s="75">
        <v>10</v>
      </c>
      <c r="L14" s="75">
        <v>5</v>
      </c>
      <c r="M14" s="75">
        <v>19</v>
      </c>
      <c r="N14" s="75">
        <v>10</v>
      </c>
      <c r="O14" s="75">
        <v>5</v>
      </c>
      <c r="P14" s="75">
        <v>8</v>
      </c>
      <c r="Q14" s="75">
        <v>7</v>
      </c>
      <c r="R14" s="171" cm="1">
        <f t="array" ref="R14">SUM(IF(C14:Q14&gt;20, 0, 20-ROUND(C14:Q14,0)))</f>
        <v>172</v>
      </c>
      <c r="S14" s="114">
        <f t="shared" si="0"/>
        <v>5.2058666666666671</v>
      </c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59"/>
      <c r="AZ14" s="159"/>
      <c r="BA14" s="160"/>
      <c r="BB14" s="159"/>
      <c r="BC14" s="159"/>
      <c r="BD14" s="159"/>
    </row>
    <row r="15" spans="1:56">
      <c r="A15" s="8" t="s">
        <v>26</v>
      </c>
      <c r="B15" s="75" t="s">
        <v>27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70"/>
      <c r="S15" s="114">
        <f t="shared" si="0"/>
        <v>0</v>
      </c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59"/>
      <c r="AZ15" s="159"/>
      <c r="BA15" s="161"/>
      <c r="BB15" s="159"/>
      <c r="BC15" s="159"/>
      <c r="BD15" s="159"/>
    </row>
    <row r="16" spans="1:56">
      <c r="A16" s="8"/>
      <c r="B16" s="12" t="s">
        <v>23</v>
      </c>
      <c r="C16" s="75">
        <v>11</v>
      </c>
      <c r="D16" s="75">
        <v>12</v>
      </c>
      <c r="E16" s="75">
        <v>5</v>
      </c>
      <c r="F16" s="75">
        <v>12</v>
      </c>
      <c r="G16" s="75"/>
      <c r="H16" s="75">
        <v>11</v>
      </c>
      <c r="I16" s="75">
        <v>11</v>
      </c>
      <c r="J16" s="75">
        <v>1</v>
      </c>
      <c r="K16" s="75">
        <v>11</v>
      </c>
      <c r="L16" s="75">
        <v>8</v>
      </c>
      <c r="M16" s="75">
        <v>13.5</v>
      </c>
      <c r="N16" s="75">
        <v>11</v>
      </c>
      <c r="O16" s="75">
        <v>11</v>
      </c>
      <c r="P16" s="75">
        <v>11</v>
      </c>
      <c r="Q16" s="75">
        <v>0</v>
      </c>
      <c r="R16" s="171">
        <f>SUM(C16:Q16)</f>
        <v>128.5</v>
      </c>
      <c r="S16" s="114">
        <f t="shared" si="0"/>
        <v>3.8892666666666669</v>
      </c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1"/>
      <c r="AS16" s="160"/>
      <c r="AT16" s="160"/>
      <c r="AU16" s="160"/>
      <c r="AV16" s="160"/>
      <c r="AW16" s="160"/>
      <c r="AX16" s="160"/>
      <c r="AY16" s="159"/>
      <c r="AZ16" s="159"/>
      <c r="BA16" s="160"/>
      <c r="BB16" s="159"/>
      <c r="BC16" s="159"/>
      <c r="BD16" s="159"/>
    </row>
    <row r="17" spans="1:56">
      <c r="A17" s="8"/>
      <c r="B17" s="12" t="s">
        <v>24</v>
      </c>
      <c r="C17" s="75">
        <v>11</v>
      </c>
      <c r="D17" s="75">
        <v>12</v>
      </c>
      <c r="E17" s="75">
        <v>8</v>
      </c>
      <c r="F17" s="75"/>
      <c r="G17" s="75"/>
      <c r="H17" s="75">
        <v>15</v>
      </c>
      <c r="I17" s="75">
        <v>11</v>
      </c>
      <c r="J17" s="75">
        <v>1</v>
      </c>
      <c r="K17" s="75">
        <v>17</v>
      </c>
      <c r="L17" s="75">
        <v>8</v>
      </c>
      <c r="M17" s="75">
        <v>13.5</v>
      </c>
      <c r="N17" s="75">
        <v>11</v>
      </c>
      <c r="O17" s="75">
        <v>3</v>
      </c>
      <c r="P17" s="75">
        <v>11</v>
      </c>
      <c r="Q17" s="75">
        <v>14</v>
      </c>
      <c r="R17" s="171">
        <f>SUM(C17:Q17)</f>
        <v>135.5</v>
      </c>
      <c r="S17" s="114">
        <f t="shared" si="0"/>
        <v>4.1011333333333333</v>
      </c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59"/>
      <c r="AZ17" s="159"/>
      <c r="BA17" s="160"/>
      <c r="BB17" s="159"/>
      <c r="BC17" s="159"/>
      <c r="BD17" s="159"/>
    </row>
    <row r="18" spans="1:56">
      <c r="A18" s="8" t="s">
        <v>26</v>
      </c>
      <c r="B18" s="75" t="s">
        <v>28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0"/>
      <c r="S18" s="114">
        <f t="shared" si="0"/>
        <v>0</v>
      </c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59"/>
      <c r="AZ18" s="159"/>
      <c r="BA18" s="161"/>
      <c r="BB18" s="159"/>
      <c r="BC18" s="159"/>
      <c r="BD18" s="159"/>
    </row>
    <row r="19" spans="1:56">
      <c r="A19" s="8" t="s">
        <v>29</v>
      </c>
      <c r="B19" s="12" t="s">
        <v>23</v>
      </c>
      <c r="C19" s="75">
        <v>18</v>
      </c>
      <c r="D19" s="75">
        <v>19</v>
      </c>
      <c r="E19" s="75">
        <v>20</v>
      </c>
      <c r="F19" s="75">
        <v>20</v>
      </c>
      <c r="G19" s="75">
        <v>20</v>
      </c>
      <c r="H19" s="75">
        <v>21</v>
      </c>
      <c r="I19" s="75">
        <v>21</v>
      </c>
      <c r="J19" s="75">
        <v>22</v>
      </c>
      <c r="K19" s="75">
        <v>16</v>
      </c>
      <c r="L19" s="75">
        <v>24</v>
      </c>
      <c r="M19" s="75">
        <v>24</v>
      </c>
      <c r="N19" s="75">
        <v>27</v>
      </c>
      <c r="O19" s="75">
        <v>29</v>
      </c>
      <c r="P19" s="75">
        <v>39</v>
      </c>
      <c r="Q19" s="75">
        <v>40</v>
      </c>
      <c r="R19" s="171" cm="1">
        <f t="array" ref="R19">SUM(IF(C19:Q19&gt;20, 20, C19:Q19))</f>
        <v>293</v>
      </c>
      <c r="S19" s="114">
        <f t="shared" si="0"/>
        <v>8.8681333333333345</v>
      </c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59"/>
      <c r="AZ19" s="159"/>
      <c r="BA19" s="160"/>
      <c r="BB19" s="159"/>
      <c r="BC19" s="159"/>
      <c r="BD19" s="159"/>
    </row>
    <row r="20" spans="1:56">
      <c r="A20" s="8"/>
      <c r="B20" s="12" t="s">
        <v>24</v>
      </c>
      <c r="C20" s="75">
        <v>18</v>
      </c>
      <c r="D20" s="75">
        <v>19</v>
      </c>
      <c r="E20" s="75">
        <v>20</v>
      </c>
      <c r="F20" s="75">
        <v>20</v>
      </c>
      <c r="G20" s="75">
        <v>20</v>
      </c>
      <c r="H20" s="75">
        <v>21</v>
      </c>
      <c r="I20" s="75">
        <v>21</v>
      </c>
      <c r="J20" s="75">
        <v>22</v>
      </c>
      <c r="K20" s="75">
        <v>23</v>
      </c>
      <c r="L20" s="75">
        <v>24</v>
      </c>
      <c r="M20" s="75">
        <v>24</v>
      </c>
      <c r="N20" s="75">
        <v>27</v>
      </c>
      <c r="O20" s="75">
        <v>29</v>
      </c>
      <c r="P20" s="75">
        <v>39</v>
      </c>
      <c r="Q20" s="75">
        <v>40</v>
      </c>
      <c r="R20" s="171" cm="1">
        <f t="array" ref="R20">SUM(IF(C20:Q20&gt;20, 20, C20:Q20))</f>
        <v>297</v>
      </c>
      <c r="S20" s="114">
        <f t="shared" si="0"/>
        <v>8.9892000000000003</v>
      </c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59"/>
      <c r="AZ20" s="159"/>
      <c r="BA20" s="160"/>
      <c r="BB20" s="159"/>
      <c r="BC20" s="159"/>
      <c r="BD20" s="159"/>
    </row>
    <row r="21" spans="1:56">
      <c r="A21" s="8" t="s">
        <v>26</v>
      </c>
      <c r="B21" s="75" t="s">
        <v>30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71" cm="1">
        <f t="array" ref="R21">SUM(IF(C21:Q21&gt;20, 20, C21:Q21))</f>
        <v>0</v>
      </c>
      <c r="S21" s="114">
        <f t="shared" si="0"/>
        <v>0</v>
      </c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0"/>
      <c r="AV21" s="161"/>
      <c r="AW21" s="161"/>
      <c r="AX21" s="161"/>
      <c r="AY21" s="159"/>
      <c r="AZ21" s="159"/>
      <c r="BA21" s="161"/>
      <c r="BB21" s="159"/>
      <c r="BC21" s="159"/>
      <c r="BD21" s="159"/>
    </row>
    <row r="22" spans="1:56">
      <c r="A22" s="8" t="s">
        <v>29</v>
      </c>
      <c r="B22" s="12" t="s">
        <v>23</v>
      </c>
      <c r="C22" s="75">
        <v>18</v>
      </c>
      <c r="D22" s="75">
        <v>19</v>
      </c>
      <c r="E22" s="75">
        <v>20</v>
      </c>
      <c r="F22" s="75">
        <v>20</v>
      </c>
      <c r="G22" s="75">
        <v>20</v>
      </c>
      <c r="H22" s="75">
        <v>21</v>
      </c>
      <c r="I22" s="75">
        <v>21</v>
      </c>
      <c r="J22" s="75">
        <v>22</v>
      </c>
      <c r="K22" s="75">
        <v>16</v>
      </c>
      <c r="L22" s="75">
        <v>24</v>
      </c>
      <c r="M22" s="75">
        <v>24</v>
      </c>
      <c r="N22" s="75">
        <v>27</v>
      </c>
      <c r="O22" s="75">
        <v>29</v>
      </c>
      <c r="P22" s="75">
        <v>39</v>
      </c>
      <c r="Q22" s="75">
        <v>40</v>
      </c>
      <c r="R22" s="171" cm="1">
        <f t="array" ref="R22">SUM(IF(C22:Q22&gt;20, 20, C22:Q22))</f>
        <v>293</v>
      </c>
      <c r="S22" s="114">
        <f t="shared" si="0"/>
        <v>8.8681333333333345</v>
      </c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59"/>
      <c r="AZ22" s="159"/>
      <c r="BA22" s="160"/>
      <c r="BB22" s="159"/>
      <c r="BC22" s="159"/>
      <c r="BD22" s="159"/>
    </row>
    <row r="23" spans="1:56">
      <c r="A23" s="8"/>
      <c r="B23" s="12" t="s">
        <v>24</v>
      </c>
      <c r="C23" s="75">
        <v>0</v>
      </c>
      <c r="D23" s="75">
        <v>2</v>
      </c>
      <c r="E23" s="75">
        <v>0</v>
      </c>
      <c r="F23" s="9"/>
      <c r="G23" s="75">
        <v>0</v>
      </c>
      <c r="H23" s="75">
        <v>21</v>
      </c>
      <c r="I23" s="75">
        <v>21</v>
      </c>
      <c r="J23" s="75">
        <v>22</v>
      </c>
      <c r="K23" s="75">
        <v>23</v>
      </c>
      <c r="L23" s="75"/>
      <c r="M23" s="75">
        <v>7</v>
      </c>
      <c r="N23" s="75">
        <v>27</v>
      </c>
      <c r="O23" s="75">
        <v>0</v>
      </c>
      <c r="P23" s="75"/>
      <c r="Q23" s="75">
        <v>40</v>
      </c>
      <c r="R23" s="171" cm="1">
        <f t="array" ref="R23">SUM(IF(C23:Q23&gt;20, 20, C23:Q23))</f>
        <v>129</v>
      </c>
      <c r="S23" s="114">
        <f t="shared" si="0"/>
        <v>3.9043999999999999</v>
      </c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59"/>
      <c r="AZ23" s="159"/>
      <c r="BA23" s="160"/>
      <c r="BB23" s="159"/>
      <c r="BC23" s="159"/>
      <c r="BD23" s="159"/>
    </row>
    <row r="24" spans="1:56">
      <c r="A24" s="8" t="s">
        <v>26</v>
      </c>
      <c r="B24" s="75" t="s">
        <v>31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71" cm="1">
        <f t="array" ref="R24">SUM(IF(C24:Q24&gt;20, 20, C24:Q24))</f>
        <v>0</v>
      </c>
      <c r="S24" s="114">
        <f t="shared" si="0"/>
        <v>0</v>
      </c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59"/>
      <c r="AZ24" s="159"/>
      <c r="BA24" s="161"/>
      <c r="BB24" s="159"/>
      <c r="BC24" s="159"/>
      <c r="BD24" s="159"/>
    </row>
    <row r="25" spans="1:56">
      <c r="A25" s="8" t="s">
        <v>29</v>
      </c>
      <c r="B25" s="12" t="s">
        <v>23</v>
      </c>
      <c r="C25" s="9"/>
      <c r="D25" s="75">
        <v>16</v>
      </c>
      <c r="E25" s="75"/>
      <c r="F25" s="75"/>
      <c r="G25" s="75">
        <v>1</v>
      </c>
      <c r="H25" s="75">
        <v>15</v>
      </c>
      <c r="I25" s="75"/>
      <c r="J25" s="75">
        <v>3</v>
      </c>
      <c r="K25" s="75">
        <v>16</v>
      </c>
      <c r="L25" s="75">
        <v>24</v>
      </c>
      <c r="M25" s="75">
        <v>24</v>
      </c>
      <c r="N25" s="75"/>
      <c r="O25" s="75">
        <v>6</v>
      </c>
      <c r="P25" s="75">
        <v>25</v>
      </c>
      <c r="Q25" s="75">
        <v>2</v>
      </c>
      <c r="R25" s="171" cm="1">
        <f t="array" ref="R25">SUM(IF(C25:Q25&gt;20, 20, C25:Q25))</f>
        <v>119</v>
      </c>
      <c r="S25" s="114">
        <f t="shared" si="0"/>
        <v>3.6017333333333337</v>
      </c>
      <c r="T25" s="161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59"/>
      <c r="AZ25" s="159"/>
      <c r="BA25" s="160"/>
      <c r="BB25" s="159"/>
      <c r="BC25" s="159"/>
      <c r="BD25" s="159"/>
    </row>
    <row r="26" spans="1:56">
      <c r="A26" s="12"/>
      <c r="B26" s="12" t="s">
        <v>24</v>
      </c>
      <c r="C26" s="75"/>
      <c r="D26" s="75">
        <v>10</v>
      </c>
      <c r="E26" s="75"/>
      <c r="F26" s="75"/>
      <c r="G26" s="75">
        <v>1</v>
      </c>
      <c r="H26" s="75">
        <v>15</v>
      </c>
      <c r="I26" s="75"/>
      <c r="J26" s="75">
        <v>3</v>
      </c>
      <c r="K26" s="75">
        <v>23</v>
      </c>
      <c r="L26" s="75"/>
      <c r="M26" s="75">
        <v>10</v>
      </c>
      <c r="N26" s="75"/>
      <c r="O26" s="75">
        <v>3</v>
      </c>
      <c r="P26" s="75">
        <v>20</v>
      </c>
      <c r="Q26" s="75">
        <v>3</v>
      </c>
      <c r="R26" s="171" cm="1">
        <f t="array" ref="R26">SUM(IF(C26:Q26&gt;20, 20, C26:Q26))</f>
        <v>85</v>
      </c>
      <c r="S26" s="114">
        <f t="shared" si="0"/>
        <v>2.5726666666666671</v>
      </c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59"/>
      <c r="AZ26" s="159"/>
      <c r="BA26" s="160"/>
      <c r="BB26" s="159"/>
      <c r="BC26" s="159"/>
      <c r="BD26" s="159"/>
    </row>
    <row r="27" spans="1:56">
      <c r="A27" s="14"/>
      <c r="B27" s="14" t="s">
        <v>32</v>
      </c>
      <c r="C27" s="15">
        <f t="shared" ref="C27:Q27" si="1">0.454*(IF(C10&gt;20, 0, 20-ROUND(C10,0)) + IF(C13&gt;20, 0, 20-ROUND(C13,0)) + C16 + IF(C19&gt;20, 20, C19) + IF(C22&gt;20, 20, C22) + IF(C25&gt;20, 20, C25))</f>
        <v>36.774000000000001</v>
      </c>
      <c r="D27" s="15">
        <f t="shared" si="1"/>
        <v>44.945999999999998</v>
      </c>
      <c r="E27" s="15">
        <f t="shared" si="1"/>
        <v>37.228000000000002</v>
      </c>
      <c r="F27" s="15">
        <f t="shared" si="1"/>
        <v>39.951999999999998</v>
      </c>
      <c r="G27" s="15">
        <f t="shared" si="1"/>
        <v>35.411999999999999</v>
      </c>
      <c r="H27" s="15">
        <f t="shared" si="1"/>
        <v>42.222000000000001</v>
      </c>
      <c r="I27" s="15">
        <f t="shared" si="1"/>
        <v>39.498000000000005</v>
      </c>
      <c r="J27" s="15">
        <f t="shared" si="1"/>
        <v>34.957999999999998</v>
      </c>
      <c r="K27" s="15">
        <f t="shared" si="1"/>
        <v>41.314</v>
      </c>
      <c r="L27" s="15">
        <f t="shared" si="1"/>
        <v>47.67</v>
      </c>
      <c r="M27" s="15">
        <f t="shared" si="1"/>
        <v>50.167000000000002</v>
      </c>
      <c r="N27" s="15">
        <f t="shared" si="1"/>
        <v>39.044000000000004</v>
      </c>
      <c r="O27" s="15">
        <f t="shared" si="1"/>
        <v>42.676000000000002</v>
      </c>
      <c r="P27" s="15">
        <f t="shared" si="1"/>
        <v>47.67</v>
      </c>
      <c r="Q27" s="15">
        <f t="shared" si="1"/>
        <v>35.411999999999999</v>
      </c>
      <c r="R27" s="172">
        <f>AVERAGE(C27:Q27)</f>
        <v>40.996200000000009</v>
      </c>
      <c r="S27" s="15">
        <f t="shared" ref="S27:S28" si="2">S10+S13+S16+S19+S22+S25</f>
        <v>40.996200000000002</v>
      </c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59"/>
      <c r="AZ27" s="159"/>
      <c r="BA27" s="160"/>
      <c r="BB27" s="159"/>
      <c r="BC27" s="159"/>
      <c r="BD27" s="159"/>
    </row>
    <row r="28" spans="1:56">
      <c r="A28" s="12"/>
      <c r="B28" s="12" t="s">
        <v>33</v>
      </c>
      <c r="C28" s="75">
        <f t="shared" ref="C28:Q28" si="3">0.454*(IF(C11&gt;20, 0, 20-ROUND(C11,0)) + IF(C14&gt;20, 0, 20-ROUND(C14,0)) + C17 + IF(C20&gt;20, 20, C20) + IF(C23&gt;20, 20, C23) + IF(C26&gt;20, 20, C26))</f>
        <v>28.148</v>
      </c>
      <c r="D28" s="75">
        <f t="shared" si="3"/>
        <v>31.326000000000001</v>
      </c>
      <c r="E28" s="75">
        <f t="shared" si="3"/>
        <v>19.522000000000002</v>
      </c>
      <c r="F28" s="75">
        <f t="shared" si="3"/>
        <v>25.423999999999999</v>
      </c>
      <c r="G28" s="75">
        <f t="shared" si="3"/>
        <v>24.062000000000001</v>
      </c>
      <c r="H28" s="75">
        <f t="shared" si="3"/>
        <v>40.86</v>
      </c>
      <c r="I28" s="75">
        <f t="shared" si="3"/>
        <v>32.688000000000002</v>
      </c>
      <c r="J28" s="75">
        <f t="shared" si="3"/>
        <v>34.957999999999998</v>
      </c>
      <c r="K28" s="75">
        <f t="shared" si="3"/>
        <v>46.308</v>
      </c>
      <c r="L28" s="75">
        <f t="shared" si="3"/>
        <v>27.240000000000002</v>
      </c>
      <c r="M28" s="75">
        <f t="shared" si="3"/>
        <v>25.196999999999999</v>
      </c>
      <c r="N28" s="75">
        <f t="shared" si="3"/>
        <v>33.596000000000004</v>
      </c>
      <c r="O28" s="75">
        <f t="shared" si="3"/>
        <v>26.332000000000001</v>
      </c>
      <c r="P28" s="75">
        <f t="shared" si="3"/>
        <v>34.957999999999998</v>
      </c>
      <c r="Q28" s="75">
        <f t="shared" si="3"/>
        <v>39.044000000000004</v>
      </c>
      <c r="R28" s="171">
        <f>AVERAGE(C28:Q28)</f>
        <v>31.310866666666666</v>
      </c>
      <c r="S28" s="114">
        <f t="shared" si="2"/>
        <v>31.310866666666666</v>
      </c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59"/>
      <c r="AZ28" s="159"/>
      <c r="BA28" s="160"/>
      <c r="BB28" s="159"/>
      <c r="BC28" s="159"/>
      <c r="BD28" s="159"/>
    </row>
    <row r="29" spans="1:56">
      <c r="A29" s="19"/>
      <c r="B29" s="19" t="s">
        <v>34</v>
      </c>
      <c r="C29" s="20">
        <f t="shared" ref="C29:Q29" si="4">C27-C28</f>
        <v>8.6260000000000012</v>
      </c>
      <c r="D29" s="20">
        <f t="shared" si="4"/>
        <v>13.619999999999997</v>
      </c>
      <c r="E29" s="20">
        <f t="shared" si="4"/>
        <v>17.706</v>
      </c>
      <c r="F29" s="20">
        <f t="shared" si="4"/>
        <v>14.527999999999999</v>
      </c>
      <c r="G29" s="20">
        <f t="shared" si="4"/>
        <v>11.349999999999998</v>
      </c>
      <c r="H29" s="20">
        <f t="shared" si="4"/>
        <v>1.3620000000000019</v>
      </c>
      <c r="I29" s="20">
        <f t="shared" si="4"/>
        <v>6.8100000000000023</v>
      </c>
      <c r="J29" s="20">
        <f t="shared" si="4"/>
        <v>0</v>
      </c>
      <c r="K29" s="20">
        <f t="shared" si="4"/>
        <v>-4.9939999999999998</v>
      </c>
      <c r="L29" s="20">
        <f t="shared" si="4"/>
        <v>20.43</v>
      </c>
      <c r="M29" s="20">
        <f t="shared" si="4"/>
        <v>24.970000000000002</v>
      </c>
      <c r="N29" s="20">
        <f t="shared" si="4"/>
        <v>5.4480000000000004</v>
      </c>
      <c r="O29" s="20">
        <f t="shared" si="4"/>
        <v>16.344000000000001</v>
      </c>
      <c r="P29" s="20">
        <f t="shared" si="4"/>
        <v>12.712000000000003</v>
      </c>
      <c r="Q29" s="20">
        <f t="shared" si="4"/>
        <v>-3.632000000000005</v>
      </c>
      <c r="R29" s="173">
        <f>AVERAGE(C29:Q29)</f>
        <v>9.685333333333336</v>
      </c>
      <c r="S29" s="20">
        <f>S27-S28</f>
        <v>9.685333333333336</v>
      </c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59"/>
      <c r="AZ29" s="159"/>
      <c r="BA29" s="160"/>
      <c r="BB29" s="159"/>
      <c r="BC29" s="159"/>
      <c r="BD29" s="159"/>
    </row>
    <row r="30" spans="1:56">
      <c r="A30" s="23" t="s">
        <v>35</v>
      </c>
      <c r="B30" s="85" t="s">
        <v>36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129"/>
      <c r="S30" s="115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59"/>
      <c r="AZ30" s="159"/>
      <c r="BA30" s="161"/>
      <c r="BB30" s="159"/>
      <c r="BC30" s="159"/>
      <c r="BD30" s="159"/>
    </row>
    <row r="31" spans="1:56">
      <c r="A31" s="76"/>
      <c r="B31" s="76" t="s">
        <v>37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129"/>
      <c r="S31" s="115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59"/>
      <c r="AZ31" s="159"/>
      <c r="BA31" s="161"/>
      <c r="BB31" s="159"/>
      <c r="BC31" s="159"/>
      <c r="BD31" s="159"/>
    </row>
    <row r="32" spans="1:56">
      <c r="A32" s="27"/>
      <c r="B32" s="27" t="s">
        <v>23</v>
      </c>
      <c r="C32" s="76">
        <v>100</v>
      </c>
      <c r="D32" s="76">
        <v>90</v>
      </c>
      <c r="E32" s="76">
        <v>100</v>
      </c>
      <c r="F32" s="76">
        <v>100</v>
      </c>
      <c r="G32" s="76">
        <v>90</v>
      </c>
      <c r="H32" s="76">
        <v>63</v>
      </c>
      <c r="I32" s="76">
        <v>80</v>
      </c>
      <c r="J32" s="76">
        <v>56</v>
      </c>
      <c r="K32" s="76">
        <v>17</v>
      </c>
      <c r="L32" s="76">
        <v>80</v>
      </c>
      <c r="M32" s="76">
        <v>95</v>
      </c>
      <c r="N32" s="76">
        <v>90</v>
      </c>
      <c r="O32" s="76">
        <v>95</v>
      </c>
      <c r="P32" s="76">
        <v>90</v>
      </c>
      <c r="Q32" s="76">
        <v>50</v>
      </c>
      <c r="R32" s="174">
        <f t="shared" ref="R32:R50" si="5">SUM(C32:Q32)</f>
        <v>1196</v>
      </c>
      <c r="S32" s="116">
        <f t="shared" ref="S32:S50" si="6">0.109*(R32/COLUMNS(C32:Q32))</f>
        <v>8.6909333333333336</v>
      </c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59"/>
      <c r="AZ32" s="159"/>
      <c r="BA32" s="160"/>
      <c r="BB32" s="159"/>
      <c r="BC32" s="159"/>
      <c r="BD32" s="159"/>
    </row>
    <row r="33" spans="1:56">
      <c r="A33" s="27"/>
      <c r="B33" s="27" t="s">
        <v>24</v>
      </c>
      <c r="C33" s="24"/>
      <c r="D33" s="76">
        <v>10</v>
      </c>
      <c r="E33" s="76"/>
      <c r="F33" s="76"/>
      <c r="G33" s="76">
        <v>10</v>
      </c>
      <c r="H33" s="76">
        <v>37</v>
      </c>
      <c r="I33" s="76">
        <v>20</v>
      </c>
      <c r="J33" s="76">
        <v>44</v>
      </c>
      <c r="K33" s="76">
        <v>83</v>
      </c>
      <c r="L33" s="76">
        <v>20</v>
      </c>
      <c r="M33" s="76">
        <v>5</v>
      </c>
      <c r="N33" s="76">
        <v>10</v>
      </c>
      <c r="O33" s="76">
        <v>5</v>
      </c>
      <c r="P33" s="76">
        <v>10</v>
      </c>
      <c r="Q33" s="76">
        <v>50</v>
      </c>
      <c r="R33" s="174">
        <f t="shared" si="5"/>
        <v>304</v>
      </c>
      <c r="S33" s="116">
        <f t="shared" si="6"/>
        <v>2.2090666666666667</v>
      </c>
      <c r="T33" s="161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59"/>
      <c r="AZ33" s="159"/>
      <c r="BA33" s="160"/>
      <c r="BB33" s="159"/>
      <c r="BC33" s="159"/>
      <c r="BD33" s="159"/>
    </row>
    <row r="34" spans="1:56">
      <c r="A34" s="27"/>
      <c r="B34" s="27" t="s">
        <v>38</v>
      </c>
      <c r="C34" s="24"/>
      <c r="D34" s="24"/>
      <c r="E34" s="24"/>
      <c r="F34" s="24"/>
      <c r="G34" s="76"/>
      <c r="H34" s="76"/>
      <c r="I34" s="76"/>
      <c r="J34" s="76"/>
      <c r="K34" s="24"/>
      <c r="L34" s="76"/>
      <c r="M34" s="76"/>
      <c r="N34" s="76"/>
      <c r="O34" s="76"/>
      <c r="P34" s="76"/>
      <c r="Q34" s="76"/>
      <c r="R34" s="174">
        <f t="shared" si="5"/>
        <v>0</v>
      </c>
      <c r="S34" s="116">
        <f t="shared" si="6"/>
        <v>0</v>
      </c>
      <c r="T34" s="161"/>
      <c r="U34" s="160"/>
      <c r="V34" s="161"/>
      <c r="W34" s="160"/>
      <c r="X34" s="160"/>
      <c r="Y34" s="160"/>
      <c r="Z34" s="161"/>
      <c r="AA34" s="161"/>
      <c r="AB34" s="160"/>
      <c r="AC34" s="160"/>
      <c r="AD34" s="160"/>
      <c r="AE34" s="161"/>
      <c r="AF34" s="160"/>
      <c r="AG34" s="161"/>
      <c r="AH34" s="161"/>
      <c r="AI34" s="161"/>
      <c r="AJ34" s="160"/>
      <c r="AK34" s="160"/>
      <c r="AL34" s="160"/>
      <c r="AM34" s="160"/>
      <c r="AN34" s="160"/>
      <c r="AO34" s="160"/>
      <c r="AP34" s="160"/>
      <c r="AQ34" s="160"/>
      <c r="AR34" s="161"/>
      <c r="AS34" s="161"/>
      <c r="AT34" s="160"/>
      <c r="AU34" s="160"/>
      <c r="AV34" s="161"/>
      <c r="AW34" s="161"/>
      <c r="AX34" s="161"/>
      <c r="AY34" s="159"/>
      <c r="AZ34" s="159"/>
      <c r="BA34" s="160"/>
      <c r="BB34" s="159"/>
      <c r="BC34" s="159"/>
      <c r="BD34" s="159"/>
    </row>
    <row r="35" spans="1:56">
      <c r="A35" s="76"/>
      <c r="B35" s="76" t="s">
        <v>39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174">
        <f t="shared" si="5"/>
        <v>0</v>
      </c>
      <c r="S35" s="116">
        <f t="shared" si="6"/>
        <v>0</v>
      </c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59"/>
      <c r="AZ35" s="159"/>
      <c r="BA35" s="161"/>
      <c r="BB35" s="159"/>
      <c r="BC35" s="159"/>
      <c r="BD35" s="159"/>
    </row>
    <row r="36" spans="1:56">
      <c r="A36" s="27"/>
      <c r="B36" s="27" t="s">
        <v>23</v>
      </c>
      <c r="C36" s="76">
        <v>90</v>
      </c>
      <c r="D36" s="76">
        <v>100</v>
      </c>
      <c r="E36" s="76">
        <v>100</v>
      </c>
      <c r="F36" s="76">
        <v>100</v>
      </c>
      <c r="G36" s="76">
        <v>95</v>
      </c>
      <c r="H36" s="76">
        <v>67</v>
      </c>
      <c r="I36" s="76">
        <v>90</v>
      </c>
      <c r="J36" s="76">
        <v>56</v>
      </c>
      <c r="K36" s="76">
        <v>50</v>
      </c>
      <c r="L36" s="76">
        <v>100</v>
      </c>
      <c r="M36" s="76">
        <v>100</v>
      </c>
      <c r="N36" s="76">
        <v>90</v>
      </c>
      <c r="O36" s="76">
        <v>100</v>
      </c>
      <c r="P36" s="76">
        <v>95</v>
      </c>
      <c r="Q36" s="76">
        <v>92</v>
      </c>
      <c r="R36" s="174">
        <f t="shared" si="5"/>
        <v>1325</v>
      </c>
      <c r="S36" s="116">
        <f t="shared" si="6"/>
        <v>9.6283333333333321</v>
      </c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59"/>
      <c r="AZ36" s="159"/>
      <c r="BA36" s="160"/>
      <c r="BB36" s="159"/>
      <c r="BC36" s="159"/>
      <c r="BD36" s="159"/>
    </row>
    <row r="37" spans="1:56">
      <c r="A37" s="27"/>
      <c r="B37" s="27" t="s">
        <v>24</v>
      </c>
      <c r="C37" s="76">
        <v>10</v>
      </c>
      <c r="D37" s="76"/>
      <c r="E37" s="76"/>
      <c r="F37" s="76"/>
      <c r="G37" s="76">
        <v>5</v>
      </c>
      <c r="H37" s="76">
        <v>33</v>
      </c>
      <c r="I37" s="76">
        <v>10</v>
      </c>
      <c r="J37" s="76">
        <v>44</v>
      </c>
      <c r="K37" s="76">
        <v>50</v>
      </c>
      <c r="L37" s="76"/>
      <c r="M37" s="76"/>
      <c r="N37" s="76">
        <v>10</v>
      </c>
      <c r="O37" s="76"/>
      <c r="P37" s="76">
        <v>5</v>
      </c>
      <c r="Q37" s="76">
        <v>8</v>
      </c>
      <c r="R37" s="174">
        <f t="shared" si="5"/>
        <v>175</v>
      </c>
      <c r="S37" s="116">
        <f t="shared" si="6"/>
        <v>1.2716666666666665</v>
      </c>
      <c r="T37" s="161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59"/>
      <c r="AZ37" s="159"/>
      <c r="BA37" s="160"/>
      <c r="BB37" s="159"/>
      <c r="BC37" s="159"/>
      <c r="BD37" s="159"/>
    </row>
    <row r="38" spans="1:56">
      <c r="A38" s="27"/>
      <c r="B38" s="27" t="s">
        <v>38</v>
      </c>
      <c r="C38" s="24"/>
      <c r="D38" s="24"/>
      <c r="E38" s="76"/>
      <c r="F38" s="24"/>
      <c r="G38" s="76"/>
      <c r="H38" s="76"/>
      <c r="I38" s="76"/>
      <c r="J38" s="76"/>
      <c r="K38" s="24"/>
      <c r="L38" s="76"/>
      <c r="M38" s="76"/>
      <c r="N38" s="76"/>
      <c r="O38" s="76"/>
      <c r="P38" s="76"/>
      <c r="Q38" s="76"/>
      <c r="R38" s="174">
        <f t="shared" si="5"/>
        <v>0</v>
      </c>
      <c r="S38" s="116">
        <f t="shared" si="6"/>
        <v>0</v>
      </c>
      <c r="T38" s="161"/>
      <c r="U38" s="161"/>
      <c r="V38" s="161"/>
      <c r="W38" s="160"/>
      <c r="X38" s="160"/>
      <c r="Y38" s="160"/>
      <c r="Z38" s="161"/>
      <c r="AA38" s="161"/>
      <c r="AB38" s="160"/>
      <c r="AC38" s="160"/>
      <c r="AD38" s="160"/>
      <c r="AE38" s="161"/>
      <c r="AF38" s="160"/>
      <c r="AG38" s="161"/>
      <c r="AH38" s="161"/>
      <c r="AI38" s="161"/>
      <c r="AJ38" s="160"/>
      <c r="AK38" s="160"/>
      <c r="AL38" s="160"/>
      <c r="AM38" s="160"/>
      <c r="AN38" s="160"/>
      <c r="AO38" s="160"/>
      <c r="AP38" s="160"/>
      <c r="AQ38" s="160"/>
      <c r="AR38" s="161"/>
      <c r="AS38" s="161"/>
      <c r="AT38" s="160"/>
      <c r="AU38" s="161"/>
      <c r="AV38" s="161"/>
      <c r="AW38" s="161"/>
      <c r="AX38" s="161"/>
      <c r="AY38" s="159"/>
      <c r="AZ38" s="159"/>
      <c r="BA38" s="160"/>
      <c r="BB38" s="159"/>
      <c r="BC38" s="159"/>
      <c r="BD38" s="159"/>
    </row>
    <row r="39" spans="1:56">
      <c r="A39" s="76"/>
      <c r="B39" s="76" t="s">
        <v>40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174">
        <f t="shared" si="5"/>
        <v>0</v>
      </c>
      <c r="S39" s="116">
        <f t="shared" si="6"/>
        <v>0</v>
      </c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59"/>
      <c r="AZ39" s="159"/>
      <c r="BA39" s="161"/>
      <c r="BB39" s="159"/>
      <c r="BC39" s="159"/>
      <c r="BD39" s="159"/>
    </row>
    <row r="40" spans="1:56">
      <c r="A40" s="27"/>
      <c r="B40" s="27" t="s">
        <v>23</v>
      </c>
      <c r="C40" s="76">
        <v>90</v>
      </c>
      <c r="D40" s="76">
        <v>50</v>
      </c>
      <c r="E40" s="76">
        <v>100</v>
      </c>
      <c r="F40" s="76">
        <v>100</v>
      </c>
      <c r="G40" s="76"/>
      <c r="H40" s="76">
        <v>33</v>
      </c>
      <c r="I40" s="76"/>
      <c r="J40" s="76">
        <v>56</v>
      </c>
      <c r="K40" s="76"/>
      <c r="L40" s="76">
        <v>50</v>
      </c>
      <c r="M40" s="76">
        <v>90</v>
      </c>
      <c r="N40" s="76"/>
      <c r="O40" s="76">
        <v>95</v>
      </c>
      <c r="P40" s="76"/>
      <c r="Q40" s="76">
        <v>90</v>
      </c>
      <c r="R40" s="174">
        <f t="shared" si="5"/>
        <v>754</v>
      </c>
      <c r="S40" s="116">
        <f t="shared" si="6"/>
        <v>5.4790666666666663</v>
      </c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59"/>
      <c r="AZ40" s="159"/>
      <c r="BA40" s="160"/>
      <c r="BB40" s="159"/>
      <c r="BC40" s="159"/>
      <c r="BD40" s="159"/>
    </row>
    <row r="41" spans="1:56">
      <c r="A41" s="27"/>
      <c r="B41" s="27" t="s">
        <v>24</v>
      </c>
      <c r="C41" s="76">
        <v>10</v>
      </c>
      <c r="D41" s="76">
        <v>50</v>
      </c>
      <c r="E41" s="76"/>
      <c r="F41" s="76"/>
      <c r="G41" s="76"/>
      <c r="H41" s="76">
        <v>67</v>
      </c>
      <c r="I41" s="76"/>
      <c r="J41" s="76">
        <v>44</v>
      </c>
      <c r="K41" s="76">
        <v>100</v>
      </c>
      <c r="L41" s="76">
        <v>50</v>
      </c>
      <c r="M41" s="76">
        <v>10</v>
      </c>
      <c r="N41" s="76"/>
      <c r="O41" s="76">
        <v>5</v>
      </c>
      <c r="P41" s="76"/>
      <c r="Q41" s="76">
        <v>10</v>
      </c>
      <c r="R41" s="174">
        <f t="shared" si="5"/>
        <v>346</v>
      </c>
      <c r="S41" s="116">
        <f t="shared" si="6"/>
        <v>2.5142666666666664</v>
      </c>
      <c r="T41" s="161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59"/>
      <c r="AZ41" s="159"/>
      <c r="BA41" s="160"/>
      <c r="BB41" s="159"/>
      <c r="BC41" s="159"/>
      <c r="BD41" s="159"/>
    </row>
    <row r="42" spans="1:56">
      <c r="A42" s="27"/>
      <c r="B42" s="27" t="s">
        <v>38</v>
      </c>
      <c r="C42" s="24"/>
      <c r="D42" s="24"/>
      <c r="E42" s="76"/>
      <c r="F42" s="24"/>
      <c r="G42" s="76"/>
      <c r="H42" s="24"/>
      <c r="I42" s="76"/>
      <c r="J42" s="76"/>
      <c r="K42" s="24"/>
      <c r="L42" s="76"/>
      <c r="M42" s="76"/>
      <c r="N42" s="76"/>
      <c r="O42" s="76"/>
      <c r="P42" s="76"/>
      <c r="Q42" s="76"/>
      <c r="R42" s="174">
        <f t="shared" si="5"/>
        <v>0</v>
      </c>
      <c r="S42" s="116">
        <f t="shared" si="6"/>
        <v>0</v>
      </c>
      <c r="T42" s="161"/>
      <c r="U42" s="160"/>
      <c r="V42" s="161"/>
      <c r="W42" s="160"/>
      <c r="X42" s="160"/>
      <c r="Y42" s="160"/>
      <c r="Z42" s="161"/>
      <c r="AA42" s="161"/>
      <c r="AB42" s="160"/>
      <c r="AC42" s="160"/>
      <c r="AD42" s="160"/>
      <c r="AE42" s="161"/>
      <c r="AF42" s="160"/>
      <c r="AG42" s="161"/>
      <c r="AH42" s="161"/>
      <c r="AI42" s="161"/>
      <c r="AJ42" s="160"/>
      <c r="AK42" s="160"/>
      <c r="AL42" s="160"/>
      <c r="AM42" s="160"/>
      <c r="AN42" s="160"/>
      <c r="AO42" s="160"/>
      <c r="AP42" s="160"/>
      <c r="AQ42" s="160"/>
      <c r="AR42" s="161"/>
      <c r="AS42" s="161"/>
      <c r="AT42" s="160"/>
      <c r="AU42" s="161"/>
      <c r="AV42" s="161"/>
      <c r="AW42" s="161"/>
      <c r="AX42" s="161"/>
      <c r="AY42" s="159"/>
      <c r="AZ42" s="159"/>
      <c r="BA42" s="160"/>
      <c r="BB42" s="159"/>
      <c r="BC42" s="159"/>
      <c r="BD42" s="159"/>
    </row>
    <row r="43" spans="1:56">
      <c r="A43" s="76"/>
      <c r="B43" s="76" t="s">
        <v>41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174">
        <f t="shared" si="5"/>
        <v>0</v>
      </c>
      <c r="S43" s="116">
        <f t="shared" si="6"/>
        <v>0</v>
      </c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59"/>
      <c r="AZ43" s="159"/>
      <c r="BA43" s="161"/>
      <c r="BB43" s="159"/>
      <c r="BC43" s="159"/>
      <c r="BD43" s="159"/>
    </row>
    <row r="44" spans="1:56">
      <c r="A44" s="27"/>
      <c r="B44" s="27" t="s">
        <v>23</v>
      </c>
      <c r="C44" s="76">
        <v>90</v>
      </c>
      <c r="D44" s="76">
        <v>100</v>
      </c>
      <c r="E44" s="76">
        <v>100</v>
      </c>
      <c r="F44" s="76">
        <v>90</v>
      </c>
      <c r="G44" s="76">
        <v>100</v>
      </c>
      <c r="H44" s="76">
        <v>50</v>
      </c>
      <c r="I44" s="76">
        <v>70</v>
      </c>
      <c r="J44" s="76">
        <v>73</v>
      </c>
      <c r="K44" s="76">
        <v>50</v>
      </c>
      <c r="L44" s="76">
        <v>90</v>
      </c>
      <c r="M44" s="76">
        <v>100</v>
      </c>
      <c r="N44" s="76">
        <v>100</v>
      </c>
      <c r="O44" s="76">
        <v>90</v>
      </c>
      <c r="P44" s="76">
        <v>90</v>
      </c>
      <c r="Q44" s="76">
        <v>50</v>
      </c>
      <c r="R44" s="174">
        <f t="shared" si="5"/>
        <v>1243</v>
      </c>
      <c r="S44" s="116">
        <f t="shared" si="6"/>
        <v>9.0324666666666662</v>
      </c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59"/>
      <c r="AZ44" s="159"/>
      <c r="BA44" s="160"/>
      <c r="BB44" s="159"/>
      <c r="BC44" s="159"/>
      <c r="BD44" s="159"/>
    </row>
    <row r="45" spans="1:56">
      <c r="A45" s="27"/>
      <c r="B45" s="27" t="s">
        <v>24</v>
      </c>
      <c r="C45" s="76">
        <v>10</v>
      </c>
      <c r="D45" s="76"/>
      <c r="E45" s="76"/>
      <c r="F45" s="76">
        <v>10</v>
      </c>
      <c r="G45" s="76"/>
      <c r="H45" s="76">
        <v>50</v>
      </c>
      <c r="I45" s="76">
        <v>30</v>
      </c>
      <c r="J45" s="76">
        <v>18</v>
      </c>
      <c r="K45" s="76">
        <v>50</v>
      </c>
      <c r="L45" s="76">
        <v>10</v>
      </c>
      <c r="M45" s="76"/>
      <c r="N45" s="76"/>
      <c r="O45" s="76">
        <v>10</v>
      </c>
      <c r="P45" s="76">
        <v>10</v>
      </c>
      <c r="Q45" s="76">
        <v>50</v>
      </c>
      <c r="R45" s="174">
        <f t="shared" si="5"/>
        <v>248</v>
      </c>
      <c r="S45" s="116">
        <f t="shared" si="6"/>
        <v>1.8021333333333336</v>
      </c>
      <c r="T45" s="161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1"/>
      <c r="AS45" s="160"/>
      <c r="AT45" s="160"/>
      <c r="AU45" s="160"/>
      <c r="AV45" s="160"/>
      <c r="AW45" s="160"/>
      <c r="AX45" s="160"/>
      <c r="AY45" s="159"/>
      <c r="AZ45" s="159"/>
      <c r="BA45" s="160"/>
      <c r="BB45" s="159"/>
      <c r="BC45" s="159"/>
      <c r="BD45" s="159"/>
    </row>
    <row r="46" spans="1:56">
      <c r="A46" s="27"/>
      <c r="B46" s="27" t="s">
        <v>38</v>
      </c>
      <c r="C46" s="24"/>
      <c r="D46" s="24"/>
      <c r="E46" s="24"/>
      <c r="F46" s="24"/>
      <c r="G46" s="76"/>
      <c r="H46" s="76"/>
      <c r="I46" s="76"/>
      <c r="J46" s="76">
        <v>9</v>
      </c>
      <c r="K46" s="24"/>
      <c r="L46" s="76"/>
      <c r="M46" s="76"/>
      <c r="N46" s="76"/>
      <c r="O46" s="76"/>
      <c r="P46" s="76"/>
      <c r="Q46" s="76"/>
      <c r="R46" s="174">
        <f t="shared" si="5"/>
        <v>9</v>
      </c>
      <c r="S46" s="116">
        <f t="shared" si="6"/>
        <v>6.54E-2</v>
      </c>
      <c r="T46" s="161"/>
      <c r="U46" s="161"/>
      <c r="V46" s="161"/>
      <c r="W46" s="160"/>
      <c r="X46" s="160"/>
      <c r="Y46" s="160"/>
      <c r="Z46" s="161"/>
      <c r="AA46" s="161"/>
      <c r="AB46" s="160"/>
      <c r="AC46" s="160"/>
      <c r="AD46" s="161"/>
      <c r="AE46" s="161"/>
      <c r="AF46" s="160"/>
      <c r="AG46" s="161"/>
      <c r="AH46" s="161"/>
      <c r="AI46" s="161"/>
      <c r="AJ46" s="160"/>
      <c r="AK46" s="160"/>
      <c r="AL46" s="160"/>
      <c r="AM46" s="160"/>
      <c r="AN46" s="160"/>
      <c r="AO46" s="160"/>
      <c r="AP46" s="160"/>
      <c r="AQ46" s="160"/>
      <c r="AR46" s="161"/>
      <c r="AS46" s="161"/>
      <c r="AT46" s="160"/>
      <c r="AU46" s="161"/>
      <c r="AV46" s="161"/>
      <c r="AW46" s="161"/>
      <c r="AX46" s="161"/>
      <c r="AY46" s="159"/>
      <c r="AZ46" s="159"/>
      <c r="BA46" s="160"/>
      <c r="BB46" s="159"/>
      <c r="BC46" s="159"/>
      <c r="BD46" s="159"/>
    </row>
    <row r="47" spans="1:56">
      <c r="A47" s="76"/>
      <c r="B47" s="76" t="s">
        <v>42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174">
        <f t="shared" si="5"/>
        <v>0</v>
      </c>
      <c r="S47" s="116">
        <f t="shared" si="6"/>
        <v>0</v>
      </c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59"/>
      <c r="AZ47" s="159"/>
      <c r="BA47" s="161"/>
      <c r="BB47" s="159"/>
      <c r="BC47" s="159"/>
      <c r="BD47" s="159"/>
    </row>
    <row r="48" spans="1:56">
      <c r="A48" s="27"/>
      <c r="B48" s="27" t="s">
        <v>23</v>
      </c>
      <c r="C48" s="76">
        <v>80</v>
      </c>
      <c r="D48" s="76">
        <v>70</v>
      </c>
      <c r="E48" s="76">
        <v>70</v>
      </c>
      <c r="F48" s="76">
        <v>95</v>
      </c>
      <c r="G48" s="76">
        <v>90</v>
      </c>
      <c r="H48" s="76">
        <v>33</v>
      </c>
      <c r="I48" s="76">
        <v>50</v>
      </c>
      <c r="J48" s="76">
        <v>20</v>
      </c>
      <c r="K48" s="76">
        <v>33</v>
      </c>
      <c r="L48" s="76">
        <v>90</v>
      </c>
      <c r="M48" s="76">
        <v>100</v>
      </c>
      <c r="N48" s="76">
        <v>60</v>
      </c>
      <c r="O48" s="76">
        <v>80</v>
      </c>
      <c r="P48" s="76">
        <v>70</v>
      </c>
      <c r="Q48" s="76">
        <v>30</v>
      </c>
      <c r="R48" s="174">
        <f t="shared" si="5"/>
        <v>971</v>
      </c>
      <c r="S48" s="116">
        <f t="shared" si="6"/>
        <v>7.0559333333333338</v>
      </c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59"/>
      <c r="AZ48" s="159"/>
      <c r="BA48" s="160"/>
      <c r="BB48" s="159"/>
      <c r="BC48" s="159"/>
      <c r="BD48" s="159"/>
    </row>
    <row r="49" spans="1:56">
      <c r="A49" s="27"/>
      <c r="B49" s="27" t="s">
        <v>24</v>
      </c>
      <c r="C49" s="76">
        <v>20</v>
      </c>
      <c r="D49" s="76">
        <v>30</v>
      </c>
      <c r="E49" s="76">
        <v>30</v>
      </c>
      <c r="F49" s="76">
        <v>5</v>
      </c>
      <c r="G49" s="76">
        <v>10</v>
      </c>
      <c r="H49" s="76">
        <v>67</v>
      </c>
      <c r="I49" s="76">
        <v>50</v>
      </c>
      <c r="J49" s="76">
        <v>67</v>
      </c>
      <c r="K49" s="76">
        <v>67</v>
      </c>
      <c r="L49" s="76">
        <v>10</v>
      </c>
      <c r="M49" s="76"/>
      <c r="N49" s="76">
        <v>40</v>
      </c>
      <c r="O49" s="76">
        <v>20</v>
      </c>
      <c r="P49" s="76">
        <v>30</v>
      </c>
      <c r="Q49" s="76">
        <v>70</v>
      </c>
      <c r="R49" s="174">
        <f t="shared" si="5"/>
        <v>516</v>
      </c>
      <c r="S49" s="116">
        <f t="shared" si="6"/>
        <v>3.7496</v>
      </c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59"/>
      <c r="AZ49" s="159"/>
      <c r="BA49" s="160"/>
      <c r="BB49" s="159"/>
      <c r="BC49" s="159"/>
      <c r="BD49" s="159"/>
    </row>
    <row r="50" spans="1:56">
      <c r="A50" s="27"/>
      <c r="B50" s="27" t="s">
        <v>38</v>
      </c>
      <c r="C50" s="24"/>
      <c r="D50" s="24"/>
      <c r="E50" s="76"/>
      <c r="F50" s="24"/>
      <c r="G50" s="76"/>
      <c r="H50" s="76"/>
      <c r="I50" s="76"/>
      <c r="J50" s="76">
        <v>13</v>
      </c>
      <c r="K50" s="24"/>
      <c r="L50" s="76"/>
      <c r="M50" s="76"/>
      <c r="N50" s="76"/>
      <c r="O50" s="76"/>
      <c r="P50" s="76"/>
      <c r="Q50" s="76"/>
      <c r="R50" s="174">
        <f t="shared" si="5"/>
        <v>13</v>
      </c>
      <c r="S50" s="116">
        <f t="shared" si="6"/>
        <v>9.4466666666666671E-2</v>
      </c>
      <c r="T50" s="161"/>
      <c r="U50" s="161"/>
      <c r="V50" s="161"/>
      <c r="W50" s="160"/>
      <c r="X50" s="160"/>
      <c r="Y50" s="160"/>
      <c r="Z50" s="161"/>
      <c r="AA50" s="161"/>
      <c r="AB50" s="160"/>
      <c r="AC50" s="160"/>
      <c r="AD50" s="160"/>
      <c r="AE50" s="161"/>
      <c r="AF50" s="160"/>
      <c r="AG50" s="161"/>
      <c r="AH50" s="161"/>
      <c r="AI50" s="161"/>
      <c r="AJ50" s="160"/>
      <c r="AK50" s="160"/>
      <c r="AL50" s="160"/>
      <c r="AM50" s="160"/>
      <c r="AN50" s="160"/>
      <c r="AO50" s="160"/>
      <c r="AP50" s="160"/>
      <c r="AQ50" s="160"/>
      <c r="AR50" s="161"/>
      <c r="AS50" s="161"/>
      <c r="AT50" s="160"/>
      <c r="AU50" s="161"/>
      <c r="AV50" s="161"/>
      <c r="AW50" s="161"/>
      <c r="AX50" s="161"/>
      <c r="AY50" s="159"/>
      <c r="AZ50" s="159"/>
      <c r="BA50" s="160"/>
      <c r="BB50" s="159"/>
      <c r="BC50" s="159"/>
      <c r="BD50" s="159"/>
    </row>
    <row r="51" spans="1:56">
      <c r="A51" s="29"/>
      <c r="B51" s="29" t="s">
        <v>32</v>
      </c>
      <c r="C51" s="30">
        <f t="shared" ref="C51:Q51" si="7">0.109*(C32+C36+C40+C44+C48)</f>
        <v>49.05</v>
      </c>
      <c r="D51" s="30">
        <f t="shared" si="7"/>
        <v>44.69</v>
      </c>
      <c r="E51" s="30">
        <f t="shared" si="7"/>
        <v>51.23</v>
      </c>
      <c r="F51" s="30">
        <f t="shared" si="7"/>
        <v>52.865000000000002</v>
      </c>
      <c r="G51" s="30">
        <f t="shared" si="7"/>
        <v>40.875</v>
      </c>
      <c r="H51" s="30">
        <f t="shared" si="7"/>
        <v>26.814</v>
      </c>
      <c r="I51" s="30">
        <f t="shared" si="7"/>
        <v>31.61</v>
      </c>
      <c r="J51" s="30">
        <f t="shared" si="7"/>
        <v>28.449000000000002</v>
      </c>
      <c r="K51" s="30">
        <f t="shared" si="7"/>
        <v>16.350000000000001</v>
      </c>
      <c r="L51" s="30">
        <f t="shared" si="7"/>
        <v>44.69</v>
      </c>
      <c r="M51" s="30">
        <f t="shared" si="7"/>
        <v>52.865000000000002</v>
      </c>
      <c r="N51" s="30">
        <f t="shared" si="7"/>
        <v>37.06</v>
      </c>
      <c r="O51" s="30">
        <f t="shared" si="7"/>
        <v>50.14</v>
      </c>
      <c r="P51" s="30">
        <f t="shared" si="7"/>
        <v>37.604999999999997</v>
      </c>
      <c r="Q51" s="30">
        <f t="shared" si="7"/>
        <v>34.008000000000003</v>
      </c>
      <c r="R51" s="175">
        <f>AVERAGE(C51:Q51)</f>
        <v>39.886733333333346</v>
      </c>
      <c r="S51" s="30">
        <f t="shared" ref="S51:S52" si="8">S32+S36+S40+S44+S48</f>
        <v>39.886733333333332</v>
      </c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59"/>
      <c r="AZ51" s="159"/>
      <c r="BA51" s="161"/>
      <c r="BB51" s="159"/>
      <c r="BC51" s="159"/>
      <c r="BD51" s="159"/>
    </row>
    <row r="52" spans="1:56">
      <c r="A52" s="27"/>
      <c r="B52" s="27" t="s">
        <v>33</v>
      </c>
      <c r="C52" s="24">
        <f t="shared" ref="C52:Q52" si="9">0.109*(C33+C37+C41+C45+C49)</f>
        <v>5.45</v>
      </c>
      <c r="D52" s="24">
        <f t="shared" si="9"/>
        <v>9.81</v>
      </c>
      <c r="E52" s="24">
        <f t="shared" si="9"/>
        <v>3.27</v>
      </c>
      <c r="F52" s="24">
        <f t="shared" si="9"/>
        <v>1.635</v>
      </c>
      <c r="G52" s="24">
        <f t="shared" si="9"/>
        <v>2.7250000000000001</v>
      </c>
      <c r="H52" s="24">
        <f t="shared" si="9"/>
        <v>27.686</v>
      </c>
      <c r="I52" s="24">
        <f t="shared" si="9"/>
        <v>11.99</v>
      </c>
      <c r="J52" s="24">
        <f t="shared" si="9"/>
        <v>23.652999999999999</v>
      </c>
      <c r="K52" s="24">
        <f t="shared" si="9"/>
        <v>38.15</v>
      </c>
      <c r="L52" s="24">
        <f t="shared" si="9"/>
        <v>9.81</v>
      </c>
      <c r="M52" s="24">
        <f t="shared" si="9"/>
        <v>1.635</v>
      </c>
      <c r="N52" s="24">
        <f t="shared" si="9"/>
        <v>6.54</v>
      </c>
      <c r="O52" s="24">
        <f t="shared" si="9"/>
        <v>4.3600000000000003</v>
      </c>
      <c r="P52" s="24">
        <f t="shared" si="9"/>
        <v>5.9950000000000001</v>
      </c>
      <c r="Q52" s="24">
        <f t="shared" si="9"/>
        <v>20.492000000000001</v>
      </c>
      <c r="R52" s="129">
        <f>AVERAGE(C52:Q52)</f>
        <v>11.546733333333332</v>
      </c>
      <c r="S52" s="115">
        <f t="shared" si="8"/>
        <v>11.546733333333332</v>
      </c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59"/>
      <c r="AZ52" s="159"/>
      <c r="BA52" s="161"/>
      <c r="BB52" s="159"/>
      <c r="BC52" s="159"/>
      <c r="BD52" s="159"/>
    </row>
    <row r="53" spans="1:56">
      <c r="A53" s="34"/>
      <c r="B53" s="34" t="s">
        <v>34</v>
      </c>
      <c r="C53" s="35">
        <f t="shared" ref="C53:Q53" si="10">C51-C52</f>
        <v>43.599999999999994</v>
      </c>
      <c r="D53" s="35">
        <f t="shared" si="10"/>
        <v>34.879999999999995</v>
      </c>
      <c r="E53" s="35">
        <f t="shared" si="10"/>
        <v>47.959999999999994</v>
      </c>
      <c r="F53" s="35">
        <f t="shared" si="10"/>
        <v>51.230000000000004</v>
      </c>
      <c r="G53" s="35">
        <f t="shared" si="10"/>
        <v>38.15</v>
      </c>
      <c r="H53" s="35">
        <f t="shared" si="10"/>
        <v>-0.87199999999999989</v>
      </c>
      <c r="I53" s="35">
        <f t="shared" si="10"/>
        <v>19.619999999999997</v>
      </c>
      <c r="J53" s="35">
        <f t="shared" si="10"/>
        <v>4.7960000000000029</v>
      </c>
      <c r="K53" s="35">
        <f t="shared" si="10"/>
        <v>-21.799999999999997</v>
      </c>
      <c r="L53" s="35">
        <f t="shared" si="10"/>
        <v>34.879999999999995</v>
      </c>
      <c r="M53" s="35">
        <f t="shared" si="10"/>
        <v>51.230000000000004</v>
      </c>
      <c r="N53" s="35">
        <f t="shared" si="10"/>
        <v>30.520000000000003</v>
      </c>
      <c r="O53" s="35">
        <f t="shared" si="10"/>
        <v>45.78</v>
      </c>
      <c r="P53" s="35">
        <f t="shared" si="10"/>
        <v>31.609999999999996</v>
      </c>
      <c r="Q53" s="35">
        <f t="shared" si="10"/>
        <v>13.516000000000002</v>
      </c>
      <c r="R53" s="176">
        <f>AVERAGE(C53:Q53)</f>
        <v>28.339999999999996</v>
      </c>
      <c r="S53" s="35">
        <f>S51-S52</f>
        <v>28.34</v>
      </c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59"/>
      <c r="AZ53" s="159"/>
      <c r="BA53" s="161"/>
      <c r="BB53" s="159"/>
      <c r="BC53" s="159"/>
      <c r="BD53" s="159"/>
    </row>
    <row r="54" spans="1:56">
      <c r="A54" s="38" t="s">
        <v>43</v>
      </c>
      <c r="B54" s="39" t="s">
        <v>44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177"/>
      <c r="S54" s="117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59"/>
      <c r="AZ54" s="159"/>
      <c r="BA54" s="161"/>
      <c r="BB54" s="159"/>
      <c r="BC54" s="159"/>
      <c r="BD54" s="159"/>
    </row>
    <row r="55" spans="1:56">
      <c r="A55" s="38"/>
      <c r="B55" s="77" t="s">
        <v>45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177"/>
      <c r="S55" s="117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59"/>
      <c r="AZ55" s="159"/>
      <c r="BA55" s="161"/>
      <c r="BB55" s="159"/>
      <c r="BC55" s="159"/>
      <c r="BD55" s="159"/>
    </row>
    <row r="56" spans="1:56">
      <c r="A56" s="43"/>
      <c r="B56" s="43" t="s">
        <v>23</v>
      </c>
      <c r="C56" s="77">
        <v>6</v>
      </c>
      <c r="D56" s="77">
        <v>4</v>
      </c>
      <c r="E56" s="77">
        <v>6</v>
      </c>
      <c r="F56" s="77">
        <v>6</v>
      </c>
      <c r="G56" s="77">
        <v>6</v>
      </c>
      <c r="H56" s="77">
        <v>6</v>
      </c>
      <c r="I56" s="77">
        <v>6</v>
      </c>
      <c r="J56" s="77">
        <v>6</v>
      </c>
      <c r="K56" s="77">
        <v>6</v>
      </c>
      <c r="L56" s="77">
        <v>6</v>
      </c>
      <c r="M56" s="77">
        <v>6</v>
      </c>
      <c r="N56" s="77">
        <v>6</v>
      </c>
      <c r="O56" s="77">
        <v>6</v>
      </c>
      <c r="P56" s="77">
        <v>6</v>
      </c>
      <c r="Q56" s="77">
        <v>5</v>
      </c>
      <c r="R56" s="177">
        <f t="shared" ref="R56:R66" si="11">SUM(C56:Q56)</f>
        <v>87</v>
      </c>
      <c r="S56" s="118">
        <f t="shared" ref="S56:S66" si="12">2.27*(R56/COLUMNS(C56:Q56))</f>
        <v>13.166</v>
      </c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59"/>
      <c r="AZ56" s="159"/>
      <c r="BA56" s="160"/>
      <c r="BB56" s="159"/>
      <c r="BC56" s="159"/>
      <c r="BD56" s="159"/>
    </row>
    <row r="57" spans="1:56">
      <c r="A57" s="43"/>
      <c r="B57" s="43" t="s">
        <v>24</v>
      </c>
      <c r="C57" s="77">
        <v>6</v>
      </c>
      <c r="D57" s="77">
        <v>6</v>
      </c>
      <c r="E57" s="77">
        <v>3</v>
      </c>
      <c r="F57" s="77">
        <v>6</v>
      </c>
      <c r="G57" s="77">
        <v>6</v>
      </c>
      <c r="H57" s="77">
        <v>6</v>
      </c>
      <c r="I57" s="77">
        <v>6</v>
      </c>
      <c r="J57" s="77">
        <v>6</v>
      </c>
      <c r="K57" s="77">
        <v>6</v>
      </c>
      <c r="L57" s="77">
        <v>6</v>
      </c>
      <c r="M57" s="77">
        <v>2</v>
      </c>
      <c r="N57" s="77">
        <v>6</v>
      </c>
      <c r="O57" s="77">
        <v>6</v>
      </c>
      <c r="P57" s="77">
        <v>6</v>
      </c>
      <c r="Q57" s="77">
        <v>4</v>
      </c>
      <c r="R57" s="177">
        <f t="shared" si="11"/>
        <v>81</v>
      </c>
      <c r="S57" s="118">
        <f t="shared" si="12"/>
        <v>12.258000000000001</v>
      </c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59"/>
      <c r="AZ57" s="159"/>
      <c r="BA57" s="160"/>
      <c r="BB57" s="159"/>
      <c r="BC57" s="159"/>
      <c r="BD57" s="159"/>
    </row>
    <row r="58" spans="1:56">
      <c r="A58" s="77"/>
      <c r="B58" s="77" t="s">
        <v>46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177">
        <f t="shared" si="11"/>
        <v>0</v>
      </c>
      <c r="S58" s="118">
        <f t="shared" si="12"/>
        <v>0</v>
      </c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59"/>
      <c r="AZ58" s="159"/>
      <c r="BA58" s="161"/>
      <c r="BB58" s="159"/>
      <c r="BC58" s="159"/>
      <c r="BD58" s="159"/>
    </row>
    <row r="59" spans="1:56">
      <c r="A59" s="43"/>
      <c r="B59" s="43" t="s">
        <v>23</v>
      </c>
      <c r="C59" s="77">
        <v>6</v>
      </c>
      <c r="D59" s="77">
        <v>6</v>
      </c>
      <c r="E59" s="77">
        <v>6</v>
      </c>
      <c r="F59" s="77">
        <v>6</v>
      </c>
      <c r="G59" s="77">
        <v>6</v>
      </c>
      <c r="H59" s="77">
        <v>6</v>
      </c>
      <c r="I59" s="77">
        <v>6</v>
      </c>
      <c r="J59" s="77">
        <v>6</v>
      </c>
      <c r="K59" s="77">
        <v>6</v>
      </c>
      <c r="L59" s="77">
        <v>6</v>
      </c>
      <c r="M59" s="77">
        <v>6</v>
      </c>
      <c r="N59" s="77">
        <v>6</v>
      </c>
      <c r="O59" s="77">
        <v>6</v>
      </c>
      <c r="P59" s="77">
        <v>6</v>
      </c>
      <c r="Q59" s="77">
        <v>6</v>
      </c>
      <c r="R59" s="177">
        <f t="shared" si="11"/>
        <v>90</v>
      </c>
      <c r="S59" s="118">
        <f t="shared" si="12"/>
        <v>13.620000000000001</v>
      </c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59"/>
      <c r="AZ59" s="159"/>
      <c r="BA59" s="160"/>
      <c r="BB59" s="159"/>
      <c r="BC59" s="159"/>
      <c r="BD59" s="159"/>
    </row>
    <row r="60" spans="1:56">
      <c r="A60" s="43"/>
      <c r="B60" s="43" t="s">
        <v>24</v>
      </c>
      <c r="C60" s="77">
        <v>6</v>
      </c>
      <c r="D60" s="77">
        <v>6</v>
      </c>
      <c r="E60" s="77">
        <v>4</v>
      </c>
      <c r="F60" s="77">
        <v>6</v>
      </c>
      <c r="G60" s="77">
        <v>6</v>
      </c>
      <c r="H60" s="77">
        <v>6</v>
      </c>
      <c r="I60" s="77">
        <v>6</v>
      </c>
      <c r="J60" s="77">
        <v>6</v>
      </c>
      <c r="K60" s="77">
        <v>6</v>
      </c>
      <c r="L60" s="77">
        <v>6</v>
      </c>
      <c r="M60" s="77">
        <v>3</v>
      </c>
      <c r="N60" s="77">
        <v>6</v>
      </c>
      <c r="O60" s="77">
        <v>6</v>
      </c>
      <c r="P60" s="77">
        <v>6</v>
      </c>
      <c r="Q60" s="77">
        <v>6</v>
      </c>
      <c r="R60" s="177">
        <f t="shared" si="11"/>
        <v>85</v>
      </c>
      <c r="S60" s="118">
        <f t="shared" si="12"/>
        <v>12.863333333333333</v>
      </c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59"/>
      <c r="AZ60" s="159"/>
      <c r="BA60" s="160"/>
      <c r="BB60" s="159"/>
      <c r="BC60" s="159"/>
      <c r="BD60" s="159"/>
    </row>
    <row r="61" spans="1:56">
      <c r="A61" s="77"/>
      <c r="B61" s="77" t="s">
        <v>47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177">
        <f t="shared" si="11"/>
        <v>0</v>
      </c>
      <c r="S61" s="118">
        <f t="shared" si="12"/>
        <v>0</v>
      </c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59"/>
      <c r="AZ61" s="159"/>
      <c r="BA61" s="161"/>
      <c r="BB61" s="159"/>
      <c r="BC61" s="159"/>
      <c r="BD61" s="159"/>
    </row>
    <row r="62" spans="1:56">
      <c r="A62" s="43"/>
      <c r="B62" s="43" t="s">
        <v>23</v>
      </c>
      <c r="C62" s="77">
        <v>6</v>
      </c>
      <c r="D62" s="77">
        <v>5</v>
      </c>
      <c r="E62" s="77">
        <v>6</v>
      </c>
      <c r="F62" s="77">
        <v>6</v>
      </c>
      <c r="G62" s="77">
        <v>6</v>
      </c>
      <c r="H62" s="77">
        <v>5</v>
      </c>
      <c r="I62" s="77">
        <v>6</v>
      </c>
      <c r="J62" s="77">
        <v>6</v>
      </c>
      <c r="K62" s="77">
        <v>6</v>
      </c>
      <c r="L62" s="77">
        <v>6</v>
      </c>
      <c r="M62" s="77">
        <v>6</v>
      </c>
      <c r="N62" s="77">
        <v>6</v>
      </c>
      <c r="O62" s="77">
        <v>6</v>
      </c>
      <c r="P62" s="77">
        <v>6</v>
      </c>
      <c r="Q62" s="77">
        <v>6</v>
      </c>
      <c r="R62" s="177">
        <f t="shared" si="11"/>
        <v>88</v>
      </c>
      <c r="S62" s="118">
        <f t="shared" si="12"/>
        <v>13.317333333333332</v>
      </c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59"/>
      <c r="AZ62" s="159"/>
      <c r="BA62" s="160"/>
      <c r="BB62" s="159"/>
      <c r="BC62" s="159"/>
      <c r="BD62" s="159"/>
    </row>
    <row r="63" spans="1:56">
      <c r="A63" s="43"/>
      <c r="B63" s="43" t="s">
        <v>24</v>
      </c>
      <c r="C63" s="77">
        <v>6</v>
      </c>
      <c r="D63" s="77">
        <v>6</v>
      </c>
      <c r="E63" s="77">
        <v>4</v>
      </c>
      <c r="F63" s="77">
        <v>6</v>
      </c>
      <c r="G63" s="77">
        <v>6</v>
      </c>
      <c r="H63" s="77">
        <v>6</v>
      </c>
      <c r="I63" s="77">
        <v>6</v>
      </c>
      <c r="J63" s="77">
        <v>6</v>
      </c>
      <c r="K63" s="77">
        <v>6</v>
      </c>
      <c r="L63" s="77">
        <v>6</v>
      </c>
      <c r="M63" s="77">
        <v>3</v>
      </c>
      <c r="N63" s="77">
        <v>6</v>
      </c>
      <c r="O63" s="77">
        <v>6</v>
      </c>
      <c r="P63" s="77">
        <v>6</v>
      </c>
      <c r="Q63" s="77">
        <v>6</v>
      </c>
      <c r="R63" s="177">
        <f t="shared" si="11"/>
        <v>85</v>
      </c>
      <c r="S63" s="118">
        <f t="shared" si="12"/>
        <v>12.863333333333333</v>
      </c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59"/>
      <c r="AZ63" s="159"/>
      <c r="BA63" s="160"/>
      <c r="BB63" s="159"/>
      <c r="BC63" s="159"/>
      <c r="BD63" s="159"/>
    </row>
    <row r="64" spans="1:56">
      <c r="A64" s="77"/>
      <c r="B64" s="77" t="s">
        <v>48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177">
        <f t="shared" si="11"/>
        <v>0</v>
      </c>
      <c r="S64" s="118">
        <f t="shared" si="12"/>
        <v>0</v>
      </c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59"/>
      <c r="AZ64" s="159"/>
      <c r="BA64" s="161"/>
      <c r="BB64" s="159"/>
      <c r="BC64" s="159"/>
      <c r="BD64" s="159"/>
    </row>
    <row r="65" spans="1:56">
      <c r="A65" s="43"/>
      <c r="B65" s="43" t="s">
        <v>23</v>
      </c>
      <c r="C65" s="77">
        <v>6</v>
      </c>
      <c r="D65" s="77">
        <v>6</v>
      </c>
      <c r="E65" s="77">
        <v>6</v>
      </c>
      <c r="F65" s="77">
        <v>6</v>
      </c>
      <c r="G65" s="77">
        <v>6</v>
      </c>
      <c r="H65" s="77">
        <v>5</v>
      </c>
      <c r="I65" s="77">
        <v>6</v>
      </c>
      <c r="J65" s="77">
        <v>6</v>
      </c>
      <c r="K65" s="77">
        <v>6</v>
      </c>
      <c r="L65" s="77">
        <v>6</v>
      </c>
      <c r="M65" s="77">
        <v>6</v>
      </c>
      <c r="N65" s="77">
        <v>6</v>
      </c>
      <c r="O65" s="77">
        <v>6</v>
      </c>
      <c r="P65" s="77">
        <v>6</v>
      </c>
      <c r="Q65" s="77">
        <v>6</v>
      </c>
      <c r="R65" s="177">
        <f t="shared" si="11"/>
        <v>89</v>
      </c>
      <c r="S65" s="118">
        <f t="shared" si="12"/>
        <v>13.468666666666667</v>
      </c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59"/>
      <c r="AZ65" s="159"/>
      <c r="BA65" s="160"/>
      <c r="BB65" s="159"/>
      <c r="BC65" s="159"/>
      <c r="BD65" s="159"/>
    </row>
    <row r="66" spans="1:56">
      <c r="A66" s="43"/>
      <c r="B66" s="43" t="s">
        <v>24</v>
      </c>
      <c r="C66" s="77">
        <v>6</v>
      </c>
      <c r="D66" s="77">
        <v>6</v>
      </c>
      <c r="E66" s="77">
        <v>5</v>
      </c>
      <c r="F66" s="77">
        <v>6</v>
      </c>
      <c r="G66" s="77">
        <v>6</v>
      </c>
      <c r="H66" s="77">
        <v>6</v>
      </c>
      <c r="I66" s="77">
        <v>6</v>
      </c>
      <c r="J66" s="77">
        <v>6</v>
      </c>
      <c r="K66" s="77">
        <v>6</v>
      </c>
      <c r="L66" s="77">
        <v>6</v>
      </c>
      <c r="M66" s="77">
        <v>3</v>
      </c>
      <c r="N66" s="77">
        <v>6</v>
      </c>
      <c r="O66" s="77">
        <v>6</v>
      </c>
      <c r="P66" s="77">
        <v>6</v>
      </c>
      <c r="Q66" s="77">
        <v>6</v>
      </c>
      <c r="R66" s="177">
        <f t="shared" si="11"/>
        <v>86</v>
      </c>
      <c r="S66" s="118">
        <f t="shared" si="12"/>
        <v>13.014666666666667</v>
      </c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59"/>
      <c r="AZ66" s="159"/>
      <c r="BA66" s="160"/>
      <c r="BB66" s="159"/>
      <c r="BC66" s="159"/>
      <c r="BD66" s="159"/>
    </row>
    <row r="67" spans="1:56">
      <c r="A67" s="44"/>
      <c r="B67" s="44" t="s">
        <v>32</v>
      </c>
      <c r="C67" s="45">
        <f t="shared" ref="C67:Q67" si="13">2.27*(C56+C59+C62+C65)</f>
        <v>54.480000000000004</v>
      </c>
      <c r="D67" s="45">
        <f t="shared" si="13"/>
        <v>47.67</v>
      </c>
      <c r="E67" s="45">
        <f t="shared" si="13"/>
        <v>54.480000000000004</v>
      </c>
      <c r="F67" s="45">
        <f t="shared" si="13"/>
        <v>54.480000000000004</v>
      </c>
      <c r="G67" s="45">
        <f t="shared" si="13"/>
        <v>54.480000000000004</v>
      </c>
      <c r="H67" s="45">
        <f t="shared" si="13"/>
        <v>49.94</v>
      </c>
      <c r="I67" s="45">
        <f t="shared" si="13"/>
        <v>54.480000000000004</v>
      </c>
      <c r="J67" s="45">
        <f t="shared" si="13"/>
        <v>54.480000000000004</v>
      </c>
      <c r="K67" s="45">
        <f t="shared" si="13"/>
        <v>54.480000000000004</v>
      </c>
      <c r="L67" s="45">
        <f t="shared" si="13"/>
        <v>54.480000000000004</v>
      </c>
      <c r="M67" s="45">
        <f t="shared" si="13"/>
        <v>54.480000000000004</v>
      </c>
      <c r="N67" s="45">
        <f t="shared" si="13"/>
        <v>54.480000000000004</v>
      </c>
      <c r="O67" s="45">
        <f t="shared" si="13"/>
        <v>54.480000000000004</v>
      </c>
      <c r="P67" s="45">
        <f t="shared" si="13"/>
        <v>54.480000000000004</v>
      </c>
      <c r="Q67" s="45">
        <f t="shared" si="13"/>
        <v>52.21</v>
      </c>
      <c r="R67" s="178">
        <f>AVERAGE(C67:Q67)</f>
        <v>53.57200000000001</v>
      </c>
      <c r="S67" s="45">
        <f t="shared" ref="S67:S68" si="14">S56+S59+S62+S65</f>
        <v>53.572000000000003</v>
      </c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59"/>
      <c r="AZ67" s="159"/>
      <c r="BA67" s="160"/>
      <c r="BB67" s="159"/>
      <c r="BC67" s="159"/>
      <c r="BD67" s="159"/>
    </row>
    <row r="68" spans="1:56">
      <c r="A68" s="43"/>
      <c r="B68" s="43" t="s">
        <v>33</v>
      </c>
      <c r="C68" s="77">
        <f t="shared" ref="C68:Q68" si="15">2.27*(C57+C60+C63+C66)</f>
        <v>54.480000000000004</v>
      </c>
      <c r="D68" s="77">
        <f t="shared" si="15"/>
        <v>54.480000000000004</v>
      </c>
      <c r="E68" s="77">
        <f t="shared" si="15"/>
        <v>36.32</v>
      </c>
      <c r="F68" s="77">
        <f t="shared" si="15"/>
        <v>54.480000000000004</v>
      </c>
      <c r="G68" s="77">
        <f t="shared" si="15"/>
        <v>54.480000000000004</v>
      </c>
      <c r="H68" s="77">
        <f t="shared" si="15"/>
        <v>54.480000000000004</v>
      </c>
      <c r="I68" s="77">
        <f t="shared" si="15"/>
        <v>54.480000000000004</v>
      </c>
      <c r="J68" s="77">
        <f t="shared" si="15"/>
        <v>54.480000000000004</v>
      </c>
      <c r="K68" s="77">
        <f t="shared" si="15"/>
        <v>54.480000000000004</v>
      </c>
      <c r="L68" s="77">
        <f t="shared" si="15"/>
        <v>54.480000000000004</v>
      </c>
      <c r="M68" s="77">
        <f t="shared" si="15"/>
        <v>24.97</v>
      </c>
      <c r="N68" s="77">
        <f t="shared" si="15"/>
        <v>54.480000000000004</v>
      </c>
      <c r="O68" s="77">
        <f t="shared" si="15"/>
        <v>54.480000000000004</v>
      </c>
      <c r="P68" s="77">
        <f t="shared" si="15"/>
        <v>54.480000000000004</v>
      </c>
      <c r="Q68" s="77">
        <f t="shared" si="15"/>
        <v>49.94</v>
      </c>
      <c r="R68" s="177">
        <f>AVERAGE(C68:Q68)</f>
        <v>50.999333333333347</v>
      </c>
      <c r="S68" s="118">
        <f t="shared" si="14"/>
        <v>50.99933333333334</v>
      </c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59"/>
      <c r="AZ68" s="159"/>
      <c r="BA68" s="160"/>
      <c r="BB68" s="159"/>
      <c r="BC68" s="159"/>
      <c r="BD68" s="159"/>
    </row>
    <row r="69" spans="1:56">
      <c r="A69" s="49"/>
      <c r="B69" s="49" t="s">
        <v>34</v>
      </c>
      <c r="C69" s="50">
        <f t="shared" ref="C69:Q69" si="16">C67-C68</f>
        <v>0</v>
      </c>
      <c r="D69" s="50">
        <f t="shared" si="16"/>
        <v>-6.8100000000000023</v>
      </c>
      <c r="E69" s="50">
        <f t="shared" si="16"/>
        <v>18.160000000000004</v>
      </c>
      <c r="F69" s="50">
        <f t="shared" si="16"/>
        <v>0</v>
      </c>
      <c r="G69" s="50">
        <f t="shared" si="16"/>
        <v>0</v>
      </c>
      <c r="H69" s="50">
        <f t="shared" si="16"/>
        <v>-4.5400000000000063</v>
      </c>
      <c r="I69" s="50">
        <f t="shared" si="16"/>
        <v>0</v>
      </c>
      <c r="J69" s="50">
        <f t="shared" si="16"/>
        <v>0</v>
      </c>
      <c r="K69" s="50">
        <f t="shared" si="16"/>
        <v>0</v>
      </c>
      <c r="L69" s="50">
        <f t="shared" si="16"/>
        <v>0</v>
      </c>
      <c r="M69" s="50">
        <f t="shared" si="16"/>
        <v>29.510000000000005</v>
      </c>
      <c r="N69" s="50">
        <f t="shared" si="16"/>
        <v>0</v>
      </c>
      <c r="O69" s="50">
        <f t="shared" si="16"/>
        <v>0</v>
      </c>
      <c r="P69" s="50">
        <f t="shared" si="16"/>
        <v>0</v>
      </c>
      <c r="Q69" s="50">
        <f t="shared" si="16"/>
        <v>2.2700000000000031</v>
      </c>
      <c r="R69" s="179">
        <f>AVERAGE(C69:Q69)</f>
        <v>2.5726666666666671</v>
      </c>
      <c r="S69" s="50">
        <f>S67-S68</f>
        <v>2.5726666666666631</v>
      </c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59"/>
      <c r="AZ69" s="159"/>
      <c r="BA69" s="160"/>
      <c r="BB69" s="159"/>
      <c r="BC69" s="159"/>
      <c r="BD69" s="159"/>
    </row>
    <row r="70" spans="1:56">
      <c r="A70" s="53" t="s">
        <v>43</v>
      </c>
      <c r="B70" s="93" t="s">
        <v>49</v>
      </c>
      <c r="C70" s="54"/>
      <c r="D70" s="54"/>
      <c r="E70" s="54"/>
      <c r="F70" s="54"/>
      <c r="G70" s="54"/>
      <c r="H70" s="54"/>
      <c r="I70" s="54"/>
      <c r="J70" s="54"/>
      <c r="K70" s="55"/>
      <c r="L70" s="54"/>
      <c r="M70" s="54"/>
      <c r="N70" s="54"/>
      <c r="O70" s="54"/>
      <c r="P70" s="54"/>
      <c r="Q70" s="54"/>
      <c r="R70" s="180"/>
      <c r="S70" s="119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59"/>
      <c r="AZ70" s="159"/>
      <c r="BA70" s="161"/>
      <c r="BB70" s="159"/>
      <c r="BC70" s="159"/>
      <c r="BD70" s="159"/>
    </row>
    <row r="71" spans="1:56">
      <c r="A71" s="55"/>
      <c r="B71" s="55" t="s">
        <v>50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180"/>
      <c r="S71" s="119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59"/>
      <c r="AZ71" s="159"/>
      <c r="BA71" s="161"/>
      <c r="BB71" s="159"/>
      <c r="BC71" s="159"/>
      <c r="BD71" s="159"/>
    </row>
    <row r="72" spans="1:56">
      <c r="A72" s="57"/>
      <c r="B72" s="57" t="s">
        <v>23</v>
      </c>
      <c r="C72" s="55">
        <v>6</v>
      </c>
      <c r="D72" s="55">
        <v>6</v>
      </c>
      <c r="E72" s="55">
        <v>6</v>
      </c>
      <c r="F72" s="55">
        <v>6</v>
      </c>
      <c r="G72" s="55">
        <v>6</v>
      </c>
      <c r="H72" s="55">
        <v>6</v>
      </c>
      <c r="I72" s="55">
        <v>6</v>
      </c>
      <c r="J72" s="55">
        <v>6</v>
      </c>
      <c r="K72" s="55">
        <v>6</v>
      </c>
      <c r="L72" s="55">
        <v>6</v>
      </c>
      <c r="M72" s="55">
        <v>6</v>
      </c>
      <c r="N72" s="55">
        <v>6</v>
      </c>
      <c r="O72" s="55">
        <v>6</v>
      </c>
      <c r="P72" s="55">
        <v>6</v>
      </c>
      <c r="Q72" s="55">
        <v>6</v>
      </c>
      <c r="R72" s="180">
        <f t="shared" ref="R72:R82" si="17">SUM(C72:Q72)</f>
        <v>90</v>
      </c>
      <c r="S72" s="120">
        <f t="shared" ref="S72:S82" si="18">2.27*(R72/COLUMNS(C72:Q72))</f>
        <v>13.620000000000001</v>
      </c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59"/>
      <c r="AZ72" s="159"/>
      <c r="BA72" s="160"/>
      <c r="BB72" s="159"/>
      <c r="BC72" s="159"/>
      <c r="BD72" s="159"/>
    </row>
    <row r="73" spans="1:56">
      <c r="A73" s="57"/>
      <c r="B73" s="57" t="s">
        <v>24</v>
      </c>
      <c r="C73" s="55">
        <v>0</v>
      </c>
      <c r="D73" s="55">
        <v>6</v>
      </c>
      <c r="E73" s="55">
        <v>3</v>
      </c>
      <c r="F73" s="55">
        <v>5</v>
      </c>
      <c r="G73" s="55">
        <v>6</v>
      </c>
      <c r="H73" s="55">
        <v>6</v>
      </c>
      <c r="I73" s="55">
        <v>6</v>
      </c>
      <c r="J73" s="55">
        <v>6</v>
      </c>
      <c r="K73" s="55">
        <v>6</v>
      </c>
      <c r="L73" s="55">
        <v>6</v>
      </c>
      <c r="M73" s="55">
        <v>0</v>
      </c>
      <c r="N73" s="55">
        <v>6</v>
      </c>
      <c r="O73" s="55">
        <v>0</v>
      </c>
      <c r="P73" s="55">
        <v>3</v>
      </c>
      <c r="Q73" s="55">
        <v>5</v>
      </c>
      <c r="R73" s="180">
        <f t="shared" si="17"/>
        <v>64</v>
      </c>
      <c r="S73" s="120">
        <f t="shared" si="18"/>
        <v>9.6853333333333325</v>
      </c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59"/>
      <c r="AZ73" s="159"/>
      <c r="BA73" s="160"/>
      <c r="BB73" s="159"/>
      <c r="BC73" s="159"/>
      <c r="BD73" s="159"/>
    </row>
    <row r="74" spans="1:56">
      <c r="A74" s="55"/>
      <c r="B74" s="55" t="s">
        <v>51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180">
        <f t="shared" si="17"/>
        <v>0</v>
      </c>
      <c r="S74" s="120">
        <f t="shared" si="18"/>
        <v>0</v>
      </c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59"/>
      <c r="AZ74" s="159"/>
      <c r="BA74" s="161"/>
      <c r="BB74" s="159"/>
      <c r="BC74" s="159"/>
      <c r="BD74" s="159"/>
    </row>
    <row r="75" spans="1:56">
      <c r="A75" s="57"/>
      <c r="B75" s="57" t="s">
        <v>52</v>
      </c>
      <c r="C75" s="55">
        <v>6</v>
      </c>
      <c r="D75" s="55">
        <v>6</v>
      </c>
      <c r="E75" s="55">
        <v>6</v>
      </c>
      <c r="F75" s="55">
        <v>6</v>
      </c>
      <c r="G75" s="55">
        <v>6</v>
      </c>
      <c r="H75" s="55">
        <v>6</v>
      </c>
      <c r="I75" s="55">
        <v>6</v>
      </c>
      <c r="J75" s="55">
        <v>6</v>
      </c>
      <c r="K75" s="55">
        <v>6</v>
      </c>
      <c r="L75" s="55">
        <v>6</v>
      </c>
      <c r="M75" s="55">
        <v>6</v>
      </c>
      <c r="N75" s="55">
        <v>6</v>
      </c>
      <c r="O75" s="55">
        <v>6</v>
      </c>
      <c r="P75" s="55">
        <v>6</v>
      </c>
      <c r="Q75" s="55">
        <v>6</v>
      </c>
      <c r="R75" s="180">
        <f t="shared" si="17"/>
        <v>90</v>
      </c>
      <c r="S75" s="120">
        <f t="shared" si="18"/>
        <v>13.620000000000001</v>
      </c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59"/>
      <c r="AZ75" s="159"/>
      <c r="BA75" s="160"/>
      <c r="BB75" s="159"/>
      <c r="BC75" s="159"/>
      <c r="BD75" s="159"/>
    </row>
    <row r="76" spans="1:56">
      <c r="A76" s="57"/>
      <c r="B76" s="57" t="s">
        <v>53</v>
      </c>
      <c r="C76" s="55">
        <v>0</v>
      </c>
      <c r="D76" s="55">
        <v>6</v>
      </c>
      <c r="E76" s="55"/>
      <c r="F76" s="55">
        <v>3</v>
      </c>
      <c r="G76" s="55">
        <v>0</v>
      </c>
      <c r="H76" s="55">
        <v>3</v>
      </c>
      <c r="I76" s="55">
        <v>6</v>
      </c>
      <c r="J76" s="55">
        <v>0</v>
      </c>
      <c r="K76" s="55">
        <v>3</v>
      </c>
      <c r="L76" s="55">
        <v>1</v>
      </c>
      <c r="M76" s="55">
        <v>0</v>
      </c>
      <c r="N76" s="55">
        <v>6</v>
      </c>
      <c r="O76" s="55">
        <v>0</v>
      </c>
      <c r="P76" s="55">
        <v>0</v>
      </c>
      <c r="Q76" s="55">
        <v>3</v>
      </c>
      <c r="R76" s="180">
        <f t="shared" si="17"/>
        <v>31</v>
      </c>
      <c r="S76" s="120">
        <f t="shared" si="18"/>
        <v>4.6913333333333336</v>
      </c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59"/>
      <c r="AZ76" s="159"/>
      <c r="BA76" s="160"/>
      <c r="BB76" s="159"/>
      <c r="BC76" s="159"/>
      <c r="BD76" s="159"/>
    </row>
    <row r="77" spans="1:56">
      <c r="A77" s="55"/>
      <c r="B77" s="55" t="s">
        <v>54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5"/>
      <c r="P77" s="54"/>
      <c r="Q77" s="54"/>
      <c r="R77" s="180">
        <f t="shared" si="17"/>
        <v>0</v>
      </c>
      <c r="S77" s="120">
        <f t="shared" si="18"/>
        <v>0</v>
      </c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59"/>
      <c r="AZ77" s="159"/>
      <c r="BA77" s="161"/>
      <c r="BB77" s="159"/>
      <c r="BC77" s="159"/>
      <c r="BD77" s="159"/>
    </row>
    <row r="78" spans="1:56">
      <c r="A78" s="57"/>
      <c r="B78" s="57" t="s">
        <v>55</v>
      </c>
      <c r="C78" s="55">
        <v>6</v>
      </c>
      <c r="D78" s="55">
        <v>6</v>
      </c>
      <c r="E78" s="55">
        <v>6</v>
      </c>
      <c r="F78" s="55">
        <v>6</v>
      </c>
      <c r="G78" s="55">
        <v>6</v>
      </c>
      <c r="H78" s="55">
        <v>6</v>
      </c>
      <c r="I78" s="55">
        <v>6</v>
      </c>
      <c r="J78" s="55">
        <v>6</v>
      </c>
      <c r="K78" s="55">
        <v>6</v>
      </c>
      <c r="L78" s="55">
        <v>6</v>
      </c>
      <c r="M78" s="55">
        <v>6</v>
      </c>
      <c r="N78" s="55">
        <v>6</v>
      </c>
      <c r="O78" s="55">
        <v>6</v>
      </c>
      <c r="P78" s="55">
        <v>6</v>
      </c>
      <c r="Q78" s="55">
        <v>6</v>
      </c>
      <c r="R78" s="180">
        <f t="shared" si="17"/>
        <v>90</v>
      </c>
      <c r="S78" s="120">
        <f t="shared" si="18"/>
        <v>13.620000000000001</v>
      </c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160"/>
      <c r="AU78" s="160"/>
      <c r="AV78" s="160"/>
      <c r="AW78" s="160"/>
      <c r="AX78" s="160"/>
      <c r="AY78" s="159"/>
      <c r="AZ78" s="159"/>
      <c r="BA78" s="160"/>
      <c r="BB78" s="159"/>
      <c r="BC78" s="159"/>
      <c r="BD78" s="159"/>
    </row>
    <row r="79" spans="1:56">
      <c r="A79" s="57"/>
      <c r="B79" s="57" t="s">
        <v>56</v>
      </c>
      <c r="C79" s="55">
        <v>0</v>
      </c>
      <c r="D79" s="55">
        <v>6</v>
      </c>
      <c r="E79" s="55">
        <v>0</v>
      </c>
      <c r="F79" s="55">
        <v>2</v>
      </c>
      <c r="G79" s="55">
        <v>0</v>
      </c>
      <c r="H79" s="55">
        <v>6</v>
      </c>
      <c r="I79" s="55">
        <v>4</v>
      </c>
      <c r="J79" s="55">
        <v>0</v>
      </c>
      <c r="K79" s="55">
        <v>6</v>
      </c>
      <c r="L79" s="55">
        <v>3</v>
      </c>
      <c r="M79" s="55">
        <v>0</v>
      </c>
      <c r="N79" s="55">
        <v>4</v>
      </c>
      <c r="O79" s="55">
        <v>0</v>
      </c>
      <c r="P79" s="55">
        <v>0</v>
      </c>
      <c r="Q79" s="55">
        <v>6</v>
      </c>
      <c r="R79" s="180">
        <f t="shared" si="17"/>
        <v>37</v>
      </c>
      <c r="S79" s="120">
        <f t="shared" si="18"/>
        <v>5.5993333333333339</v>
      </c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59"/>
      <c r="AZ79" s="159"/>
      <c r="BA79" s="160"/>
      <c r="BB79" s="159"/>
      <c r="BC79" s="159"/>
      <c r="BD79" s="159"/>
    </row>
    <row r="80" spans="1:56">
      <c r="A80" s="55"/>
      <c r="B80" s="55" t="s">
        <v>57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180">
        <f t="shared" si="17"/>
        <v>0</v>
      </c>
      <c r="S80" s="120">
        <f t="shared" si="18"/>
        <v>0</v>
      </c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59"/>
      <c r="AZ80" s="159"/>
      <c r="BA80" s="161"/>
      <c r="BB80" s="159"/>
      <c r="BC80" s="159"/>
      <c r="BD80" s="159"/>
    </row>
    <row r="81" spans="1:56">
      <c r="A81" s="57"/>
      <c r="B81" s="57" t="s">
        <v>55</v>
      </c>
      <c r="C81" s="55">
        <v>6</v>
      </c>
      <c r="D81" s="55">
        <v>6</v>
      </c>
      <c r="E81" s="55"/>
      <c r="F81" s="55">
        <v>6</v>
      </c>
      <c r="G81" s="55">
        <v>6</v>
      </c>
      <c r="H81" s="55">
        <v>6</v>
      </c>
      <c r="I81" s="55">
        <v>6</v>
      </c>
      <c r="J81" s="55">
        <v>6</v>
      </c>
      <c r="K81" s="55">
        <v>6</v>
      </c>
      <c r="L81" s="55">
        <v>6</v>
      </c>
      <c r="M81" s="55">
        <v>6</v>
      </c>
      <c r="N81" s="55">
        <v>6</v>
      </c>
      <c r="O81" s="55">
        <v>6</v>
      </c>
      <c r="P81" s="55">
        <v>6</v>
      </c>
      <c r="Q81" s="55">
        <v>3</v>
      </c>
      <c r="R81" s="180">
        <f t="shared" si="17"/>
        <v>81</v>
      </c>
      <c r="S81" s="120">
        <f t="shared" si="18"/>
        <v>12.258000000000001</v>
      </c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59"/>
      <c r="AZ81" s="159"/>
      <c r="BA81" s="160"/>
      <c r="BB81" s="159"/>
      <c r="BC81" s="159"/>
      <c r="BD81" s="159"/>
    </row>
    <row r="82" spans="1:56">
      <c r="A82" s="57"/>
      <c r="B82" s="57" t="s">
        <v>56</v>
      </c>
      <c r="C82" s="55">
        <v>0</v>
      </c>
      <c r="D82" s="55">
        <v>6</v>
      </c>
      <c r="E82" s="55"/>
      <c r="F82" s="55">
        <v>2</v>
      </c>
      <c r="G82" s="55">
        <v>0</v>
      </c>
      <c r="H82" s="55">
        <v>4</v>
      </c>
      <c r="I82" s="55">
        <v>4</v>
      </c>
      <c r="J82" s="55">
        <v>0</v>
      </c>
      <c r="K82" s="55">
        <v>6</v>
      </c>
      <c r="L82" s="55">
        <v>2</v>
      </c>
      <c r="M82" s="55">
        <v>0</v>
      </c>
      <c r="N82" s="55">
        <v>4</v>
      </c>
      <c r="O82" s="55">
        <v>0</v>
      </c>
      <c r="P82" s="55">
        <v>0</v>
      </c>
      <c r="Q82" s="55">
        <v>3</v>
      </c>
      <c r="R82" s="180">
        <f t="shared" si="17"/>
        <v>31</v>
      </c>
      <c r="S82" s="120">
        <f t="shared" si="18"/>
        <v>4.6913333333333336</v>
      </c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59"/>
      <c r="AZ82" s="159"/>
      <c r="BA82" s="160"/>
      <c r="BB82" s="159"/>
      <c r="BC82" s="159"/>
      <c r="BD82" s="159"/>
    </row>
    <row r="83" spans="1:56">
      <c r="A83" s="58"/>
      <c r="B83" s="58" t="s">
        <v>32</v>
      </c>
      <c r="C83" s="59">
        <f t="shared" ref="C83:Q83" si="19">2.27*(C72+C75+C78+C81)</f>
        <v>54.480000000000004</v>
      </c>
      <c r="D83" s="59">
        <f t="shared" si="19"/>
        <v>54.480000000000004</v>
      </c>
      <c r="E83" s="59">
        <f t="shared" si="19"/>
        <v>40.86</v>
      </c>
      <c r="F83" s="59">
        <f t="shared" si="19"/>
        <v>54.480000000000004</v>
      </c>
      <c r="G83" s="59">
        <f t="shared" si="19"/>
        <v>54.480000000000004</v>
      </c>
      <c r="H83" s="59">
        <f t="shared" si="19"/>
        <v>54.480000000000004</v>
      </c>
      <c r="I83" s="59">
        <f t="shared" si="19"/>
        <v>54.480000000000004</v>
      </c>
      <c r="J83" s="59">
        <f t="shared" si="19"/>
        <v>54.480000000000004</v>
      </c>
      <c r="K83" s="59">
        <f t="shared" si="19"/>
        <v>54.480000000000004</v>
      </c>
      <c r="L83" s="59">
        <f t="shared" si="19"/>
        <v>54.480000000000004</v>
      </c>
      <c r="M83" s="59">
        <f t="shared" si="19"/>
        <v>54.480000000000004</v>
      </c>
      <c r="N83" s="59">
        <f t="shared" si="19"/>
        <v>54.480000000000004</v>
      </c>
      <c r="O83" s="59">
        <f t="shared" si="19"/>
        <v>54.480000000000004</v>
      </c>
      <c r="P83" s="59">
        <f t="shared" si="19"/>
        <v>54.480000000000004</v>
      </c>
      <c r="Q83" s="59">
        <f t="shared" si="19"/>
        <v>47.67</v>
      </c>
      <c r="R83" s="181">
        <f>AVERAGE(C83:Q83)</f>
        <v>53.118000000000009</v>
      </c>
      <c r="S83" s="59">
        <f t="shared" ref="S83:S84" si="20">S72+S75+S78+S81</f>
        <v>53.118000000000002</v>
      </c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59"/>
      <c r="AZ83" s="159"/>
      <c r="BA83" s="160"/>
      <c r="BB83" s="159"/>
      <c r="BC83" s="159"/>
      <c r="BD83" s="159"/>
    </row>
    <row r="84" spans="1:56">
      <c r="A84" s="57"/>
      <c r="B84" s="57" t="s">
        <v>33</v>
      </c>
      <c r="C84" s="55">
        <f t="shared" ref="C84:Q84" si="21">2.27*(C73+C76+C79+C82)</f>
        <v>0</v>
      </c>
      <c r="D84" s="55">
        <f t="shared" si="21"/>
        <v>54.480000000000004</v>
      </c>
      <c r="E84" s="55">
        <f t="shared" si="21"/>
        <v>6.8100000000000005</v>
      </c>
      <c r="F84" s="55">
        <f t="shared" si="21"/>
        <v>27.240000000000002</v>
      </c>
      <c r="G84" s="55">
        <f t="shared" si="21"/>
        <v>13.620000000000001</v>
      </c>
      <c r="H84" s="55">
        <f t="shared" si="21"/>
        <v>43.13</v>
      </c>
      <c r="I84" s="55">
        <f t="shared" si="21"/>
        <v>45.4</v>
      </c>
      <c r="J84" s="55">
        <f t="shared" si="21"/>
        <v>13.620000000000001</v>
      </c>
      <c r="K84" s="55">
        <f t="shared" si="21"/>
        <v>47.67</v>
      </c>
      <c r="L84" s="55">
        <f t="shared" si="21"/>
        <v>27.240000000000002</v>
      </c>
      <c r="M84" s="55">
        <f t="shared" si="21"/>
        <v>0</v>
      </c>
      <c r="N84" s="55">
        <f t="shared" si="21"/>
        <v>45.4</v>
      </c>
      <c r="O84" s="55">
        <f t="shared" si="21"/>
        <v>0</v>
      </c>
      <c r="P84" s="55">
        <f t="shared" si="21"/>
        <v>6.8100000000000005</v>
      </c>
      <c r="Q84" s="55">
        <f t="shared" si="21"/>
        <v>38.590000000000003</v>
      </c>
      <c r="R84" s="180">
        <f>AVERAGE(C84:Q84)</f>
        <v>24.667333333333332</v>
      </c>
      <c r="S84" s="120">
        <f t="shared" si="20"/>
        <v>24.667333333333332</v>
      </c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59"/>
      <c r="AZ84" s="159"/>
      <c r="BA84" s="160"/>
      <c r="BB84" s="159"/>
      <c r="BC84" s="159"/>
      <c r="BD84" s="159"/>
    </row>
    <row r="85" spans="1:56">
      <c r="A85" s="63"/>
      <c r="B85" s="63" t="s">
        <v>34</v>
      </c>
      <c r="C85" s="64">
        <f t="shared" ref="C85:Q85" si="22">C83-C84</f>
        <v>54.480000000000004</v>
      </c>
      <c r="D85" s="64">
        <f t="shared" si="22"/>
        <v>0</v>
      </c>
      <c r="E85" s="64">
        <f t="shared" si="22"/>
        <v>34.049999999999997</v>
      </c>
      <c r="F85" s="64">
        <f t="shared" si="22"/>
        <v>27.240000000000002</v>
      </c>
      <c r="G85" s="64">
        <f t="shared" si="22"/>
        <v>40.86</v>
      </c>
      <c r="H85" s="64">
        <f t="shared" si="22"/>
        <v>11.350000000000001</v>
      </c>
      <c r="I85" s="64">
        <f t="shared" si="22"/>
        <v>9.0800000000000054</v>
      </c>
      <c r="J85" s="64">
        <f t="shared" si="22"/>
        <v>40.86</v>
      </c>
      <c r="K85" s="64">
        <f t="shared" si="22"/>
        <v>6.8100000000000023</v>
      </c>
      <c r="L85" s="64">
        <f t="shared" si="22"/>
        <v>27.240000000000002</v>
      </c>
      <c r="M85" s="64">
        <f t="shared" si="22"/>
        <v>54.480000000000004</v>
      </c>
      <c r="N85" s="64">
        <f t="shared" si="22"/>
        <v>9.0800000000000054</v>
      </c>
      <c r="O85" s="64">
        <f t="shared" si="22"/>
        <v>54.480000000000004</v>
      </c>
      <c r="P85" s="64">
        <f t="shared" si="22"/>
        <v>47.67</v>
      </c>
      <c r="Q85" s="64">
        <f t="shared" si="22"/>
        <v>9.0799999999999983</v>
      </c>
      <c r="R85" s="182">
        <f>AVERAGE(C85:Q85)</f>
        <v>28.45066666666667</v>
      </c>
      <c r="S85" s="64">
        <f>S83-S84</f>
        <v>28.45066666666667</v>
      </c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59"/>
      <c r="AZ85" s="159"/>
      <c r="BA85" s="160"/>
      <c r="BB85" s="159"/>
      <c r="BC85" s="159"/>
      <c r="BD85" s="159"/>
    </row>
    <row r="86" spans="1:56">
      <c r="B86" s="4" t="s">
        <v>58</v>
      </c>
      <c r="C86" s="4" t="s">
        <v>63</v>
      </c>
      <c r="D86" s="4" t="s">
        <v>61</v>
      </c>
      <c r="E86" s="4" t="s">
        <v>59</v>
      </c>
      <c r="F86" s="2"/>
      <c r="G86" s="4" t="s">
        <v>61</v>
      </c>
      <c r="H86" s="4" t="s">
        <v>59</v>
      </c>
      <c r="I86" s="4" t="s">
        <v>59</v>
      </c>
      <c r="J86" s="4" t="s">
        <v>61</v>
      </c>
      <c r="K86" s="4" t="s">
        <v>59</v>
      </c>
      <c r="L86" s="2"/>
      <c r="M86" s="2"/>
      <c r="N86" s="4" t="s">
        <v>59</v>
      </c>
      <c r="O86" s="4" t="s">
        <v>59</v>
      </c>
      <c r="P86" s="4" t="s">
        <v>59</v>
      </c>
      <c r="Q86" s="4" t="s">
        <v>61</v>
      </c>
      <c r="R86" s="167"/>
      <c r="S86" s="168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2"/>
      <c r="AF86" s="4"/>
      <c r="AG86" s="4"/>
      <c r="AH86" s="4"/>
      <c r="AI86" s="2"/>
      <c r="AJ86" s="4"/>
      <c r="AK86" s="4"/>
      <c r="AL86" s="4"/>
      <c r="AM86" s="4"/>
      <c r="AN86" s="2"/>
      <c r="AO86" s="4"/>
      <c r="AP86" s="4"/>
      <c r="AQ86" s="4"/>
      <c r="AR86" s="4"/>
      <c r="AS86" s="4"/>
      <c r="AT86" s="4"/>
      <c r="AU86" s="4"/>
      <c r="AV86" s="4"/>
      <c r="AW86" s="4"/>
      <c r="AX86" s="4"/>
      <c r="BA86" s="4"/>
    </row>
    <row r="87" spans="1:56">
      <c r="A87" s="2"/>
      <c r="B87" s="78" t="s">
        <v>65</v>
      </c>
      <c r="C87" s="68">
        <f t="shared" ref="C87:Q87" si="23">C27+C51+C67+C83</f>
        <v>194.78399999999999</v>
      </c>
      <c r="D87" s="68">
        <f t="shared" si="23"/>
        <v>191.786</v>
      </c>
      <c r="E87" s="68">
        <f t="shared" si="23"/>
        <v>183.798</v>
      </c>
      <c r="F87" s="68">
        <f t="shared" si="23"/>
        <v>201.77700000000004</v>
      </c>
      <c r="G87" s="68">
        <f t="shared" si="23"/>
        <v>185.24700000000001</v>
      </c>
      <c r="H87" s="68">
        <f t="shared" si="23"/>
        <v>173.45600000000002</v>
      </c>
      <c r="I87" s="68">
        <f t="shared" si="23"/>
        <v>180.06800000000001</v>
      </c>
      <c r="J87" s="68">
        <f t="shared" si="23"/>
        <v>172.36700000000002</v>
      </c>
      <c r="K87" s="68">
        <f t="shared" si="23"/>
        <v>166.62400000000002</v>
      </c>
      <c r="L87" s="68">
        <f t="shared" si="23"/>
        <v>201.32</v>
      </c>
      <c r="M87" s="68">
        <f t="shared" si="23"/>
        <v>211.99200000000002</v>
      </c>
      <c r="N87" s="68">
        <f t="shared" si="23"/>
        <v>185.06400000000002</v>
      </c>
      <c r="O87" s="68">
        <f t="shared" si="23"/>
        <v>201.77600000000001</v>
      </c>
      <c r="P87" s="68">
        <f t="shared" si="23"/>
        <v>194.23500000000001</v>
      </c>
      <c r="Q87" s="68">
        <f t="shared" si="23"/>
        <v>169.3</v>
      </c>
      <c r="R87" s="155">
        <f>AVERAGE(C87:Q87)</f>
        <v>187.57293333333334</v>
      </c>
      <c r="S87" s="122">
        <f t="shared" ref="S87:S89" si="24">S27+S51+S67+S83</f>
        <v>187.57293333333334</v>
      </c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</row>
    <row r="88" spans="1:56">
      <c r="A88" s="2"/>
      <c r="B88" s="78" t="s">
        <v>66</v>
      </c>
      <c r="C88" s="68">
        <f t="shared" ref="C88:Q88" si="25">C28+C52+C68+C84</f>
        <v>88.078000000000003</v>
      </c>
      <c r="D88" s="68">
        <f t="shared" si="25"/>
        <v>150.096</v>
      </c>
      <c r="E88" s="68">
        <f t="shared" si="25"/>
        <v>65.921999999999997</v>
      </c>
      <c r="F88" s="68">
        <f t="shared" si="25"/>
        <v>108.779</v>
      </c>
      <c r="G88" s="68">
        <f t="shared" si="25"/>
        <v>94.887000000000015</v>
      </c>
      <c r="H88" s="68">
        <f t="shared" si="25"/>
        <v>166.15600000000001</v>
      </c>
      <c r="I88" s="68">
        <f t="shared" si="25"/>
        <v>144.55800000000002</v>
      </c>
      <c r="J88" s="68">
        <f t="shared" si="25"/>
        <v>126.71100000000001</v>
      </c>
      <c r="K88" s="68">
        <f t="shared" si="25"/>
        <v>186.608</v>
      </c>
      <c r="L88" s="68">
        <f t="shared" si="25"/>
        <v>118.77000000000001</v>
      </c>
      <c r="M88" s="68">
        <f t="shared" si="25"/>
        <v>51.802</v>
      </c>
      <c r="N88" s="68">
        <f t="shared" si="25"/>
        <v>140.01600000000002</v>
      </c>
      <c r="O88" s="68">
        <f t="shared" si="25"/>
        <v>85.171999999999997</v>
      </c>
      <c r="P88" s="68">
        <f t="shared" si="25"/>
        <v>102.24299999999999</v>
      </c>
      <c r="Q88" s="68">
        <f t="shared" si="25"/>
        <v>148.066</v>
      </c>
      <c r="R88" s="155">
        <f>AVERAGE(C88:Q88)</f>
        <v>118.52426666666666</v>
      </c>
      <c r="S88" s="122">
        <f t="shared" si="24"/>
        <v>118.52426666666666</v>
      </c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</row>
    <row r="89" spans="1:56">
      <c r="A89" s="2"/>
      <c r="B89" s="78" t="s">
        <v>67</v>
      </c>
      <c r="C89" s="68">
        <f t="shared" ref="C89:Q89" si="26">C29+C53+C69+C85</f>
        <v>106.706</v>
      </c>
      <c r="D89" s="68">
        <f t="shared" si="26"/>
        <v>41.689999999999991</v>
      </c>
      <c r="E89" s="68">
        <f t="shared" si="26"/>
        <v>117.87599999999999</v>
      </c>
      <c r="F89" s="68">
        <f t="shared" si="26"/>
        <v>92.998000000000019</v>
      </c>
      <c r="G89" s="68">
        <f t="shared" si="26"/>
        <v>90.36</v>
      </c>
      <c r="H89" s="68">
        <f t="shared" si="26"/>
        <v>7.2999999999999972</v>
      </c>
      <c r="I89" s="68">
        <f t="shared" si="26"/>
        <v>35.510000000000005</v>
      </c>
      <c r="J89" s="68">
        <f t="shared" si="26"/>
        <v>45.656000000000006</v>
      </c>
      <c r="K89" s="68">
        <f t="shared" si="26"/>
        <v>-19.983999999999995</v>
      </c>
      <c r="L89" s="68">
        <f t="shared" si="26"/>
        <v>82.55</v>
      </c>
      <c r="M89" s="68">
        <f t="shared" si="26"/>
        <v>160.19</v>
      </c>
      <c r="N89" s="68">
        <f t="shared" si="26"/>
        <v>45.048000000000009</v>
      </c>
      <c r="O89" s="68">
        <f t="shared" si="26"/>
        <v>116.60400000000001</v>
      </c>
      <c r="P89" s="68">
        <f t="shared" si="26"/>
        <v>91.992000000000004</v>
      </c>
      <c r="Q89" s="68">
        <f t="shared" si="26"/>
        <v>21.233999999999998</v>
      </c>
      <c r="R89" s="155">
        <f>AVERAGE(C89:Q89)</f>
        <v>69.048666666666648</v>
      </c>
      <c r="S89" s="122">
        <f t="shared" si="24"/>
        <v>69.048666666666662</v>
      </c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</row>
    <row r="90" spans="1:56">
      <c r="A90" s="2"/>
      <c r="R90" s="155"/>
      <c r="S90" s="126"/>
    </row>
    <row r="91" spans="1:56">
      <c r="A91" s="2"/>
      <c r="B91" s="78" t="s">
        <v>68</v>
      </c>
      <c r="C91" s="68">
        <f t="shared" ref="C91:Q91" si="27">0.454*(IF(C10&gt;20, 0, 20-ROUND(C10,0)) + IF(C13&gt;20, 0, 20-ROUND(C13,0)) + C16 + IF(C19&gt;20, 20, C19) + IF(C22&gt;20, 20, C22) + IF(C25&gt;20, 20, C25)) + (C32+C36+C40+C44+C48)*0.109 + (C56+C59+C62+C65)*2.27 + (C72+C75+C78+C81)*2.27</f>
        <v>194.78399999999999</v>
      </c>
      <c r="D91" s="68">
        <f t="shared" si="27"/>
        <v>191.786</v>
      </c>
      <c r="E91" s="68">
        <f t="shared" si="27"/>
        <v>183.798</v>
      </c>
      <c r="F91" s="68">
        <f t="shared" si="27"/>
        <v>201.77700000000004</v>
      </c>
      <c r="G91" s="68">
        <f t="shared" si="27"/>
        <v>185.24700000000001</v>
      </c>
      <c r="H91" s="68">
        <f t="shared" si="27"/>
        <v>173.45600000000002</v>
      </c>
      <c r="I91" s="68">
        <f t="shared" si="27"/>
        <v>180.06800000000001</v>
      </c>
      <c r="J91" s="68">
        <f t="shared" si="27"/>
        <v>172.36700000000002</v>
      </c>
      <c r="K91" s="68">
        <f t="shared" si="27"/>
        <v>166.62400000000002</v>
      </c>
      <c r="L91" s="68">
        <f t="shared" si="27"/>
        <v>201.32</v>
      </c>
      <c r="M91" s="68">
        <f t="shared" si="27"/>
        <v>211.99200000000002</v>
      </c>
      <c r="N91" s="68">
        <f t="shared" si="27"/>
        <v>185.06400000000002</v>
      </c>
      <c r="O91" s="68">
        <f t="shared" si="27"/>
        <v>201.77600000000001</v>
      </c>
      <c r="P91" s="68">
        <f t="shared" si="27"/>
        <v>194.23500000000001</v>
      </c>
      <c r="Q91" s="68">
        <f t="shared" si="27"/>
        <v>169.3</v>
      </c>
      <c r="R91" s="155">
        <f>AVERAGE(C91:Q91)</f>
        <v>187.57293333333334</v>
      </c>
      <c r="S91" s="126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</row>
    <row r="92" spans="1:56">
      <c r="A92" s="2"/>
      <c r="B92" s="78" t="s">
        <v>69</v>
      </c>
      <c r="C92" s="70">
        <f t="shared" ref="C92:Q92" si="28">0.454*(IF(C11&gt;20, 0, 20-ROUND(C11,0)) + IF(C14&gt;20, 0, 20-ROUND(C14,0)) + C17 + IF(C20&gt;20, 20, C20) + IF(C23&gt;20, 20, C23) + IF(C26&gt;20, 20, C26)) + (C33+C37+C41+C45+C49)*0.109 + (C57+C60+C63+C66)*2.27 + (C73+C76+C79+C82)*2.27</f>
        <v>88.078000000000003</v>
      </c>
      <c r="D92" s="70">
        <f t="shared" si="28"/>
        <v>150.096</v>
      </c>
      <c r="E92" s="70">
        <f t="shared" si="28"/>
        <v>65.921999999999997</v>
      </c>
      <c r="F92" s="70">
        <f t="shared" si="28"/>
        <v>108.779</v>
      </c>
      <c r="G92" s="70">
        <f t="shared" si="28"/>
        <v>94.887000000000015</v>
      </c>
      <c r="H92" s="70">
        <f t="shared" si="28"/>
        <v>166.15600000000001</v>
      </c>
      <c r="I92" s="70">
        <f t="shared" si="28"/>
        <v>144.55800000000002</v>
      </c>
      <c r="J92" s="70">
        <f t="shared" si="28"/>
        <v>126.71100000000001</v>
      </c>
      <c r="K92" s="70">
        <f t="shared" si="28"/>
        <v>186.608</v>
      </c>
      <c r="L92" s="70">
        <f t="shared" si="28"/>
        <v>118.77000000000001</v>
      </c>
      <c r="M92" s="70">
        <f t="shared" si="28"/>
        <v>51.802</v>
      </c>
      <c r="N92" s="70">
        <f t="shared" si="28"/>
        <v>140.01600000000002</v>
      </c>
      <c r="O92" s="70">
        <f t="shared" si="28"/>
        <v>85.171999999999997</v>
      </c>
      <c r="P92" s="70">
        <f t="shared" si="28"/>
        <v>102.24299999999999</v>
      </c>
      <c r="Q92" s="70">
        <f t="shared" si="28"/>
        <v>148.066</v>
      </c>
      <c r="R92" s="155">
        <f>AVERAGE(C92:Q92)</f>
        <v>118.52426666666666</v>
      </c>
      <c r="S92" s="124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BA92" s="70"/>
    </row>
    <row r="93" spans="1:56">
      <c r="A93" s="71"/>
      <c r="B93" s="72" t="s">
        <v>70</v>
      </c>
      <c r="C93" s="73">
        <f t="shared" ref="C93:Q93" si="29">C91-C92</f>
        <v>106.70599999999999</v>
      </c>
      <c r="D93" s="73">
        <f t="shared" si="29"/>
        <v>41.69</v>
      </c>
      <c r="E93" s="73">
        <f t="shared" si="29"/>
        <v>117.876</v>
      </c>
      <c r="F93" s="73">
        <f t="shared" si="29"/>
        <v>92.998000000000047</v>
      </c>
      <c r="G93" s="73">
        <f t="shared" si="29"/>
        <v>90.36</v>
      </c>
      <c r="H93" s="73">
        <f t="shared" si="29"/>
        <v>7.3000000000000114</v>
      </c>
      <c r="I93" s="73">
        <f t="shared" si="29"/>
        <v>35.509999999999991</v>
      </c>
      <c r="J93" s="73">
        <f t="shared" si="29"/>
        <v>45.656000000000006</v>
      </c>
      <c r="K93" s="73">
        <f t="shared" si="29"/>
        <v>-19.98399999999998</v>
      </c>
      <c r="L93" s="73">
        <f t="shared" si="29"/>
        <v>82.549999999999983</v>
      </c>
      <c r="M93" s="73">
        <f t="shared" si="29"/>
        <v>160.19000000000003</v>
      </c>
      <c r="N93" s="73">
        <f t="shared" si="29"/>
        <v>45.048000000000002</v>
      </c>
      <c r="O93" s="73">
        <f t="shared" si="29"/>
        <v>116.60400000000001</v>
      </c>
      <c r="P93" s="73">
        <f t="shared" si="29"/>
        <v>91.992000000000019</v>
      </c>
      <c r="Q93" s="73">
        <f t="shared" si="29"/>
        <v>21.234000000000009</v>
      </c>
      <c r="R93" s="155">
        <f>AVERAGE(C93:Q93)</f>
        <v>69.048666666666662</v>
      </c>
      <c r="S93" s="18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BA93" s="73"/>
    </row>
    <row r="94" spans="1:56">
      <c r="A94" s="2"/>
      <c r="AY94" s="69"/>
    </row>
    <row r="95" spans="1:56">
      <c r="A95" s="2"/>
      <c r="B95" s="78" t="s">
        <v>15</v>
      </c>
      <c r="C95" s="68">
        <f>AVERAGE(C93:AX93)</f>
        <v>69.048666666666662</v>
      </c>
      <c r="AY95" s="69"/>
    </row>
    <row r="96" spans="1:56">
      <c r="A96" s="2"/>
      <c r="B96" s="78" t="s">
        <v>71</v>
      </c>
      <c r="C96" s="9">
        <f>MEDIAN(C93:AX93)</f>
        <v>75.799333333333323</v>
      </c>
      <c r="AY96" s="69"/>
    </row>
    <row r="97" spans="1:51">
      <c r="A97" s="2"/>
      <c r="B97" s="78" t="s">
        <v>72</v>
      </c>
      <c r="C97" s="68">
        <f t="shared" ref="C97:C98" si="30">AVERAGE(C91:AX91)</f>
        <v>187.57293333333334</v>
      </c>
      <c r="AY97" s="69"/>
    </row>
    <row r="98" spans="1:51">
      <c r="A98" s="2"/>
      <c r="B98" s="78" t="s">
        <v>73</v>
      </c>
      <c r="C98" s="68">
        <f t="shared" si="30"/>
        <v>118.52426666666666</v>
      </c>
      <c r="AY98" s="69"/>
    </row>
    <row r="99" spans="1:51">
      <c r="A99" s="2"/>
      <c r="AY99" s="69"/>
    </row>
    <row r="100" spans="1:51">
      <c r="A100" s="2"/>
      <c r="AY100" s="69"/>
    </row>
    <row r="101" spans="1:51">
      <c r="A101" s="2"/>
      <c r="AY101" s="69"/>
    </row>
    <row r="102" spans="1:51">
      <c r="A102" s="2"/>
      <c r="B102" s="186"/>
      <c r="C102" s="186"/>
      <c r="D102" s="185"/>
      <c r="AY102" s="69"/>
    </row>
    <row r="103" spans="1:51">
      <c r="A103" s="2"/>
      <c r="B103" s="185"/>
      <c r="C103" s="186"/>
      <c r="D103" s="185"/>
      <c r="AY103" s="69"/>
    </row>
    <row r="104" spans="1:51">
      <c r="A104" s="2"/>
      <c r="B104" s="186"/>
      <c r="C104" s="186"/>
      <c r="D104" s="185"/>
      <c r="AY104" s="69"/>
    </row>
    <row r="105" spans="1:51">
      <c r="A105" s="2"/>
      <c r="B105" s="185"/>
      <c r="C105" s="186"/>
      <c r="D105" s="185"/>
      <c r="AY105" s="69"/>
    </row>
    <row r="106" spans="1:51">
      <c r="A106" s="2"/>
      <c r="B106" s="186"/>
      <c r="C106" s="186"/>
      <c r="D106" s="185"/>
      <c r="AY106" s="69"/>
    </row>
    <row r="107" spans="1:51">
      <c r="A107" s="2"/>
      <c r="B107" s="185"/>
      <c r="C107" s="186"/>
      <c r="D107" s="185"/>
      <c r="AY107" s="69"/>
    </row>
    <row r="108" spans="1:51">
      <c r="A108" s="2"/>
      <c r="B108" s="186"/>
      <c r="C108" s="186"/>
      <c r="D108" s="185"/>
      <c r="AY108" s="69"/>
    </row>
    <row r="109" spans="1:51">
      <c r="A109" s="2"/>
      <c r="B109" s="185"/>
      <c r="C109" s="186"/>
      <c r="D109" s="185"/>
      <c r="AY109" s="69"/>
    </row>
    <row r="110" spans="1:51">
      <c r="A110" s="2"/>
      <c r="B110" s="185"/>
      <c r="C110" s="185"/>
      <c r="D110" s="185"/>
      <c r="AY110" s="69"/>
    </row>
    <row r="111" spans="1:51">
      <c r="A111" s="2"/>
      <c r="AY111" s="69"/>
    </row>
    <row r="112" spans="1:51">
      <c r="A112" s="2"/>
      <c r="AY112" s="69"/>
    </row>
    <row r="113" spans="1:51">
      <c r="A113" s="2"/>
      <c r="AY113" s="69"/>
    </row>
    <row r="114" spans="1:51">
      <c r="A114" s="2"/>
      <c r="AY114" s="69"/>
    </row>
    <row r="115" spans="1:51">
      <c r="A115" s="2"/>
      <c r="AY115" s="69"/>
    </row>
    <row r="116" spans="1:51">
      <c r="A116" s="2"/>
      <c r="AY116" s="69"/>
    </row>
    <row r="117" spans="1:51">
      <c r="A117" s="2"/>
      <c r="AY117" s="69"/>
    </row>
    <row r="118" spans="1:51">
      <c r="A118" s="2"/>
      <c r="AY118" s="69"/>
    </row>
    <row r="119" spans="1:51">
      <c r="A119" s="2"/>
      <c r="AY119" s="69"/>
    </row>
    <row r="120" spans="1:51">
      <c r="A120" s="2"/>
      <c r="AY120" s="69"/>
    </row>
    <row r="121" spans="1:51">
      <c r="A121" s="2"/>
      <c r="AY121" s="69"/>
    </row>
    <row r="122" spans="1:51">
      <c r="A122" s="2"/>
      <c r="AY122" s="69"/>
    </row>
    <row r="123" spans="1:51">
      <c r="A123" s="2"/>
      <c r="AY123" s="69"/>
    </row>
    <row r="124" spans="1:51">
      <c r="A124" s="2"/>
      <c r="AY124" s="69"/>
    </row>
    <row r="125" spans="1:51">
      <c r="A125" s="2"/>
      <c r="AY125" s="69"/>
    </row>
    <row r="126" spans="1:51">
      <c r="A126" s="2"/>
      <c r="AY126" s="69"/>
    </row>
    <row r="127" spans="1:51">
      <c r="A127" s="2"/>
      <c r="AY127" s="69"/>
    </row>
    <row r="128" spans="1:51">
      <c r="A128" s="2"/>
      <c r="AY128" s="69"/>
    </row>
    <row r="129" spans="1:51">
      <c r="A129" s="2"/>
      <c r="AY129" s="69"/>
    </row>
    <row r="130" spans="1:51">
      <c r="A130" s="2"/>
      <c r="AY130" s="69"/>
    </row>
    <row r="131" spans="1:51">
      <c r="A131" s="2"/>
      <c r="AY131" s="69"/>
    </row>
    <row r="132" spans="1:51">
      <c r="A132" s="2"/>
      <c r="AY132" s="69"/>
    </row>
    <row r="133" spans="1:51">
      <c r="A133" s="2"/>
      <c r="AY133" s="69"/>
    </row>
    <row r="134" spans="1:51">
      <c r="A134" s="2"/>
      <c r="AY134" s="69"/>
    </row>
    <row r="135" spans="1:51">
      <c r="A135" s="2"/>
      <c r="AY135" s="69"/>
    </row>
    <row r="136" spans="1:51">
      <c r="A136" s="2"/>
      <c r="AY136" s="69"/>
    </row>
    <row r="137" spans="1:51">
      <c r="A137" s="2"/>
      <c r="AY137" s="69"/>
    </row>
    <row r="138" spans="1:51">
      <c r="A138" s="2"/>
      <c r="AY138" s="69"/>
    </row>
    <row r="139" spans="1:51">
      <c r="A139" s="2"/>
      <c r="AY139" s="69"/>
    </row>
    <row r="140" spans="1:51">
      <c r="A140" s="2"/>
      <c r="AY140" s="69"/>
    </row>
    <row r="141" spans="1:51">
      <c r="A141" s="2"/>
      <c r="AY141" s="69"/>
    </row>
    <row r="142" spans="1:51">
      <c r="A142" s="2"/>
      <c r="AY142" s="69"/>
    </row>
    <row r="143" spans="1:51">
      <c r="A143" s="2"/>
      <c r="AY143" s="69"/>
    </row>
    <row r="144" spans="1:51">
      <c r="A144" s="2"/>
      <c r="AY144" s="69"/>
    </row>
    <row r="145" spans="1:51">
      <c r="A145" s="2"/>
      <c r="AY145" s="69"/>
    </row>
    <row r="146" spans="1:51">
      <c r="A146" s="2"/>
      <c r="AY146" s="69"/>
    </row>
    <row r="147" spans="1:51">
      <c r="A147" s="2"/>
      <c r="AY147" s="69"/>
    </row>
    <row r="148" spans="1:51">
      <c r="A148" s="2"/>
      <c r="AY148" s="69"/>
    </row>
    <row r="149" spans="1:51">
      <c r="A149" s="2"/>
      <c r="AY149" s="69"/>
    </row>
    <row r="150" spans="1:51">
      <c r="A150" s="2"/>
      <c r="AY150" s="69"/>
    </row>
    <row r="151" spans="1:51">
      <c r="A151" s="2"/>
      <c r="AY151" s="69"/>
    </row>
    <row r="152" spans="1:51">
      <c r="A152" s="2"/>
      <c r="AY152" s="69"/>
    </row>
    <row r="153" spans="1:51">
      <c r="A153" s="2"/>
      <c r="AY153" s="69"/>
    </row>
    <row r="154" spans="1:51">
      <c r="A154" s="2"/>
      <c r="AY154" s="69"/>
    </row>
    <row r="155" spans="1:51">
      <c r="A155" s="2"/>
      <c r="AY155" s="69"/>
    </row>
    <row r="156" spans="1:51">
      <c r="A156" s="2"/>
      <c r="AY156" s="69"/>
    </row>
    <row r="157" spans="1:51">
      <c r="A157" s="2"/>
      <c r="AY157" s="69"/>
    </row>
    <row r="158" spans="1:51">
      <c r="A158" s="2"/>
      <c r="AY158" s="69"/>
    </row>
    <row r="159" spans="1:51">
      <c r="A159" s="2"/>
      <c r="AY159" s="69"/>
    </row>
    <row r="160" spans="1:51">
      <c r="A160" s="2"/>
      <c r="AY160" s="69"/>
    </row>
    <row r="161" spans="1:51">
      <c r="A161" s="2"/>
      <c r="AY161" s="69"/>
    </row>
    <row r="162" spans="1:51">
      <c r="A162" s="2"/>
      <c r="AY162" s="69"/>
    </row>
    <row r="163" spans="1:51">
      <c r="A163" s="2"/>
      <c r="AY163" s="69"/>
    </row>
    <row r="164" spans="1:51">
      <c r="A164" s="2"/>
      <c r="AY164" s="69"/>
    </row>
    <row r="165" spans="1:51">
      <c r="A165" s="2"/>
      <c r="AY165" s="69"/>
    </row>
    <row r="166" spans="1:51">
      <c r="A166" s="2"/>
      <c r="AY166" s="69"/>
    </row>
    <row r="167" spans="1:51">
      <c r="A167" s="2"/>
      <c r="AY167" s="69"/>
    </row>
    <row r="168" spans="1:51">
      <c r="A168" s="2"/>
      <c r="AY168" s="69"/>
    </row>
    <row r="169" spans="1:51">
      <c r="A169" s="2"/>
      <c r="AY169" s="69"/>
    </row>
    <row r="170" spans="1:51">
      <c r="A170" s="2"/>
      <c r="AY170" s="69"/>
    </row>
    <row r="171" spans="1:51">
      <c r="A171" s="2"/>
      <c r="AY171" s="69"/>
    </row>
    <row r="172" spans="1:51">
      <c r="A172" s="2"/>
      <c r="AY172" s="69"/>
    </row>
    <row r="173" spans="1:51">
      <c r="A173" s="2"/>
      <c r="AY173" s="69"/>
    </row>
    <row r="174" spans="1:51">
      <c r="A174" s="2"/>
      <c r="AY174" s="69"/>
    </row>
    <row r="175" spans="1:51">
      <c r="A175" s="2"/>
      <c r="AY175" s="69"/>
    </row>
    <row r="176" spans="1:51">
      <c r="A176" s="2"/>
      <c r="AY176" s="69"/>
    </row>
    <row r="177" spans="1:51">
      <c r="A177" s="2"/>
      <c r="AY177" s="69"/>
    </row>
    <row r="178" spans="1:51">
      <c r="A178" s="2"/>
      <c r="AY178" s="69"/>
    </row>
    <row r="179" spans="1:51">
      <c r="A179" s="2"/>
      <c r="AY179" s="69"/>
    </row>
    <row r="180" spans="1:51">
      <c r="A180" s="2"/>
      <c r="AY180" s="69"/>
    </row>
    <row r="181" spans="1:51">
      <c r="A181" s="2"/>
      <c r="AY181" s="69"/>
    </row>
    <row r="182" spans="1:51">
      <c r="A182" s="2"/>
      <c r="AY182" s="69"/>
    </row>
    <row r="183" spans="1:51">
      <c r="A183" s="2"/>
      <c r="AY183" s="69"/>
    </row>
    <row r="184" spans="1:51">
      <c r="A184" s="2"/>
      <c r="AY184" s="69"/>
    </row>
    <row r="185" spans="1:51">
      <c r="A185" s="2"/>
      <c r="AY185" s="69"/>
    </row>
    <row r="186" spans="1:51">
      <c r="A186" s="2"/>
      <c r="AY186" s="69"/>
    </row>
    <row r="187" spans="1:51">
      <c r="A187" s="2"/>
      <c r="AY187" s="69"/>
    </row>
    <row r="188" spans="1:51">
      <c r="A188" s="2"/>
      <c r="AY188" s="69"/>
    </row>
    <row r="189" spans="1:51">
      <c r="A189" s="2"/>
      <c r="AY189" s="69"/>
    </row>
    <row r="190" spans="1:51">
      <c r="A190" s="2"/>
      <c r="AY190" s="69"/>
    </row>
    <row r="191" spans="1:51">
      <c r="A191" s="2"/>
      <c r="AY191" s="69"/>
    </row>
    <row r="192" spans="1:51">
      <c r="A192" s="2"/>
      <c r="AY192" s="69"/>
    </row>
    <row r="193" spans="1:51">
      <c r="A193" s="2"/>
      <c r="AY193" s="69"/>
    </row>
    <row r="194" spans="1:51">
      <c r="A194" s="2"/>
      <c r="AY194" s="69"/>
    </row>
    <row r="195" spans="1:51">
      <c r="A195" s="2"/>
      <c r="AY195" s="69"/>
    </row>
    <row r="196" spans="1:51">
      <c r="A196" s="2"/>
      <c r="AY196" s="69"/>
    </row>
    <row r="197" spans="1:51">
      <c r="A197" s="2"/>
      <c r="AY197" s="69"/>
    </row>
    <row r="198" spans="1:51">
      <c r="A198" s="2"/>
      <c r="AY198" s="69"/>
    </row>
    <row r="199" spans="1:51">
      <c r="A199" s="2"/>
      <c r="AY199" s="69"/>
    </row>
    <row r="200" spans="1:51">
      <c r="A200" s="2"/>
      <c r="AY200" s="69"/>
    </row>
    <row r="201" spans="1:51">
      <c r="A201" s="2"/>
      <c r="AY201" s="69"/>
    </row>
    <row r="202" spans="1:51">
      <c r="A202" s="2"/>
      <c r="AY202" s="69"/>
    </row>
    <row r="203" spans="1:51">
      <c r="A203" s="2"/>
      <c r="AY203" s="69"/>
    </row>
    <row r="204" spans="1:51">
      <c r="A204" s="2"/>
      <c r="AY204" s="69"/>
    </row>
    <row r="205" spans="1:51">
      <c r="A205" s="2"/>
      <c r="AY205" s="69"/>
    </row>
    <row r="206" spans="1:51">
      <c r="A206" s="2"/>
      <c r="AY206" s="69"/>
    </row>
    <row r="207" spans="1:51">
      <c r="A207" s="2"/>
      <c r="AY207" s="69"/>
    </row>
    <row r="208" spans="1:51">
      <c r="A208" s="2"/>
      <c r="AY208" s="69"/>
    </row>
    <row r="209" spans="1:51">
      <c r="A209" s="2"/>
      <c r="AY209" s="69"/>
    </row>
    <row r="210" spans="1:51">
      <c r="A210" s="2"/>
      <c r="AY210" s="69"/>
    </row>
    <row r="211" spans="1:51">
      <c r="A211" s="2"/>
      <c r="AY211" s="69"/>
    </row>
    <row r="212" spans="1:51">
      <c r="A212" s="2"/>
      <c r="AY212" s="69"/>
    </row>
    <row r="213" spans="1:51">
      <c r="A213" s="2"/>
      <c r="AY213" s="69"/>
    </row>
    <row r="214" spans="1:51">
      <c r="A214" s="2"/>
      <c r="AY214" s="69"/>
    </row>
    <row r="215" spans="1:51">
      <c r="A215" s="2"/>
      <c r="AY215" s="69"/>
    </row>
    <row r="216" spans="1:51">
      <c r="A216" s="2"/>
      <c r="AY216" s="69"/>
    </row>
    <row r="217" spans="1:51">
      <c r="A217" s="2"/>
      <c r="AY217" s="69"/>
    </row>
    <row r="218" spans="1:51">
      <c r="A218" s="2"/>
      <c r="AY218" s="69"/>
    </row>
    <row r="219" spans="1:51">
      <c r="A219" s="2"/>
      <c r="AY219" s="69"/>
    </row>
    <row r="220" spans="1:51">
      <c r="A220" s="2"/>
      <c r="AY220" s="69"/>
    </row>
    <row r="221" spans="1:51">
      <c r="A221" s="2"/>
      <c r="AY221" s="69"/>
    </row>
    <row r="222" spans="1:51">
      <c r="A222" s="2"/>
      <c r="AY222" s="69"/>
    </row>
    <row r="223" spans="1:51">
      <c r="A223" s="2"/>
      <c r="AY223" s="69"/>
    </row>
    <row r="224" spans="1:51">
      <c r="A224" s="2"/>
      <c r="AY224" s="69"/>
    </row>
    <row r="225" spans="1:51">
      <c r="A225" s="2"/>
      <c r="AY225" s="69"/>
    </row>
    <row r="226" spans="1:51">
      <c r="A226" s="2"/>
      <c r="AY226" s="69"/>
    </row>
    <row r="227" spans="1:51">
      <c r="A227" s="2"/>
      <c r="AY227" s="69"/>
    </row>
    <row r="228" spans="1:51">
      <c r="A228" s="2"/>
      <c r="AY228" s="69"/>
    </row>
    <row r="229" spans="1:51">
      <c r="A229" s="2"/>
      <c r="AY229" s="69"/>
    </row>
    <row r="230" spans="1:51">
      <c r="A230" s="2"/>
      <c r="AY230" s="69"/>
    </row>
    <row r="231" spans="1:51">
      <c r="A231" s="2"/>
      <c r="AY231" s="69"/>
    </row>
    <row r="232" spans="1:51">
      <c r="A232" s="2"/>
      <c r="AY232" s="69"/>
    </row>
    <row r="233" spans="1:51">
      <c r="A233" s="2"/>
      <c r="AY233" s="69"/>
    </row>
    <row r="234" spans="1:51">
      <c r="A234" s="2"/>
      <c r="AY234" s="69"/>
    </row>
    <row r="235" spans="1:51">
      <c r="A235" s="2"/>
      <c r="AY235" s="69"/>
    </row>
    <row r="236" spans="1:51">
      <c r="A236" s="2"/>
      <c r="AY236" s="69"/>
    </row>
    <row r="237" spans="1:51">
      <c r="A237" s="2"/>
      <c r="AY237" s="69"/>
    </row>
    <row r="238" spans="1:51">
      <c r="A238" s="2"/>
      <c r="AY238" s="69"/>
    </row>
    <row r="239" spans="1:51">
      <c r="A239" s="2"/>
      <c r="AY239" s="69"/>
    </row>
    <row r="240" spans="1:51">
      <c r="A240" s="2"/>
      <c r="AY240" s="69"/>
    </row>
    <row r="241" spans="1:51">
      <c r="A241" s="2"/>
      <c r="AY241" s="69"/>
    </row>
    <row r="242" spans="1:51">
      <c r="A242" s="2"/>
      <c r="AY242" s="69"/>
    </row>
    <row r="243" spans="1:51">
      <c r="A243" s="2"/>
      <c r="AY243" s="69"/>
    </row>
    <row r="244" spans="1:51">
      <c r="A244" s="2"/>
      <c r="AY244" s="69"/>
    </row>
    <row r="245" spans="1:51">
      <c r="A245" s="2"/>
      <c r="AY245" s="69"/>
    </row>
    <row r="246" spans="1:51">
      <c r="A246" s="2"/>
      <c r="AY246" s="69"/>
    </row>
    <row r="247" spans="1:51">
      <c r="A247" s="2"/>
      <c r="AY247" s="69"/>
    </row>
    <row r="248" spans="1:51">
      <c r="A248" s="2"/>
      <c r="AY248" s="69"/>
    </row>
    <row r="249" spans="1:51">
      <c r="A249" s="2"/>
      <c r="AY249" s="69"/>
    </row>
    <row r="250" spans="1:51">
      <c r="A250" s="2"/>
      <c r="AY250" s="69"/>
    </row>
    <row r="251" spans="1:51">
      <c r="A251" s="2"/>
      <c r="AY251" s="69"/>
    </row>
    <row r="252" spans="1:51">
      <c r="A252" s="2"/>
      <c r="AY252" s="69"/>
    </row>
    <row r="253" spans="1:51">
      <c r="A253" s="2"/>
      <c r="AY253" s="69"/>
    </row>
    <row r="254" spans="1:51">
      <c r="A254" s="2"/>
      <c r="AY254" s="69"/>
    </row>
    <row r="255" spans="1:51">
      <c r="A255" s="2"/>
      <c r="AY255" s="69"/>
    </row>
    <row r="256" spans="1:51">
      <c r="A256" s="2"/>
      <c r="AY256" s="69"/>
    </row>
    <row r="257" spans="1:51">
      <c r="A257" s="2"/>
      <c r="AY257" s="69"/>
    </row>
    <row r="258" spans="1:51">
      <c r="A258" s="2"/>
      <c r="AY258" s="69"/>
    </row>
    <row r="259" spans="1:51">
      <c r="A259" s="2"/>
      <c r="AY259" s="69"/>
    </row>
    <row r="260" spans="1:51">
      <c r="A260" s="2"/>
      <c r="AY260" s="69"/>
    </row>
    <row r="261" spans="1:51">
      <c r="A261" s="2"/>
      <c r="AY261" s="69"/>
    </row>
    <row r="262" spans="1:51">
      <c r="A262" s="2"/>
      <c r="AY262" s="69"/>
    </row>
    <row r="263" spans="1:51">
      <c r="A263" s="2"/>
      <c r="AY263" s="69"/>
    </row>
    <row r="264" spans="1:51">
      <c r="A264" s="2"/>
      <c r="AY264" s="69"/>
    </row>
    <row r="265" spans="1:51">
      <c r="A265" s="2"/>
      <c r="AY265" s="69"/>
    </row>
    <row r="266" spans="1:51">
      <c r="A266" s="2"/>
      <c r="AY266" s="69"/>
    </row>
    <row r="267" spans="1:51">
      <c r="A267" s="2"/>
      <c r="AY267" s="69"/>
    </row>
    <row r="268" spans="1:51">
      <c r="A268" s="2"/>
      <c r="AY268" s="69"/>
    </row>
    <row r="269" spans="1:51">
      <c r="A269" s="2"/>
      <c r="AY269" s="69"/>
    </row>
    <row r="270" spans="1:51">
      <c r="A270" s="2"/>
      <c r="AY270" s="69"/>
    </row>
    <row r="271" spans="1:51">
      <c r="A271" s="2"/>
      <c r="AY271" s="69"/>
    </row>
    <row r="272" spans="1:51">
      <c r="A272" s="2"/>
      <c r="AY272" s="69"/>
    </row>
    <row r="273" spans="1:51">
      <c r="A273" s="2"/>
      <c r="AY273" s="69"/>
    </row>
    <row r="274" spans="1:51">
      <c r="A274" s="2"/>
      <c r="AY274" s="69"/>
    </row>
    <row r="275" spans="1:51">
      <c r="A275" s="2"/>
      <c r="AY275" s="69"/>
    </row>
    <row r="276" spans="1:51">
      <c r="A276" s="2"/>
      <c r="AY276" s="69"/>
    </row>
    <row r="277" spans="1:51">
      <c r="A277" s="2"/>
      <c r="AY277" s="69"/>
    </row>
    <row r="278" spans="1:51">
      <c r="A278" s="2"/>
      <c r="AY278" s="69"/>
    </row>
    <row r="279" spans="1:51">
      <c r="A279" s="2"/>
      <c r="AY279" s="69"/>
    </row>
    <row r="280" spans="1:51">
      <c r="A280" s="2"/>
      <c r="AY280" s="69"/>
    </row>
    <row r="281" spans="1:51">
      <c r="A281" s="2"/>
      <c r="AY281" s="69"/>
    </row>
    <row r="282" spans="1:51">
      <c r="A282" s="2"/>
      <c r="AY282" s="69"/>
    </row>
    <row r="283" spans="1:51">
      <c r="A283" s="2"/>
      <c r="AY283" s="69"/>
    </row>
    <row r="284" spans="1:51">
      <c r="A284" s="2"/>
      <c r="AY284" s="69"/>
    </row>
    <row r="285" spans="1:51">
      <c r="A285" s="2"/>
      <c r="AY285" s="69"/>
    </row>
    <row r="286" spans="1:51">
      <c r="A286" s="2"/>
      <c r="AY286" s="69"/>
    </row>
    <row r="287" spans="1:51">
      <c r="A287" s="2"/>
      <c r="AY287" s="69"/>
    </row>
    <row r="288" spans="1:51">
      <c r="A288" s="2"/>
      <c r="AY288" s="69"/>
    </row>
    <row r="289" spans="1:51">
      <c r="A289" s="2"/>
      <c r="AY289" s="69"/>
    </row>
    <row r="290" spans="1:51">
      <c r="A290" s="2"/>
      <c r="AY290" s="69"/>
    </row>
    <row r="291" spans="1:51">
      <c r="A291" s="2"/>
      <c r="AY291" s="69"/>
    </row>
    <row r="292" spans="1:51">
      <c r="A292" s="2"/>
      <c r="AY292" s="69"/>
    </row>
    <row r="293" spans="1:51">
      <c r="A293" s="2"/>
      <c r="AY293" s="69"/>
    </row>
    <row r="294" spans="1:51">
      <c r="A294" s="2"/>
      <c r="AY294" s="69"/>
    </row>
    <row r="295" spans="1:51">
      <c r="A295" s="2"/>
      <c r="AY295" s="69"/>
    </row>
    <row r="296" spans="1:51">
      <c r="A296" s="2"/>
      <c r="AY296" s="69"/>
    </row>
    <row r="297" spans="1:51">
      <c r="A297" s="2"/>
      <c r="AY297" s="69"/>
    </row>
    <row r="298" spans="1:51">
      <c r="A298" s="2"/>
      <c r="AY298" s="69"/>
    </row>
    <row r="299" spans="1:51">
      <c r="A299" s="2"/>
      <c r="AY299" s="69"/>
    </row>
    <row r="300" spans="1:51">
      <c r="A300" s="2"/>
      <c r="AY300" s="69"/>
    </row>
    <row r="301" spans="1:51">
      <c r="A301" s="2"/>
      <c r="AY301" s="69"/>
    </row>
    <row r="302" spans="1:51">
      <c r="A302" s="2"/>
      <c r="AY302" s="69"/>
    </row>
    <row r="303" spans="1:51">
      <c r="A303" s="2"/>
      <c r="AY303" s="69"/>
    </row>
    <row r="304" spans="1:51">
      <c r="A304" s="2"/>
      <c r="AY304" s="69"/>
    </row>
    <row r="305" spans="1:51">
      <c r="A305" s="2"/>
      <c r="AY305" s="69"/>
    </row>
    <row r="306" spans="1:51">
      <c r="A306" s="2"/>
      <c r="AY306" s="69"/>
    </row>
    <row r="307" spans="1:51">
      <c r="A307" s="2"/>
      <c r="AY307" s="69"/>
    </row>
    <row r="308" spans="1:51">
      <c r="A308" s="2"/>
      <c r="AY308" s="69"/>
    </row>
    <row r="309" spans="1:51">
      <c r="A309" s="2"/>
      <c r="AY309" s="69"/>
    </row>
    <row r="310" spans="1:51">
      <c r="A310" s="2"/>
      <c r="AY310" s="69"/>
    </row>
    <row r="311" spans="1:51">
      <c r="A311" s="2"/>
      <c r="AY311" s="69"/>
    </row>
    <row r="312" spans="1:51">
      <c r="A312" s="2"/>
      <c r="AY312" s="69"/>
    </row>
    <row r="313" spans="1:51">
      <c r="A313" s="2"/>
      <c r="AY313" s="69"/>
    </row>
    <row r="314" spans="1:51">
      <c r="A314" s="2"/>
      <c r="AY314" s="69"/>
    </row>
    <row r="315" spans="1:51">
      <c r="A315" s="2"/>
      <c r="AY315" s="69"/>
    </row>
    <row r="316" spans="1:51">
      <c r="A316" s="2"/>
      <c r="AY316" s="69"/>
    </row>
    <row r="317" spans="1:51">
      <c r="A317" s="2"/>
      <c r="AY317" s="69"/>
    </row>
    <row r="318" spans="1:51">
      <c r="A318" s="2"/>
      <c r="AY318" s="69"/>
    </row>
    <row r="319" spans="1:51">
      <c r="A319" s="2"/>
      <c r="AY319" s="69"/>
    </row>
    <row r="320" spans="1:51">
      <c r="A320" s="2"/>
      <c r="AY320" s="69"/>
    </row>
    <row r="321" spans="1:51">
      <c r="A321" s="2"/>
      <c r="AY321" s="69"/>
    </row>
    <row r="322" spans="1:51">
      <c r="A322" s="2"/>
      <c r="AY322" s="69"/>
    </row>
    <row r="323" spans="1:51">
      <c r="A323" s="2"/>
      <c r="AY323" s="69"/>
    </row>
    <row r="324" spans="1:51">
      <c r="A324" s="2"/>
      <c r="AY324" s="69"/>
    </row>
    <row r="325" spans="1:51">
      <c r="A325" s="2"/>
      <c r="AY325" s="69"/>
    </row>
    <row r="326" spans="1:51">
      <c r="A326" s="2"/>
      <c r="AY326" s="69"/>
    </row>
    <row r="327" spans="1:51">
      <c r="A327" s="2"/>
      <c r="AY327" s="69"/>
    </row>
    <row r="328" spans="1:51">
      <c r="A328" s="2"/>
      <c r="AY328" s="69"/>
    </row>
    <row r="329" spans="1:51">
      <c r="A329" s="2"/>
      <c r="AY329" s="69"/>
    </row>
    <row r="330" spans="1:51">
      <c r="A330" s="2"/>
      <c r="AY330" s="69"/>
    </row>
    <row r="331" spans="1:51">
      <c r="A331" s="2"/>
      <c r="AY331" s="69"/>
    </row>
    <row r="332" spans="1:51">
      <c r="A332" s="2"/>
      <c r="AY332" s="69"/>
    </row>
    <row r="333" spans="1:51">
      <c r="A333" s="2"/>
      <c r="AY333" s="69"/>
    </row>
    <row r="334" spans="1:51">
      <c r="A334" s="2"/>
      <c r="AY334" s="69"/>
    </row>
    <row r="335" spans="1:51">
      <c r="A335" s="2"/>
      <c r="AY335" s="69"/>
    </row>
    <row r="336" spans="1:51">
      <c r="A336" s="2"/>
      <c r="AY336" s="69"/>
    </row>
    <row r="337" spans="1:51">
      <c r="A337" s="2"/>
      <c r="AY337" s="69"/>
    </row>
    <row r="338" spans="1:51">
      <c r="A338" s="2"/>
      <c r="AY338" s="69"/>
    </row>
    <row r="339" spans="1:51">
      <c r="A339" s="2"/>
      <c r="AY339" s="69"/>
    </row>
    <row r="340" spans="1:51">
      <c r="A340" s="2"/>
      <c r="AY340" s="69"/>
    </row>
    <row r="341" spans="1:51">
      <c r="A341" s="2"/>
      <c r="AY341" s="69"/>
    </row>
    <row r="342" spans="1:51">
      <c r="A342" s="2"/>
      <c r="AY342" s="69"/>
    </row>
    <row r="343" spans="1:51">
      <c r="A343" s="2"/>
      <c r="AY343" s="69"/>
    </row>
    <row r="344" spans="1:51">
      <c r="A344" s="2"/>
      <c r="AY344" s="69"/>
    </row>
    <row r="345" spans="1:51">
      <c r="A345" s="2"/>
      <c r="AY345" s="69"/>
    </row>
    <row r="346" spans="1:51">
      <c r="A346" s="2"/>
      <c r="AY346" s="69"/>
    </row>
    <row r="347" spans="1:51">
      <c r="A347" s="2"/>
      <c r="AY347" s="69"/>
    </row>
    <row r="348" spans="1:51">
      <c r="A348" s="2"/>
      <c r="AY348" s="69"/>
    </row>
    <row r="349" spans="1:51">
      <c r="A349" s="2"/>
      <c r="AY349" s="69"/>
    </row>
    <row r="350" spans="1:51">
      <c r="A350" s="2"/>
      <c r="AY350" s="69"/>
    </row>
    <row r="351" spans="1:51">
      <c r="A351" s="2"/>
      <c r="AY351" s="69"/>
    </row>
    <row r="352" spans="1:51">
      <c r="A352" s="2"/>
      <c r="AY352" s="69"/>
    </row>
    <row r="353" spans="1:51">
      <c r="A353" s="2"/>
      <c r="AY353" s="69"/>
    </row>
    <row r="354" spans="1:51">
      <c r="A354" s="2"/>
      <c r="AY354" s="69"/>
    </row>
    <row r="355" spans="1:51">
      <c r="A355" s="2"/>
      <c r="AY355" s="69"/>
    </row>
    <row r="356" spans="1:51">
      <c r="A356" s="2"/>
      <c r="AY356" s="69"/>
    </row>
    <row r="357" spans="1:51">
      <c r="A357" s="2"/>
      <c r="AY357" s="69"/>
    </row>
    <row r="358" spans="1:51">
      <c r="A358" s="2"/>
      <c r="AY358" s="69"/>
    </row>
    <row r="359" spans="1:51">
      <c r="A359" s="2"/>
      <c r="AY359" s="69"/>
    </row>
    <row r="360" spans="1:51">
      <c r="A360" s="2"/>
      <c r="AY360" s="69"/>
    </row>
    <row r="361" spans="1:51">
      <c r="A361" s="2"/>
      <c r="AY361" s="69"/>
    </row>
    <row r="362" spans="1:51">
      <c r="A362" s="2"/>
      <c r="AY362" s="69"/>
    </row>
    <row r="363" spans="1:51">
      <c r="A363" s="2"/>
      <c r="AY363" s="69"/>
    </row>
    <row r="364" spans="1:51">
      <c r="A364" s="2"/>
      <c r="AY364" s="69"/>
    </row>
    <row r="365" spans="1:51">
      <c r="A365" s="2"/>
      <c r="AY365" s="69"/>
    </row>
    <row r="366" spans="1:51">
      <c r="A366" s="2"/>
      <c r="AY366" s="69"/>
    </row>
    <row r="367" spans="1:51">
      <c r="A367" s="2"/>
      <c r="AY367" s="69"/>
    </row>
    <row r="368" spans="1:51">
      <c r="A368" s="2"/>
      <c r="AY368" s="69"/>
    </row>
    <row r="369" spans="1:51">
      <c r="A369" s="2"/>
      <c r="AY369" s="69"/>
    </row>
    <row r="370" spans="1:51">
      <c r="A370" s="2"/>
      <c r="AY370" s="69"/>
    </row>
    <row r="371" spans="1:51">
      <c r="A371" s="2"/>
      <c r="AY371" s="69"/>
    </row>
    <row r="372" spans="1:51">
      <c r="A372" s="2"/>
      <c r="AY372" s="69"/>
    </row>
    <row r="373" spans="1:51">
      <c r="A373" s="2"/>
      <c r="AY373" s="69"/>
    </row>
    <row r="374" spans="1:51">
      <c r="A374" s="2"/>
      <c r="AY374" s="69"/>
    </row>
    <row r="375" spans="1:51">
      <c r="A375" s="2"/>
      <c r="AY375" s="69"/>
    </row>
    <row r="376" spans="1:51">
      <c r="A376" s="2"/>
      <c r="AY376" s="69"/>
    </row>
    <row r="377" spans="1:51">
      <c r="A377" s="2"/>
      <c r="AY377" s="69"/>
    </row>
    <row r="378" spans="1:51">
      <c r="A378" s="2"/>
      <c r="AY378" s="69"/>
    </row>
    <row r="379" spans="1:51">
      <c r="A379" s="2"/>
      <c r="AY379" s="69"/>
    </row>
    <row r="380" spans="1:51">
      <c r="A380" s="2"/>
      <c r="AY380" s="69"/>
    </row>
    <row r="381" spans="1:51">
      <c r="A381" s="2"/>
      <c r="AY381" s="69"/>
    </row>
    <row r="382" spans="1:51">
      <c r="A382" s="2"/>
      <c r="AY382" s="69"/>
    </row>
    <row r="383" spans="1:51">
      <c r="A383" s="2"/>
      <c r="AY383" s="69"/>
    </row>
    <row r="384" spans="1:51">
      <c r="A384" s="2"/>
      <c r="AY384" s="69"/>
    </row>
    <row r="385" spans="1:51">
      <c r="A385" s="2"/>
      <c r="AY385" s="69"/>
    </row>
    <row r="386" spans="1:51">
      <c r="A386" s="2"/>
      <c r="AY386" s="69"/>
    </row>
    <row r="387" spans="1:51">
      <c r="A387" s="2"/>
      <c r="AY387" s="69"/>
    </row>
    <row r="388" spans="1:51">
      <c r="A388" s="2"/>
      <c r="AY388" s="69"/>
    </row>
    <row r="389" spans="1:51">
      <c r="A389" s="2"/>
      <c r="AY389" s="69"/>
    </row>
    <row r="390" spans="1:51">
      <c r="A390" s="2"/>
      <c r="AY390" s="69"/>
    </row>
    <row r="391" spans="1:51">
      <c r="A391" s="2"/>
      <c r="AY391" s="69"/>
    </row>
    <row r="392" spans="1:51">
      <c r="A392" s="2"/>
      <c r="AY392" s="69"/>
    </row>
    <row r="393" spans="1:51">
      <c r="A393" s="2"/>
      <c r="AY393" s="69"/>
    </row>
    <row r="394" spans="1:51">
      <c r="A394" s="2"/>
      <c r="AY394" s="69"/>
    </row>
    <row r="395" spans="1:51">
      <c r="A395" s="2"/>
      <c r="AY395" s="69"/>
    </row>
    <row r="396" spans="1:51">
      <c r="A396" s="2"/>
      <c r="AY396" s="69"/>
    </row>
    <row r="397" spans="1:51">
      <c r="A397" s="2"/>
      <c r="AY397" s="69"/>
    </row>
    <row r="398" spans="1:51">
      <c r="A398" s="2"/>
      <c r="AY398" s="69"/>
    </row>
    <row r="399" spans="1:51">
      <c r="A399" s="2"/>
      <c r="AY399" s="69"/>
    </row>
    <row r="400" spans="1:51">
      <c r="A400" s="2"/>
      <c r="AY400" s="69"/>
    </row>
    <row r="401" spans="1:51">
      <c r="A401" s="2"/>
      <c r="AY401" s="69"/>
    </row>
    <row r="402" spans="1:51">
      <c r="A402" s="2"/>
      <c r="AY402" s="69"/>
    </row>
    <row r="403" spans="1:51">
      <c r="A403" s="2"/>
      <c r="AY403" s="69"/>
    </row>
    <row r="404" spans="1:51">
      <c r="A404" s="2"/>
      <c r="AY404" s="69"/>
    </row>
    <row r="405" spans="1:51">
      <c r="A405" s="2"/>
      <c r="AY405" s="69"/>
    </row>
    <row r="406" spans="1:51">
      <c r="A406" s="2"/>
      <c r="AY406" s="69"/>
    </row>
    <row r="407" spans="1:51">
      <c r="A407" s="2"/>
      <c r="AY407" s="69"/>
    </row>
    <row r="408" spans="1:51">
      <c r="A408" s="2"/>
      <c r="AY408" s="69"/>
    </row>
    <row r="409" spans="1:51">
      <c r="A409" s="2"/>
      <c r="AY409" s="69"/>
    </row>
    <row r="410" spans="1:51">
      <c r="A410" s="2"/>
      <c r="AY410" s="69"/>
    </row>
    <row r="411" spans="1:51">
      <c r="A411" s="2"/>
      <c r="AY411" s="69"/>
    </row>
    <row r="412" spans="1:51">
      <c r="A412" s="2"/>
      <c r="AY412" s="69"/>
    </row>
    <row r="413" spans="1:51">
      <c r="A413" s="2"/>
      <c r="AY413" s="69"/>
    </row>
    <row r="414" spans="1:51">
      <c r="A414" s="2"/>
      <c r="AY414" s="69"/>
    </row>
    <row r="415" spans="1:51">
      <c r="A415" s="2"/>
      <c r="AY415" s="69"/>
    </row>
    <row r="416" spans="1:51">
      <c r="A416" s="2"/>
      <c r="AY416" s="69"/>
    </row>
    <row r="417" spans="1:51">
      <c r="A417" s="2"/>
      <c r="AY417" s="69"/>
    </row>
    <row r="418" spans="1:51">
      <c r="A418" s="2"/>
      <c r="AY418" s="69"/>
    </row>
    <row r="419" spans="1:51">
      <c r="A419" s="2"/>
      <c r="AY419" s="69"/>
    </row>
    <row r="420" spans="1:51">
      <c r="A420" s="2"/>
      <c r="AY420" s="69"/>
    </row>
    <row r="421" spans="1:51">
      <c r="A421" s="2"/>
      <c r="AY421" s="69"/>
    </row>
    <row r="422" spans="1:51">
      <c r="A422" s="2"/>
      <c r="AY422" s="69"/>
    </row>
    <row r="423" spans="1:51">
      <c r="A423" s="2"/>
      <c r="AY423" s="69"/>
    </row>
    <row r="424" spans="1:51">
      <c r="A424" s="2"/>
      <c r="AY424" s="69"/>
    </row>
    <row r="425" spans="1:51">
      <c r="A425" s="2"/>
      <c r="AY425" s="69"/>
    </row>
    <row r="426" spans="1:51">
      <c r="A426" s="2"/>
      <c r="AY426" s="69"/>
    </row>
    <row r="427" spans="1:51">
      <c r="A427" s="2"/>
      <c r="AY427" s="69"/>
    </row>
    <row r="428" spans="1:51">
      <c r="A428" s="2"/>
      <c r="AY428" s="69"/>
    </row>
    <row r="429" spans="1:51">
      <c r="A429" s="2"/>
      <c r="AY429" s="69"/>
    </row>
    <row r="430" spans="1:51">
      <c r="A430" s="2"/>
      <c r="AY430" s="69"/>
    </row>
    <row r="431" spans="1:51">
      <c r="A431" s="2"/>
      <c r="AY431" s="69"/>
    </row>
    <row r="432" spans="1:51">
      <c r="A432" s="2"/>
      <c r="AY432" s="69"/>
    </row>
    <row r="433" spans="1:51">
      <c r="A433" s="2"/>
      <c r="AY433" s="69"/>
    </row>
    <row r="434" spans="1:51">
      <c r="A434" s="2"/>
      <c r="AY434" s="69"/>
    </row>
    <row r="435" spans="1:51">
      <c r="A435" s="2"/>
      <c r="AY435" s="69"/>
    </row>
    <row r="436" spans="1:51">
      <c r="A436" s="2"/>
      <c r="AY436" s="69"/>
    </row>
    <row r="437" spans="1:51">
      <c r="A437" s="2"/>
      <c r="AY437" s="69"/>
    </row>
    <row r="438" spans="1:51">
      <c r="A438" s="2"/>
      <c r="AY438" s="69"/>
    </row>
    <row r="439" spans="1:51">
      <c r="A439" s="2"/>
      <c r="AY439" s="69"/>
    </row>
    <row r="440" spans="1:51">
      <c r="A440" s="2"/>
      <c r="AY440" s="69"/>
    </row>
    <row r="441" spans="1:51">
      <c r="A441" s="2"/>
      <c r="AY441" s="69"/>
    </row>
    <row r="442" spans="1:51">
      <c r="A442" s="2"/>
      <c r="AY442" s="69"/>
    </row>
    <row r="443" spans="1:51">
      <c r="A443" s="2"/>
      <c r="AY443" s="69"/>
    </row>
    <row r="444" spans="1:51">
      <c r="A444" s="2"/>
      <c r="AY444" s="69"/>
    </row>
    <row r="445" spans="1:51">
      <c r="A445" s="2"/>
      <c r="AY445" s="69"/>
    </row>
    <row r="446" spans="1:51">
      <c r="A446" s="2"/>
      <c r="AY446" s="69"/>
    </row>
    <row r="447" spans="1:51">
      <c r="A447" s="2"/>
      <c r="AY447" s="69"/>
    </row>
    <row r="448" spans="1:51">
      <c r="A448" s="2"/>
      <c r="AY448" s="69"/>
    </row>
    <row r="449" spans="1:51">
      <c r="A449" s="2"/>
      <c r="AY449" s="69"/>
    </row>
    <row r="450" spans="1:51">
      <c r="A450" s="2"/>
      <c r="AY450" s="69"/>
    </row>
    <row r="451" spans="1:51">
      <c r="A451" s="2"/>
      <c r="AY451" s="69"/>
    </row>
    <row r="452" spans="1:51">
      <c r="A452" s="2"/>
      <c r="AY452" s="69"/>
    </row>
    <row r="453" spans="1:51">
      <c r="A453" s="2"/>
      <c r="AY453" s="69"/>
    </row>
    <row r="454" spans="1:51">
      <c r="A454" s="2"/>
      <c r="AY454" s="69"/>
    </row>
    <row r="455" spans="1:51">
      <c r="A455" s="2"/>
      <c r="AY455" s="69"/>
    </row>
    <row r="456" spans="1:51">
      <c r="A456" s="2"/>
      <c r="AY456" s="69"/>
    </row>
    <row r="457" spans="1:51">
      <c r="A457" s="2"/>
      <c r="AY457" s="69"/>
    </row>
    <row r="458" spans="1:51">
      <c r="A458" s="2"/>
      <c r="AY458" s="69"/>
    </row>
    <row r="459" spans="1:51">
      <c r="A459" s="2"/>
      <c r="AY459" s="69"/>
    </row>
    <row r="460" spans="1:51">
      <c r="A460" s="2"/>
      <c r="AY460" s="69"/>
    </row>
    <row r="461" spans="1:51">
      <c r="A461" s="2"/>
      <c r="AY461" s="69"/>
    </row>
    <row r="462" spans="1:51">
      <c r="A462" s="2"/>
      <c r="AY462" s="69"/>
    </row>
    <row r="463" spans="1:51">
      <c r="A463" s="2"/>
      <c r="AY463" s="69"/>
    </row>
    <row r="464" spans="1:51">
      <c r="A464" s="2"/>
      <c r="AY464" s="69"/>
    </row>
    <row r="465" spans="1:51">
      <c r="A465" s="2"/>
      <c r="AY465" s="69"/>
    </row>
    <row r="466" spans="1:51">
      <c r="A466" s="2"/>
      <c r="AY466" s="69"/>
    </row>
    <row r="467" spans="1:51">
      <c r="A467" s="2"/>
      <c r="AY467" s="69"/>
    </row>
    <row r="468" spans="1:51">
      <c r="A468" s="2"/>
      <c r="AY468" s="69"/>
    </row>
    <row r="469" spans="1:51">
      <c r="A469" s="2"/>
      <c r="AY469" s="69"/>
    </row>
    <row r="470" spans="1:51">
      <c r="A470" s="2"/>
      <c r="AY470" s="69"/>
    </row>
    <row r="471" spans="1:51">
      <c r="A471" s="2"/>
      <c r="AY471" s="69"/>
    </row>
    <row r="472" spans="1:51">
      <c r="A472" s="2"/>
      <c r="AY472" s="69"/>
    </row>
    <row r="473" spans="1:51">
      <c r="A473" s="2"/>
      <c r="AY473" s="69"/>
    </row>
    <row r="474" spans="1:51">
      <c r="A474" s="2"/>
      <c r="AY474" s="69"/>
    </row>
    <row r="475" spans="1:51">
      <c r="A475" s="2"/>
      <c r="AY475" s="69"/>
    </row>
    <row r="476" spans="1:51">
      <c r="A476" s="2"/>
      <c r="AY476" s="69"/>
    </row>
    <row r="477" spans="1:51">
      <c r="A477" s="2"/>
      <c r="AY477" s="69"/>
    </row>
    <row r="478" spans="1:51">
      <c r="A478" s="2"/>
      <c r="AY478" s="69"/>
    </row>
    <row r="479" spans="1:51">
      <c r="A479" s="2"/>
      <c r="AY479" s="69"/>
    </row>
    <row r="480" spans="1:51">
      <c r="A480" s="2"/>
      <c r="AY480" s="69"/>
    </row>
    <row r="481" spans="1:51">
      <c r="A481" s="2"/>
      <c r="AY481" s="69"/>
    </row>
    <row r="482" spans="1:51">
      <c r="A482" s="2"/>
      <c r="AY482" s="69"/>
    </row>
    <row r="483" spans="1:51">
      <c r="A483" s="2"/>
      <c r="AY483" s="69"/>
    </row>
    <row r="484" spans="1:51">
      <c r="A484" s="2"/>
      <c r="AY484" s="69"/>
    </row>
    <row r="485" spans="1:51">
      <c r="A485" s="2"/>
      <c r="AY485" s="69"/>
    </row>
    <row r="486" spans="1:51">
      <c r="A486" s="2"/>
      <c r="AY486" s="69"/>
    </row>
    <row r="487" spans="1:51">
      <c r="A487" s="2"/>
      <c r="AY487" s="69"/>
    </row>
    <row r="488" spans="1:51">
      <c r="A488" s="2"/>
      <c r="AY488" s="69"/>
    </row>
    <row r="489" spans="1:51">
      <c r="A489" s="2"/>
      <c r="AY489" s="69"/>
    </row>
    <row r="490" spans="1:51">
      <c r="A490" s="2"/>
      <c r="AY490" s="69"/>
    </row>
    <row r="491" spans="1:51">
      <c r="A491" s="2"/>
      <c r="AY491" s="69"/>
    </row>
    <row r="492" spans="1:51">
      <c r="A492" s="2"/>
      <c r="AY492" s="69"/>
    </row>
    <row r="493" spans="1:51">
      <c r="A493" s="2"/>
      <c r="AY493" s="69"/>
    </row>
    <row r="494" spans="1:51">
      <c r="A494" s="2"/>
      <c r="AY494" s="69"/>
    </row>
    <row r="495" spans="1:51">
      <c r="A495" s="2"/>
      <c r="AY495" s="69"/>
    </row>
    <row r="496" spans="1:51">
      <c r="A496" s="2"/>
      <c r="AY496" s="69"/>
    </row>
    <row r="497" spans="1:51">
      <c r="A497" s="2"/>
      <c r="AY497" s="69"/>
    </row>
    <row r="498" spans="1:51">
      <c r="A498" s="2"/>
      <c r="AY498" s="69"/>
    </row>
    <row r="499" spans="1:51">
      <c r="A499" s="2"/>
      <c r="AY499" s="69"/>
    </row>
    <row r="500" spans="1:51">
      <c r="A500" s="2"/>
      <c r="AY500" s="69"/>
    </row>
    <row r="501" spans="1:51">
      <c r="A501" s="2"/>
      <c r="AY501" s="69"/>
    </row>
    <row r="502" spans="1:51">
      <c r="A502" s="2"/>
      <c r="AY502" s="69"/>
    </row>
    <row r="503" spans="1:51">
      <c r="A503" s="2"/>
      <c r="AY503" s="69"/>
    </row>
    <row r="504" spans="1:51">
      <c r="A504" s="2"/>
      <c r="AY504" s="69"/>
    </row>
    <row r="505" spans="1:51">
      <c r="A505" s="2"/>
      <c r="AY505" s="69"/>
    </row>
    <row r="506" spans="1:51">
      <c r="A506" s="2"/>
      <c r="AY506" s="69"/>
    </row>
    <row r="507" spans="1:51">
      <c r="A507" s="2"/>
      <c r="AY507" s="69"/>
    </row>
    <row r="508" spans="1:51">
      <c r="A508" s="2"/>
      <c r="AY508" s="69"/>
    </row>
    <row r="509" spans="1:51">
      <c r="A509" s="2"/>
      <c r="AY509" s="69"/>
    </row>
    <row r="510" spans="1:51">
      <c r="A510" s="2"/>
      <c r="AY510" s="69"/>
    </row>
    <row r="511" spans="1:51">
      <c r="A511" s="2"/>
      <c r="AY511" s="69"/>
    </row>
    <row r="512" spans="1:51">
      <c r="A512" s="2"/>
      <c r="AY512" s="69"/>
    </row>
    <row r="513" spans="1:51">
      <c r="A513" s="2"/>
      <c r="AY513" s="69"/>
    </row>
    <row r="514" spans="1:51">
      <c r="A514" s="2"/>
      <c r="AY514" s="69"/>
    </row>
    <row r="515" spans="1:51">
      <c r="A515" s="2"/>
      <c r="AY515" s="69"/>
    </row>
    <row r="516" spans="1:51">
      <c r="A516" s="2"/>
      <c r="AY516" s="69"/>
    </row>
    <row r="517" spans="1:51">
      <c r="A517" s="2"/>
      <c r="AY517" s="69"/>
    </row>
    <row r="518" spans="1:51">
      <c r="A518" s="2"/>
      <c r="AY518" s="69"/>
    </row>
    <row r="519" spans="1:51">
      <c r="A519" s="2"/>
      <c r="AY519" s="69"/>
    </row>
    <row r="520" spans="1:51">
      <c r="A520" s="2"/>
      <c r="AY520" s="69"/>
    </row>
    <row r="521" spans="1:51">
      <c r="A521" s="2"/>
      <c r="AY521" s="69"/>
    </row>
    <row r="522" spans="1:51">
      <c r="A522" s="2"/>
      <c r="AY522" s="69"/>
    </row>
    <row r="523" spans="1:51">
      <c r="A523" s="2"/>
      <c r="AY523" s="69"/>
    </row>
    <row r="524" spans="1:51">
      <c r="A524" s="2"/>
      <c r="AY524" s="69"/>
    </row>
    <row r="525" spans="1:51">
      <c r="A525" s="2"/>
      <c r="AY525" s="69"/>
    </row>
    <row r="526" spans="1:51">
      <c r="A526" s="2"/>
      <c r="AY526" s="69"/>
    </row>
    <row r="527" spans="1:51">
      <c r="A527" s="2"/>
      <c r="AY527" s="69"/>
    </row>
    <row r="528" spans="1:51">
      <c r="A528" s="2"/>
      <c r="AY528" s="69"/>
    </row>
    <row r="529" spans="1:51">
      <c r="A529" s="2"/>
      <c r="AY529" s="69"/>
    </row>
    <row r="530" spans="1:51">
      <c r="A530" s="2"/>
      <c r="AY530" s="69"/>
    </row>
    <row r="531" spans="1:51">
      <c r="A531" s="2"/>
      <c r="AY531" s="69"/>
    </row>
    <row r="532" spans="1:51">
      <c r="A532" s="2"/>
      <c r="AY532" s="69"/>
    </row>
    <row r="533" spans="1:51">
      <c r="A533" s="2"/>
      <c r="AY533" s="69"/>
    </row>
    <row r="534" spans="1:51">
      <c r="A534" s="2"/>
      <c r="AY534" s="69"/>
    </row>
    <row r="535" spans="1:51">
      <c r="A535" s="2"/>
      <c r="AY535" s="69"/>
    </row>
    <row r="536" spans="1:51">
      <c r="A536" s="2"/>
      <c r="AY536" s="69"/>
    </row>
    <row r="537" spans="1:51">
      <c r="A537" s="2"/>
      <c r="AY537" s="69"/>
    </row>
    <row r="538" spans="1:51">
      <c r="A538" s="2"/>
      <c r="AY538" s="69"/>
    </row>
    <row r="539" spans="1:51">
      <c r="A539" s="2"/>
      <c r="AY539" s="69"/>
    </row>
    <row r="540" spans="1:51">
      <c r="A540" s="2"/>
      <c r="AY540" s="69"/>
    </row>
    <row r="541" spans="1:51">
      <c r="A541" s="2"/>
      <c r="AY541" s="69"/>
    </row>
    <row r="542" spans="1:51">
      <c r="A542" s="2"/>
      <c r="AY542" s="69"/>
    </row>
    <row r="543" spans="1:51">
      <c r="A543" s="2"/>
      <c r="AY543" s="69"/>
    </row>
    <row r="544" spans="1:51">
      <c r="A544" s="2"/>
      <c r="AY544" s="69"/>
    </row>
    <row r="545" spans="1:51">
      <c r="A545" s="2"/>
      <c r="AY545" s="69"/>
    </row>
    <row r="546" spans="1:51">
      <c r="A546" s="2"/>
      <c r="AY546" s="69"/>
    </row>
    <row r="547" spans="1:51">
      <c r="A547" s="2"/>
      <c r="AY547" s="69"/>
    </row>
    <row r="548" spans="1:51">
      <c r="A548" s="2"/>
      <c r="AY548" s="69"/>
    </row>
    <row r="549" spans="1:51">
      <c r="A549" s="2"/>
      <c r="AY549" s="69"/>
    </row>
    <row r="550" spans="1:51">
      <c r="A550" s="2"/>
      <c r="AY550" s="69"/>
    </row>
    <row r="551" spans="1:51">
      <c r="A551" s="2"/>
      <c r="AY551" s="69"/>
    </row>
    <row r="552" spans="1:51">
      <c r="A552" s="2"/>
      <c r="AY552" s="69"/>
    </row>
    <row r="553" spans="1:51">
      <c r="A553" s="2"/>
      <c r="AY553" s="69"/>
    </row>
    <row r="554" spans="1:51">
      <c r="A554" s="2"/>
      <c r="AY554" s="69"/>
    </row>
    <row r="555" spans="1:51">
      <c r="A555" s="2"/>
      <c r="AY555" s="69"/>
    </row>
    <row r="556" spans="1:51">
      <c r="A556" s="2"/>
      <c r="AY556" s="69"/>
    </row>
    <row r="557" spans="1:51">
      <c r="A557" s="2"/>
      <c r="AY557" s="69"/>
    </row>
    <row r="558" spans="1:51">
      <c r="A558" s="2"/>
      <c r="AY558" s="69"/>
    </row>
    <row r="559" spans="1:51">
      <c r="A559" s="2"/>
      <c r="AY559" s="69"/>
    </row>
    <row r="560" spans="1:51">
      <c r="A560" s="2"/>
      <c r="AY560" s="69"/>
    </row>
    <row r="561" spans="1:51">
      <c r="A561" s="2"/>
      <c r="AY561" s="69"/>
    </row>
    <row r="562" spans="1:51">
      <c r="A562" s="2"/>
      <c r="AY562" s="69"/>
    </row>
    <row r="563" spans="1:51">
      <c r="A563" s="2"/>
      <c r="AY563" s="69"/>
    </row>
    <row r="564" spans="1:51">
      <c r="A564" s="2"/>
      <c r="AY564" s="69"/>
    </row>
    <row r="565" spans="1:51">
      <c r="A565" s="2"/>
      <c r="AY565" s="69"/>
    </row>
    <row r="566" spans="1:51">
      <c r="A566" s="2"/>
      <c r="AY566" s="69"/>
    </row>
    <row r="567" spans="1:51">
      <c r="A567" s="2"/>
      <c r="AY567" s="69"/>
    </row>
    <row r="568" spans="1:51">
      <c r="A568" s="2"/>
      <c r="AY568" s="69"/>
    </row>
    <row r="569" spans="1:51">
      <c r="A569" s="2"/>
      <c r="AY569" s="69"/>
    </row>
    <row r="570" spans="1:51">
      <c r="A570" s="2"/>
      <c r="AY570" s="69"/>
    </row>
    <row r="571" spans="1:51">
      <c r="A571" s="2"/>
      <c r="AY571" s="69"/>
    </row>
    <row r="572" spans="1:51">
      <c r="A572" s="2"/>
      <c r="AY572" s="69"/>
    </row>
    <row r="573" spans="1:51">
      <c r="A573" s="2"/>
      <c r="AY573" s="69"/>
    </row>
    <row r="574" spans="1:51">
      <c r="A574" s="2"/>
      <c r="AY574" s="69"/>
    </row>
    <row r="575" spans="1:51">
      <c r="A575" s="2"/>
      <c r="AY575" s="69"/>
    </row>
    <row r="576" spans="1:51">
      <c r="A576" s="2"/>
      <c r="AY576" s="69"/>
    </row>
    <row r="577" spans="1:51">
      <c r="A577" s="2"/>
      <c r="AY577" s="69"/>
    </row>
    <row r="578" spans="1:51">
      <c r="A578" s="2"/>
      <c r="AY578" s="69"/>
    </row>
    <row r="579" spans="1:51">
      <c r="A579" s="2"/>
      <c r="AY579" s="69"/>
    </row>
    <row r="580" spans="1:51">
      <c r="A580" s="2"/>
      <c r="AY580" s="69"/>
    </row>
    <row r="581" spans="1:51">
      <c r="A581" s="2"/>
      <c r="AY581" s="69"/>
    </row>
    <row r="582" spans="1:51">
      <c r="A582" s="2"/>
      <c r="AY582" s="69"/>
    </row>
    <row r="583" spans="1:51">
      <c r="A583" s="2"/>
      <c r="AY583" s="69"/>
    </row>
    <row r="584" spans="1:51">
      <c r="A584" s="2"/>
      <c r="AY584" s="69"/>
    </row>
    <row r="585" spans="1:51">
      <c r="A585" s="2"/>
      <c r="AY585" s="69"/>
    </row>
    <row r="586" spans="1:51">
      <c r="A586" s="2"/>
      <c r="AY586" s="69"/>
    </row>
    <row r="587" spans="1:51">
      <c r="A587" s="2"/>
      <c r="AY587" s="69"/>
    </row>
    <row r="588" spans="1:51">
      <c r="A588" s="2"/>
      <c r="AY588" s="69"/>
    </row>
    <row r="589" spans="1:51">
      <c r="A589" s="2"/>
      <c r="AY589" s="69"/>
    </row>
    <row r="590" spans="1:51">
      <c r="A590" s="2"/>
      <c r="AY590" s="69"/>
    </row>
    <row r="591" spans="1:51">
      <c r="A591" s="2"/>
      <c r="AY591" s="69"/>
    </row>
    <row r="592" spans="1:51">
      <c r="A592" s="2"/>
      <c r="AY592" s="69"/>
    </row>
    <row r="593" spans="1:51">
      <c r="A593" s="2"/>
      <c r="AY593" s="69"/>
    </row>
    <row r="594" spans="1:51">
      <c r="A594" s="2"/>
      <c r="AY594" s="69"/>
    </row>
    <row r="595" spans="1:51">
      <c r="A595" s="2"/>
      <c r="AY595" s="69"/>
    </row>
    <row r="596" spans="1:51">
      <c r="A596" s="2"/>
      <c r="AY596" s="69"/>
    </row>
    <row r="597" spans="1:51">
      <c r="A597" s="2"/>
      <c r="AY597" s="69"/>
    </row>
    <row r="598" spans="1:51">
      <c r="A598" s="2"/>
      <c r="AY598" s="69"/>
    </row>
    <row r="599" spans="1:51">
      <c r="A599" s="2"/>
      <c r="AY599" s="69"/>
    </row>
    <row r="600" spans="1:51">
      <c r="A600" s="2"/>
      <c r="AY600" s="69"/>
    </row>
    <row r="601" spans="1:51">
      <c r="A601" s="2"/>
      <c r="AY601" s="69"/>
    </row>
    <row r="602" spans="1:51">
      <c r="A602" s="2"/>
      <c r="AY602" s="69"/>
    </row>
    <row r="603" spans="1:51">
      <c r="A603" s="2"/>
      <c r="AY603" s="69"/>
    </row>
    <row r="604" spans="1:51">
      <c r="A604" s="2"/>
      <c r="AY604" s="69"/>
    </row>
    <row r="605" spans="1:51">
      <c r="A605" s="2"/>
      <c r="AY605" s="69"/>
    </row>
    <row r="606" spans="1:51">
      <c r="A606" s="2"/>
      <c r="AY606" s="69"/>
    </row>
    <row r="607" spans="1:51">
      <c r="A607" s="2"/>
      <c r="AY607" s="69"/>
    </row>
    <row r="608" spans="1:51">
      <c r="A608" s="2"/>
      <c r="AY608" s="69"/>
    </row>
    <row r="609" spans="1:51">
      <c r="A609" s="2"/>
      <c r="AY609" s="69"/>
    </row>
    <row r="610" spans="1:51">
      <c r="A610" s="2"/>
      <c r="AY610" s="69"/>
    </row>
    <row r="611" spans="1:51">
      <c r="A611" s="2"/>
      <c r="AY611" s="69"/>
    </row>
    <row r="612" spans="1:51">
      <c r="A612" s="2"/>
      <c r="AY612" s="69"/>
    </row>
    <row r="613" spans="1:51">
      <c r="A613" s="2"/>
      <c r="AY613" s="69"/>
    </row>
    <row r="614" spans="1:51">
      <c r="A614" s="2"/>
      <c r="AY614" s="69"/>
    </row>
    <row r="615" spans="1:51">
      <c r="A615" s="2"/>
      <c r="AY615" s="69"/>
    </row>
    <row r="616" spans="1:51">
      <c r="A616" s="2"/>
      <c r="AY616" s="69"/>
    </row>
    <row r="617" spans="1:51">
      <c r="A617" s="2"/>
      <c r="AY617" s="69"/>
    </row>
    <row r="618" spans="1:51">
      <c r="A618" s="2"/>
      <c r="AY618" s="69"/>
    </row>
    <row r="619" spans="1:51">
      <c r="A619" s="2"/>
      <c r="AY619" s="69"/>
    </row>
    <row r="620" spans="1:51">
      <c r="A620" s="2"/>
      <c r="AY620" s="69"/>
    </row>
    <row r="621" spans="1:51">
      <c r="A621" s="2"/>
      <c r="AY621" s="69"/>
    </row>
    <row r="622" spans="1:51">
      <c r="A622" s="2"/>
      <c r="AY622" s="69"/>
    </row>
    <row r="623" spans="1:51">
      <c r="A623" s="2"/>
      <c r="AY623" s="69"/>
    </row>
    <row r="624" spans="1:51">
      <c r="A624" s="2"/>
      <c r="AY624" s="69"/>
    </row>
    <row r="625" spans="1:51">
      <c r="A625" s="2"/>
      <c r="AY625" s="69"/>
    </row>
    <row r="626" spans="1:51">
      <c r="A626" s="2"/>
      <c r="AY626" s="69"/>
    </row>
    <row r="627" spans="1:51">
      <c r="A627" s="2"/>
      <c r="AY627" s="69"/>
    </row>
    <row r="628" spans="1:51">
      <c r="A628" s="2"/>
      <c r="AY628" s="69"/>
    </row>
    <row r="629" spans="1:51">
      <c r="A629" s="2"/>
      <c r="AY629" s="69"/>
    </row>
    <row r="630" spans="1:51">
      <c r="A630" s="2"/>
      <c r="AY630" s="69"/>
    </row>
    <row r="631" spans="1:51">
      <c r="A631" s="2"/>
      <c r="AY631" s="69"/>
    </row>
    <row r="632" spans="1:51">
      <c r="A632" s="2"/>
      <c r="AY632" s="69"/>
    </row>
    <row r="633" spans="1:51">
      <c r="A633" s="2"/>
      <c r="AY633" s="69"/>
    </row>
    <row r="634" spans="1:51">
      <c r="A634" s="2"/>
      <c r="AY634" s="69"/>
    </row>
    <row r="635" spans="1:51">
      <c r="A635" s="2"/>
      <c r="AY635" s="69"/>
    </row>
    <row r="636" spans="1:51">
      <c r="A636" s="2"/>
      <c r="AY636" s="69"/>
    </row>
    <row r="637" spans="1:51">
      <c r="A637" s="2"/>
      <c r="AY637" s="69"/>
    </row>
    <row r="638" spans="1:51">
      <c r="A638" s="2"/>
      <c r="AY638" s="69"/>
    </row>
    <row r="639" spans="1:51">
      <c r="A639" s="2"/>
      <c r="AY639" s="69"/>
    </row>
    <row r="640" spans="1:51">
      <c r="A640" s="2"/>
      <c r="AY640" s="69"/>
    </row>
    <row r="641" spans="1:51">
      <c r="A641" s="2"/>
      <c r="AY641" s="69"/>
    </row>
    <row r="642" spans="1:51">
      <c r="A642" s="2"/>
      <c r="AY642" s="69"/>
    </row>
    <row r="643" spans="1:51">
      <c r="A643" s="2"/>
      <c r="AY643" s="69"/>
    </row>
    <row r="644" spans="1:51">
      <c r="A644" s="2"/>
      <c r="AY644" s="69"/>
    </row>
    <row r="645" spans="1:51">
      <c r="A645" s="2"/>
      <c r="AY645" s="69"/>
    </row>
    <row r="646" spans="1:51">
      <c r="A646" s="2"/>
      <c r="AY646" s="69"/>
    </row>
    <row r="647" spans="1:51">
      <c r="A647" s="2"/>
      <c r="AY647" s="69"/>
    </row>
    <row r="648" spans="1:51">
      <c r="A648" s="2"/>
      <c r="AY648" s="69"/>
    </row>
    <row r="649" spans="1:51">
      <c r="A649" s="2"/>
      <c r="AY649" s="69"/>
    </row>
    <row r="650" spans="1:51">
      <c r="A650" s="2"/>
      <c r="AY650" s="69"/>
    </row>
    <row r="651" spans="1:51">
      <c r="A651" s="2"/>
      <c r="AY651" s="69"/>
    </row>
    <row r="652" spans="1:51">
      <c r="A652" s="2"/>
      <c r="AY652" s="69"/>
    </row>
    <row r="653" spans="1:51">
      <c r="A653" s="2"/>
      <c r="AY653" s="69"/>
    </row>
    <row r="654" spans="1:51">
      <c r="A654" s="2"/>
      <c r="AY654" s="69"/>
    </row>
    <row r="655" spans="1:51">
      <c r="A655" s="2"/>
      <c r="AY655" s="69"/>
    </row>
    <row r="656" spans="1:51">
      <c r="A656" s="2"/>
      <c r="AY656" s="69"/>
    </row>
    <row r="657" spans="1:51">
      <c r="A657" s="2"/>
      <c r="AY657" s="69"/>
    </row>
    <row r="658" spans="1:51">
      <c r="A658" s="2"/>
      <c r="AY658" s="69"/>
    </row>
    <row r="659" spans="1:51">
      <c r="A659" s="2"/>
      <c r="AY659" s="69"/>
    </row>
    <row r="660" spans="1:51">
      <c r="A660" s="2"/>
      <c r="AY660" s="69"/>
    </row>
    <row r="661" spans="1:51">
      <c r="A661" s="2"/>
      <c r="AY661" s="69"/>
    </row>
    <row r="662" spans="1:51">
      <c r="A662" s="2"/>
      <c r="AY662" s="69"/>
    </row>
    <row r="663" spans="1:51">
      <c r="A663" s="2"/>
      <c r="AY663" s="69"/>
    </row>
    <row r="664" spans="1:51">
      <c r="A664" s="2"/>
      <c r="AY664" s="69"/>
    </row>
    <row r="665" spans="1:51">
      <c r="A665" s="2"/>
      <c r="AY665" s="69"/>
    </row>
    <row r="666" spans="1:51">
      <c r="A666" s="2"/>
      <c r="AY666" s="69"/>
    </row>
    <row r="667" spans="1:51">
      <c r="A667" s="2"/>
      <c r="AY667" s="69"/>
    </row>
    <row r="668" spans="1:51">
      <c r="A668" s="2"/>
      <c r="AY668" s="69"/>
    </row>
    <row r="669" spans="1:51">
      <c r="A669" s="2"/>
      <c r="AY669" s="69"/>
    </row>
    <row r="670" spans="1:51">
      <c r="A670" s="2"/>
      <c r="AY670" s="69"/>
    </row>
    <row r="671" spans="1:51">
      <c r="A671" s="2"/>
      <c r="AY671" s="69"/>
    </row>
    <row r="672" spans="1:51">
      <c r="A672" s="2"/>
      <c r="AY672" s="69"/>
    </row>
    <row r="673" spans="1:51">
      <c r="A673" s="2"/>
      <c r="AY673" s="69"/>
    </row>
    <row r="674" spans="1:51">
      <c r="A674" s="2"/>
      <c r="AY674" s="69"/>
    </row>
    <row r="675" spans="1:51">
      <c r="A675" s="2"/>
      <c r="AY675" s="69"/>
    </row>
    <row r="676" spans="1:51">
      <c r="A676" s="2"/>
      <c r="AY676" s="69"/>
    </row>
    <row r="677" spans="1:51">
      <c r="A677" s="2"/>
      <c r="AY677" s="69"/>
    </row>
    <row r="678" spans="1:51">
      <c r="A678" s="2"/>
      <c r="AY678" s="69"/>
    </row>
    <row r="679" spans="1:51">
      <c r="A679" s="2"/>
      <c r="AY679" s="69"/>
    </row>
    <row r="680" spans="1:51">
      <c r="A680" s="2"/>
      <c r="AY680" s="69"/>
    </row>
    <row r="681" spans="1:51">
      <c r="A681" s="2"/>
      <c r="AY681" s="69"/>
    </row>
    <row r="682" spans="1:51">
      <c r="A682" s="2"/>
      <c r="AY682" s="69"/>
    </row>
    <row r="683" spans="1:51">
      <c r="A683" s="2"/>
      <c r="AY683" s="69"/>
    </row>
    <row r="684" spans="1:51">
      <c r="A684" s="2"/>
      <c r="AY684" s="69"/>
    </row>
    <row r="685" spans="1:51">
      <c r="A685" s="2"/>
      <c r="AY685" s="69"/>
    </row>
    <row r="686" spans="1:51">
      <c r="A686" s="2"/>
      <c r="AY686" s="69"/>
    </row>
    <row r="687" spans="1:51">
      <c r="A687" s="2"/>
      <c r="AY687" s="69"/>
    </row>
    <row r="688" spans="1:51">
      <c r="A688" s="2"/>
      <c r="AY688" s="69"/>
    </row>
    <row r="689" spans="1:51">
      <c r="A689" s="2"/>
      <c r="AY689" s="69"/>
    </row>
    <row r="690" spans="1:51">
      <c r="A690" s="2"/>
      <c r="AY690" s="69"/>
    </row>
    <row r="691" spans="1:51">
      <c r="A691" s="2"/>
      <c r="AY691" s="69"/>
    </row>
    <row r="692" spans="1:51">
      <c r="A692" s="2"/>
      <c r="AY692" s="69"/>
    </row>
    <row r="693" spans="1:51">
      <c r="A693" s="2"/>
      <c r="AY693" s="69"/>
    </row>
    <row r="694" spans="1:51">
      <c r="A694" s="2"/>
      <c r="AY694" s="69"/>
    </row>
    <row r="695" spans="1:51">
      <c r="A695" s="2"/>
      <c r="AY695" s="69"/>
    </row>
    <row r="696" spans="1:51">
      <c r="A696" s="2"/>
      <c r="AY696" s="69"/>
    </row>
    <row r="697" spans="1:51">
      <c r="A697" s="2"/>
      <c r="AY697" s="69"/>
    </row>
    <row r="698" spans="1:51">
      <c r="A698" s="2"/>
      <c r="AY698" s="69"/>
    </row>
    <row r="699" spans="1:51">
      <c r="A699" s="2"/>
      <c r="AY699" s="69"/>
    </row>
    <row r="700" spans="1:51">
      <c r="A700" s="2"/>
      <c r="AY700" s="69"/>
    </row>
    <row r="701" spans="1:51">
      <c r="A701" s="2"/>
      <c r="AY701" s="69"/>
    </row>
    <row r="702" spans="1:51">
      <c r="A702" s="2"/>
      <c r="AY702" s="69"/>
    </row>
    <row r="703" spans="1:51">
      <c r="A703" s="2"/>
      <c r="AY703" s="69"/>
    </row>
    <row r="704" spans="1:51">
      <c r="A704" s="2"/>
      <c r="AY704" s="69"/>
    </row>
    <row r="705" spans="1:51">
      <c r="A705" s="2"/>
      <c r="AY705" s="69"/>
    </row>
    <row r="706" spans="1:51">
      <c r="A706" s="2"/>
      <c r="AY706" s="69"/>
    </row>
    <row r="707" spans="1:51">
      <c r="A707" s="2"/>
      <c r="AY707" s="69"/>
    </row>
    <row r="708" spans="1:51">
      <c r="A708" s="2"/>
      <c r="AY708" s="69"/>
    </row>
    <row r="709" spans="1:51">
      <c r="A709" s="2"/>
      <c r="AY709" s="69"/>
    </row>
    <row r="710" spans="1:51">
      <c r="A710" s="2"/>
      <c r="AY710" s="69"/>
    </row>
    <row r="711" spans="1:51">
      <c r="A711" s="2"/>
      <c r="AY711" s="69"/>
    </row>
    <row r="712" spans="1:51">
      <c r="A712" s="2"/>
      <c r="AY712" s="69"/>
    </row>
    <row r="713" spans="1:51">
      <c r="A713" s="2"/>
      <c r="AY713" s="69"/>
    </row>
    <row r="714" spans="1:51">
      <c r="A714" s="2"/>
      <c r="AY714" s="69"/>
    </row>
    <row r="715" spans="1:51">
      <c r="A715" s="2"/>
      <c r="AY715" s="69"/>
    </row>
    <row r="716" spans="1:51">
      <c r="A716" s="2"/>
      <c r="AY716" s="69"/>
    </row>
    <row r="717" spans="1:51">
      <c r="A717" s="2"/>
      <c r="AY717" s="69"/>
    </row>
    <row r="718" spans="1:51">
      <c r="A718" s="2"/>
      <c r="AY718" s="69"/>
    </row>
    <row r="719" spans="1:51">
      <c r="A719" s="2"/>
      <c r="AY719" s="69"/>
    </row>
    <row r="720" spans="1:51">
      <c r="A720" s="2"/>
      <c r="AY720" s="69"/>
    </row>
    <row r="721" spans="1:51">
      <c r="A721" s="2"/>
      <c r="AY721" s="69"/>
    </row>
    <row r="722" spans="1:51">
      <c r="A722" s="2"/>
      <c r="AY722" s="69"/>
    </row>
    <row r="723" spans="1:51">
      <c r="A723" s="2"/>
      <c r="AY723" s="69"/>
    </row>
    <row r="724" spans="1:51">
      <c r="A724" s="2"/>
      <c r="AY724" s="69"/>
    </row>
    <row r="725" spans="1:51">
      <c r="A725" s="2"/>
      <c r="AY725" s="69"/>
    </row>
    <row r="726" spans="1:51">
      <c r="A726" s="2"/>
      <c r="AY726" s="69"/>
    </row>
    <row r="727" spans="1:51">
      <c r="A727" s="2"/>
      <c r="AY727" s="69"/>
    </row>
    <row r="728" spans="1:51">
      <c r="A728" s="2"/>
      <c r="AY728" s="69"/>
    </row>
    <row r="729" spans="1:51">
      <c r="A729" s="2"/>
      <c r="AY729" s="69"/>
    </row>
    <row r="730" spans="1:51">
      <c r="A730" s="2"/>
      <c r="AY730" s="69"/>
    </row>
    <row r="731" spans="1:51">
      <c r="A731" s="2"/>
      <c r="AY731" s="69"/>
    </row>
    <row r="732" spans="1:51">
      <c r="A732" s="2"/>
      <c r="AY732" s="69"/>
    </row>
    <row r="733" spans="1:51">
      <c r="A733" s="2"/>
      <c r="AY733" s="69"/>
    </row>
    <row r="734" spans="1:51">
      <c r="A734" s="2"/>
      <c r="AY734" s="69"/>
    </row>
    <row r="735" spans="1:51">
      <c r="A735" s="2"/>
      <c r="AY735" s="69"/>
    </row>
    <row r="736" spans="1:51">
      <c r="A736" s="2"/>
      <c r="AY736" s="69"/>
    </row>
    <row r="737" spans="1:51">
      <c r="A737" s="2"/>
      <c r="AY737" s="69"/>
    </row>
    <row r="738" spans="1:51">
      <c r="A738" s="2"/>
      <c r="AY738" s="69"/>
    </row>
    <row r="739" spans="1:51">
      <c r="A739" s="2"/>
      <c r="AY739" s="69"/>
    </row>
    <row r="740" spans="1:51">
      <c r="A740" s="2"/>
      <c r="AY740" s="69"/>
    </row>
    <row r="741" spans="1:51">
      <c r="A741" s="2"/>
      <c r="AY741" s="69"/>
    </row>
    <row r="742" spans="1:51">
      <c r="A742" s="2"/>
      <c r="AY742" s="69"/>
    </row>
    <row r="743" spans="1:51">
      <c r="A743" s="2"/>
      <c r="AY743" s="69"/>
    </row>
    <row r="744" spans="1:51">
      <c r="A744" s="2"/>
      <c r="AY744" s="69"/>
    </row>
    <row r="745" spans="1:51">
      <c r="A745" s="2"/>
      <c r="AY745" s="69"/>
    </row>
    <row r="746" spans="1:51">
      <c r="A746" s="2"/>
      <c r="AY746" s="69"/>
    </row>
    <row r="747" spans="1:51">
      <c r="A747" s="2"/>
      <c r="AY747" s="69"/>
    </row>
    <row r="748" spans="1:51">
      <c r="A748" s="2"/>
      <c r="AY748" s="69"/>
    </row>
    <row r="749" spans="1:51">
      <c r="A749" s="2"/>
      <c r="AY749" s="69"/>
    </row>
    <row r="750" spans="1:51">
      <c r="A750" s="2"/>
      <c r="AY750" s="69"/>
    </row>
    <row r="751" spans="1:51">
      <c r="A751" s="2"/>
      <c r="AY751" s="69"/>
    </row>
    <row r="752" spans="1:51">
      <c r="A752" s="2"/>
      <c r="AY752" s="69"/>
    </row>
    <row r="753" spans="1:51">
      <c r="A753" s="2"/>
      <c r="AY753" s="69"/>
    </row>
    <row r="754" spans="1:51">
      <c r="A754" s="2"/>
      <c r="AY754" s="69"/>
    </row>
    <row r="755" spans="1:51">
      <c r="A755" s="2"/>
      <c r="AY755" s="69"/>
    </row>
    <row r="756" spans="1:51">
      <c r="A756" s="2"/>
      <c r="AY756" s="69"/>
    </row>
    <row r="757" spans="1:51">
      <c r="A757" s="2"/>
      <c r="AY757" s="69"/>
    </row>
    <row r="758" spans="1:51">
      <c r="A758" s="2"/>
      <c r="AY758" s="69"/>
    </row>
    <row r="759" spans="1:51">
      <c r="A759" s="2"/>
      <c r="AY759" s="69"/>
    </row>
    <row r="760" spans="1:51">
      <c r="A760" s="2"/>
      <c r="AY760" s="69"/>
    </row>
    <row r="761" spans="1:51">
      <c r="A761" s="2"/>
      <c r="AY761" s="69"/>
    </row>
    <row r="762" spans="1:51">
      <c r="A762" s="2"/>
      <c r="AY762" s="69"/>
    </row>
    <row r="763" spans="1:51">
      <c r="A763" s="2"/>
      <c r="AY763" s="69"/>
    </row>
    <row r="764" spans="1:51">
      <c r="A764" s="2"/>
      <c r="AY764" s="69"/>
    </row>
    <row r="765" spans="1:51">
      <c r="A765" s="2"/>
      <c r="AY765" s="69"/>
    </row>
    <row r="766" spans="1:51">
      <c r="A766" s="2"/>
      <c r="AY766" s="69"/>
    </row>
    <row r="767" spans="1:51">
      <c r="A767" s="2"/>
      <c r="AY767" s="69"/>
    </row>
    <row r="768" spans="1:51">
      <c r="A768" s="2"/>
      <c r="AY768" s="69"/>
    </row>
    <row r="769" spans="1:51">
      <c r="A769" s="2"/>
      <c r="AY769" s="69"/>
    </row>
    <row r="770" spans="1:51">
      <c r="A770" s="2"/>
      <c r="AY770" s="69"/>
    </row>
    <row r="771" spans="1:51">
      <c r="A771" s="2"/>
      <c r="AY771" s="69"/>
    </row>
    <row r="772" spans="1:51">
      <c r="A772" s="2"/>
      <c r="AY772" s="69"/>
    </row>
    <row r="773" spans="1:51">
      <c r="A773" s="2"/>
      <c r="AY773" s="69"/>
    </row>
    <row r="774" spans="1:51">
      <c r="A774" s="2"/>
      <c r="AY774" s="69"/>
    </row>
    <row r="775" spans="1:51">
      <c r="A775" s="2"/>
      <c r="AY775" s="69"/>
    </row>
    <row r="776" spans="1:51">
      <c r="A776" s="2"/>
      <c r="AY776" s="69"/>
    </row>
    <row r="777" spans="1:51">
      <c r="A777" s="2"/>
      <c r="AY777" s="69"/>
    </row>
    <row r="778" spans="1:51">
      <c r="A778" s="2"/>
      <c r="AY778" s="69"/>
    </row>
    <row r="779" spans="1:51">
      <c r="A779" s="2"/>
      <c r="AY779" s="69"/>
    </row>
    <row r="780" spans="1:51">
      <c r="A780" s="2"/>
      <c r="AY780" s="69"/>
    </row>
    <row r="781" spans="1:51">
      <c r="A781" s="2"/>
      <c r="AY781" s="69"/>
    </row>
    <row r="782" spans="1:51">
      <c r="A782" s="2"/>
      <c r="AY782" s="69"/>
    </row>
    <row r="783" spans="1:51">
      <c r="A783" s="2"/>
      <c r="AY783" s="69"/>
    </row>
    <row r="784" spans="1:51">
      <c r="A784" s="2"/>
      <c r="AY784" s="69"/>
    </row>
    <row r="785" spans="1:51">
      <c r="A785" s="2"/>
      <c r="AY785" s="69"/>
    </row>
    <row r="786" spans="1:51">
      <c r="A786" s="2"/>
      <c r="AY786" s="69"/>
    </row>
    <row r="787" spans="1:51">
      <c r="A787" s="2"/>
      <c r="AY787" s="69"/>
    </row>
    <row r="788" spans="1:51">
      <c r="A788" s="2"/>
      <c r="AY788" s="69"/>
    </row>
    <row r="789" spans="1:51">
      <c r="A789" s="2"/>
      <c r="AY789" s="69"/>
    </row>
    <row r="790" spans="1:51">
      <c r="A790" s="2"/>
      <c r="AY790" s="69"/>
    </row>
    <row r="791" spans="1:51">
      <c r="A791" s="2"/>
      <c r="AY791" s="69"/>
    </row>
    <row r="792" spans="1:51">
      <c r="A792" s="2"/>
      <c r="AY792" s="69"/>
    </row>
    <row r="793" spans="1:51">
      <c r="A793" s="2"/>
      <c r="AY793" s="69"/>
    </row>
    <row r="794" spans="1:51">
      <c r="A794" s="2"/>
      <c r="AY794" s="69"/>
    </row>
    <row r="795" spans="1:51">
      <c r="A795" s="2"/>
      <c r="AY795" s="69"/>
    </row>
    <row r="796" spans="1:51">
      <c r="A796" s="2"/>
      <c r="AY796" s="69"/>
    </row>
    <row r="797" spans="1:51">
      <c r="A797" s="2"/>
      <c r="AY797" s="69"/>
    </row>
    <row r="798" spans="1:51">
      <c r="A798" s="2"/>
      <c r="AY798" s="69"/>
    </row>
    <row r="799" spans="1:51">
      <c r="A799" s="2"/>
      <c r="AY799" s="69"/>
    </row>
    <row r="800" spans="1:51">
      <c r="A800" s="2"/>
      <c r="AY800" s="69"/>
    </row>
    <row r="801" spans="1:51">
      <c r="A801" s="2"/>
      <c r="AY801" s="69"/>
    </row>
    <row r="802" spans="1:51">
      <c r="A802" s="2"/>
      <c r="AY802" s="69"/>
    </row>
    <row r="803" spans="1:51">
      <c r="A803" s="2"/>
      <c r="AY803" s="69"/>
    </row>
    <row r="804" spans="1:51">
      <c r="A804" s="2"/>
      <c r="AY804" s="69"/>
    </row>
    <row r="805" spans="1:51">
      <c r="A805" s="2"/>
      <c r="AY805" s="69"/>
    </row>
    <row r="806" spans="1:51">
      <c r="A806" s="2"/>
      <c r="AY806" s="69"/>
    </row>
    <row r="807" spans="1:51">
      <c r="A807" s="2"/>
      <c r="AY807" s="69"/>
    </row>
    <row r="808" spans="1:51">
      <c r="A808" s="2"/>
      <c r="AY808" s="69"/>
    </row>
    <row r="809" spans="1:51">
      <c r="A809" s="2"/>
      <c r="AY809" s="69"/>
    </row>
    <row r="810" spans="1:51">
      <c r="A810" s="2"/>
      <c r="AY810" s="69"/>
    </row>
    <row r="811" spans="1:51">
      <c r="A811" s="2"/>
      <c r="AY811" s="69"/>
    </row>
    <row r="812" spans="1:51">
      <c r="A812" s="2"/>
      <c r="AY812" s="69"/>
    </row>
    <row r="813" spans="1:51">
      <c r="A813" s="2"/>
      <c r="AY813" s="69"/>
    </row>
    <row r="814" spans="1:51">
      <c r="A814" s="2"/>
      <c r="AY814" s="69"/>
    </row>
    <row r="815" spans="1:51">
      <c r="A815" s="2"/>
      <c r="AY815" s="69"/>
    </row>
    <row r="816" spans="1:51">
      <c r="A816" s="2"/>
      <c r="AY816" s="69"/>
    </row>
    <row r="817" spans="1:51">
      <c r="A817" s="2"/>
      <c r="AY817" s="69"/>
    </row>
    <row r="818" spans="1:51">
      <c r="A818" s="2"/>
      <c r="AY818" s="69"/>
    </row>
    <row r="819" spans="1:51">
      <c r="A819" s="2"/>
      <c r="AY819" s="69"/>
    </row>
    <row r="820" spans="1:51">
      <c r="A820" s="2"/>
      <c r="AY820" s="69"/>
    </row>
    <row r="821" spans="1:51">
      <c r="A821" s="2"/>
      <c r="AY821" s="69"/>
    </row>
    <row r="822" spans="1:51">
      <c r="A822" s="2"/>
      <c r="AY822" s="69"/>
    </row>
    <row r="823" spans="1:51">
      <c r="A823" s="2"/>
      <c r="AY823" s="69"/>
    </row>
    <row r="824" spans="1:51">
      <c r="A824" s="2"/>
      <c r="AY824" s="69"/>
    </row>
    <row r="825" spans="1:51">
      <c r="A825" s="2"/>
      <c r="AY825" s="69"/>
    </row>
    <row r="826" spans="1:51">
      <c r="A826" s="2"/>
      <c r="AY826" s="69"/>
    </row>
    <row r="827" spans="1:51">
      <c r="A827" s="2"/>
      <c r="AY827" s="69"/>
    </row>
    <row r="828" spans="1:51">
      <c r="A828" s="2"/>
      <c r="AY828" s="69"/>
    </row>
    <row r="829" spans="1:51">
      <c r="A829" s="2"/>
      <c r="AY829" s="69"/>
    </row>
    <row r="830" spans="1:51">
      <c r="A830" s="2"/>
      <c r="AY830" s="69"/>
    </row>
    <row r="831" spans="1:51">
      <c r="A831" s="2"/>
      <c r="AY831" s="69"/>
    </row>
    <row r="832" spans="1:51">
      <c r="A832" s="2"/>
      <c r="AY832" s="69"/>
    </row>
    <row r="833" spans="1:51">
      <c r="A833" s="2"/>
      <c r="AY833" s="69"/>
    </row>
    <row r="834" spans="1:51">
      <c r="A834" s="2"/>
      <c r="AY834" s="69"/>
    </row>
    <row r="835" spans="1:51">
      <c r="A835" s="2"/>
      <c r="AY835" s="69"/>
    </row>
    <row r="836" spans="1:51">
      <c r="A836" s="2"/>
      <c r="AY836" s="69"/>
    </row>
    <row r="837" spans="1:51">
      <c r="A837" s="2"/>
      <c r="AY837" s="69"/>
    </row>
    <row r="838" spans="1:51">
      <c r="A838" s="2"/>
      <c r="AY838" s="69"/>
    </row>
    <row r="839" spans="1:51">
      <c r="A839" s="2"/>
      <c r="AY839" s="69"/>
    </row>
    <row r="840" spans="1:51">
      <c r="A840" s="2"/>
      <c r="AY840" s="69"/>
    </row>
    <row r="841" spans="1:51">
      <c r="A841" s="2"/>
      <c r="AY841" s="69"/>
    </row>
    <row r="842" spans="1:51">
      <c r="A842" s="2"/>
      <c r="AY842" s="69"/>
    </row>
    <row r="843" spans="1:51">
      <c r="A843" s="2"/>
      <c r="AY843" s="69"/>
    </row>
    <row r="844" spans="1:51">
      <c r="A844" s="2"/>
      <c r="AY844" s="69"/>
    </row>
    <row r="845" spans="1:51">
      <c r="A845" s="2"/>
      <c r="AY845" s="69"/>
    </row>
    <row r="846" spans="1:51">
      <c r="A846" s="2"/>
      <c r="AY846" s="69"/>
    </row>
    <row r="847" spans="1:51">
      <c r="A847" s="2"/>
      <c r="AY847" s="69"/>
    </row>
    <row r="848" spans="1:51">
      <c r="A848" s="2"/>
      <c r="AY848" s="69"/>
    </row>
    <row r="849" spans="1:51">
      <c r="A849" s="2"/>
      <c r="AY849" s="69"/>
    </row>
    <row r="850" spans="1:51">
      <c r="A850" s="2"/>
      <c r="AY850" s="69"/>
    </row>
    <row r="851" spans="1:51">
      <c r="A851" s="2"/>
      <c r="AY851" s="69"/>
    </row>
    <row r="852" spans="1:51">
      <c r="A852" s="2"/>
      <c r="AY852" s="69"/>
    </row>
    <row r="853" spans="1:51">
      <c r="A853" s="2"/>
      <c r="AY853" s="69"/>
    </row>
    <row r="854" spans="1:51">
      <c r="A854" s="2"/>
      <c r="AY854" s="69"/>
    </row>
    <row r="855" spans="1:51">
      <c r="A855" s="2"/>
      <c r="AY855" s="69"/>
    </row>
    <row r="856" spans="1:51">
      <c r="A856" s="2"/>
      <c r="AY856" s="69"/>
    </row>
    <row r="857" spans="1:51">
      <c r="A857" s="2"/>
      <c r="AY857" s="69"/>
    </row>
    <row r="858" spans="1:51">
      <c r="A858" s="2"/>
      <c r="AY858" s="69"/>
    </row>
    <row r="859" spans="1:51">
      <c r="A859" s="2"/>
      <c r="AY859" s="69"/>
    </row>
    <row r="860" spans="1:51">
      <c r="A860" s="2"/>
      <c r="AY860" s="69"/>
    </row>
    <row r="861" spans="1:51">
      <c r="A861" s="2"/>
      <c r="AY861" s="69"/>
    </row>
    <row r="862" spans="1:51">
      <c r="A862" s="2"/>
      <c r="AY862" s="69"/>
    </row>
    <row r="863" spans="1:51">
      <c r="A863" s="2"/>
      <c r="AY863" s="69"/>
    </row>
    <row r="864" spans="1:51">
      <c r="A864" s="2"/>
      <c r="AY864" s="69"/>
    </row>
    <row r="865" spans="1:51">
      <c r="A865" s="2"/>
      <c r="AY865" s="69"/>
    </row>
    <row r="866" spans="1:51">
      <c r="A866" s="2"/>
      <c r="AY866" s="69"/>
    </row>
    <row r="867" spans="1:51">
      <c r="A867" s="2"/>
      <c r="AY867" s="69"/>
    </row>
    <row r="868" spans="1:51">
      <c r="A868" s="2"/>
      <c r="AY868" s="69"/>
    </row>
    <row r="869" spans="1:51">
      <c r="A869" s="2"/>
      <c r="AY869" s="69"/>
    </row>
    <row r="870" spans="1:51">
      <c r="A870" s="2"/>
      <c r="AY870" s="69"/>
    </row>
    <row r="871" spans="1:51">
      <c r="A871" s="2"/>
      <c r="AY871" s="69"/>
    </row>
    <row r="872" spans="1:51">
      <c r="A872" s="2"/>
      <c r="AY872" s="69"/>
    </row>
    <row r="873" spans="1:51">
      <c r="A873" s="2"/>
      <c r="AY873" s="69"/>
    </row>
    <row r="874" spans="1:51">
      <c r="A874" s="2"/>
      <c r="AY874" s="69"/>
    </row>
    <row r="875" spans="1:51">
      <c r="A875" s="2"/>
      <c r="AY875" s="69"/>
    </row>
    <row r="876" spans="1:51">
      <c r="A876" s="2"/>
      <c r="AY876" s="69"/>
    </row>
    <row r="877" spans="1:51">
      <c r="A877" s="2"/>
      <c r="AY877" s="69"/>
    </row>
    <row r="878" spans="1:51">
      <c r="A878" s="2"/>
      <c r="AY878" s="69"/>
    </row>
    <row r="879" spans="1:51">
      <c r="A879" s="2"/>
      <c r="AY879" s="69"/>
    </row>
    <row r="880" spans="1:51">
      <c r="A880" s="2"/>
      <c r="AY880" s="69"/>
    </row>
    <row r="881" spans="1:51">
      <c r="A881" s="2"/>
      <c r="AY881" s="69"/>
    </row>
    <row r="882" spans="1:51">
      <c r="A882" s="2"/>
      <c r="AY882" s="69"/>
    </row>
    <row r="883" spans="1:51">
      <c r="A883" s="2"/>
      <c r="AY883" s="69"/>
    </row>
    <row r="884" spans="1:51">
      <c r="A884" s="2"/>
      <c r="AY884" s="69"/>
    </row>
    <row r="885" spans="1:51">
      <c r="A885" s="2"/>
      <c r="AY885" s="69"/>
    </row>
    <row r="886" spans="1:51">
      <c r="A886" s="2"/>
      <c r="AY886" s="69"/>
    </row>
    <row r="887" spans="1:51">
      <c r="A887" s="2"/>
      <c r="AY887" s="69"/>
    </row>
    <row r="888" spans="1:51">
      <c r="A888" s="2"/>
      <c r="AY888" s="69"/>
    </row>
    <row r="889" spans="1:51">
      <c r="A889" s="2"/>
      <c r="AY889" s="69"/>
    </row>
    <row r="890" spans="1:51">
      <c r="A890" s="2"/>
      <c r="AY890" s="69"/>
    </row>
    <row r="891" spans="1:51">
      <c r="A891" s="2"/>
      <c r="AY891" s="69"/>
    </row>
    <row r="892" spans="1:51">
      <c r="A892" s="2"/>
      <c r="AY892" s="69"/>
    </row>
    <row r="893" spans="1:51">
      <c r="A893" s="2"/>
      <c r="AY893" s="69"/>
    </row>
    <row r="894" spans="1:51">
      <c r="A894" s="2"/>
      <c r="AY894" s="69"/>
    </row>
    <row r="895" spans="1:51">
      <c r="A895" s="2"/>
      <c r="AY895" s="69"/>
    </row>
    <row r="896" spans="1:51">
      <c r="A896" s="2"/>
      <c r="AY896" s="69"/>
    </row>
    <row r="897" spans="1:51">
      <c r="A897" s="2"/>
      <c r="AY897" s="69"/>
    </row>
    <row r="898" spans="1:51">
      <c r="A898" s="2"/>
      <c r="AY898" s="69"/>
    </row>
    <row r="899" spans="1:51">
      <c r="A899" s="2"/>
      <c r="AY899" s="69"/>
    </row>
    <row r="900" spans="1:51">
      <c r="A900" s="2"/>
      <c r="AY900" s="69"/>
    </row>
    <row r="901" spans="1:51">
      <c r="A901" s="2"/>
      <c r="AY901" s="69"/>
    </row>
    <row r="902" spans="1:51">
      <c r="A902" s="2"/>
      <c r="AY902" s="69"/>
    </row>
    <row r="903" spans="1:51">
      <c r="A903" s="2"/>
      <c r="AY903" s="69"/>
    </row>
    <row r="904" spans="1:51">
      <c r="A904" s="2"/>
      <c r="AY904" s="69"/>
    </row>
    <row r="905" spans="1:51">
      <c r="A905" s="2"/>
      <c r="AY905" s="69"/>
    </row>
    <row r="906" spans="1:51">
      <c r="A906" s="2"/>
      <c r="AY906" s="69"/>
    </row>
    <row r="907" spans="1:51">
      <c r="A907" s="2"/>
      <c r="AY907" s="69"/>
    </row>
    <row r="908" spans="1:51">
      <c r="A908" s="2"/>
      <c r="AY908" s="69"/>
    </row>
    <row r="909" spans="1:51">
      <c r="A909" s="2"/>
      <c r="AY909" s="69"/>
    </row>
    <row r="910" spans="1:51">
      <c r="A910" s="2"/>
      <c r="AY910" s="69"/>
    </row>
    <row r="911" spans="1:51">
      <c r="A911" s="2"/>
      <c r="AY911" s="69"/>
    </row>
    <row r="912" spans="1:51">
      <c r="A912" s="2"/>
      <c r="AY912" s="69"/>
    </row>
    <row r="913" spans="1:51">
      <c r="A913" s="2"/>
      <c r="AY913" s="69"/>
    </row>
    <row r="914" spans="1:51">
      <c r="A914" s="2"/>
      <c r="AY914" s="69"/>
    </row>
    <row r="915" spans="1:51">
      <c r="A915" s="2"/>
      <c r="AY915" s="69"/>
    </row>
    <row r="916" spans="1:51">
      <c r="A916" s="2"/>
      <c r="AY916" s="69"/>
    </row>
    <row r="917" spans="1:51">
      <c r="A917" s="2"/>
      <c r="AY917" s="69"/>
    </row>
    <row r="918" spans="1:51">
      <c r="A918" s="2"/>
      <c r="AY918" s="69"/>
    </row>
    <row r="919" spans="1:51">
      <c r="A919" s="2"/>
      <c r="AY919" s="69"/>
    </row>
    <row r="920" spans="1:51">
      <c r="A920" s="2"/>
      <c r="AY920" s="69"/>
    </row>
    <row r="921" spans="1:51">
      <c r="A921" s="2"/>
      <c r="AY921" s="69"/>
    </row>
    <row r="922" spans="1:51">
      <c r="A922" s="2"/>
      <c r="AY922" s="69"/>
    </row>
    <row r="923" spans="1:51">
      <c r="A923" s="2"/>
      <c r="AY923" s="69"/>
    </row>
    <row r="924" spans="1:51">
      <c r="A924" s="2"/>
      <c r="AY924" s="69"/>
    </row>
    <row r="925" spans="1:51">
      <c r="A925" s="2"/>
      <c r="AY925" s="69"/>
    </row>
    <row r="926" spans="1:51">
      <c r="A926" s="2"/>
      <c r="AY926" s="69"/>
    </row>
    <row r="927" spans="1:51">
      <c r="A927" s="2"/>
      <c r="AY927" s="69"/>
    </row>
    <row r="928" spans="1:51">
      <c r="A928" s="2"/>
      <c r="AY928" s="69"/>
    </row>
    <row r="929" spans="1:51">
      <c r="A929" s="2"/>
      <c r="AY929" s="69"/>
    </row>
    <row r="930" spans="1:51">
      <c r="A930" s="2"/>
      <c r="AY930" s="69"/>
    </row>
    <row r="931" spans="1:51">
      <c r="A931" s="2"/>
      <c r="AY931" s="69"/>
    </row>
    <row r="932" spans="1:51">
      <c r="A932" s="2"/>
      <c r="AY932" s="69"/>
    </row>
    <row r="933" spans="1:51">
      <c r="A933" s="2"/>
      <c r="AY933" s="69"/>
    </row>
    <row r="934" spans="1:51">
      <c r="A934" s="2"/>
      <c r="AY934" s="69"/>
    </row>
    <row r="935" spans="1:51">
      <c r="A935" s="2"/>
      <c r="AY935" s="69"/>
    </row>
    <row r="936" spans="1:51">
      <c r="A936" s="2"/>
      <c r="AY936" s="69"/>
    </row>
    <row r="937" spans="1:51">
      <c r="A937" s="2"/>
      <c r="AY937" s="69"/>
    </row>
    <row r="938" spans="1:51">
      <c r="A938" s="2"/>
      <c r="AY938" s="69"/>
    </row>
    <row r="939" spans="1:51">
      <c r="A939" s="2"/>
      <c r="AY939" s="69"/>
    </row>
    <row r="940" spans="1:51">
      <c r="A940" s="2"/>
      <c r="AY940" s="69"/>
    </row>
    <row r="941" spans="1:51">
      <c r="A941" s="2"/>
      <c r="AY941" s="69"/>
    </row>
    <row r="942" spans="1:51">
      <c r="A942" s="2"/>
      <c r="AY942" s="69"/>
    </row>
    <row r="943" spans="1:51">
      <c r="A943" s="2"/>
      <c r="AY943" s="69"/>
    </row>
    <row r="944" spans="1:51">
      <c r="A944" s="2"/>
      <c r="AY944" s="69"/>
    </row>
    <row r="945" spans="1:51">
      <c r="A945" s="2"/>
      <c r="AY945" s="69"/>
    </row>
    <row r="946" spans="1:51">
      <c r="A946" s="2"/>
      <c r="AY946" s="69"/>
    </row>
    <row r="947" spans="1:51">
      <c r="A947" s="2"/>
      <c r="AY947" s="69"/>
    </row>
    <row r="948" spans="1:51">
      <c r="A948" s="2"/>
      <c r="AY948" s="69"/>
    </row>
    <row r="949" spans="1:51">
      <c r="A949" s="2"/>
      <c r="AY949" s="69"/>
    </row>
    <row r="950" spans="1:51">
      <c r="A950" s="2"/>
      <c r="AY950" s="69"/>
    </row>
    <row r="951" spans="1:51">
      <c r="A951" s="2"/>
      <c r="AY951" s="69"/>
    </row>
    <row r="952" spans="1:51">
      <c r="A952" s="2"/>
      <c r="AY952" s="69"/>
    </row>
    <row r="953" spans="1:51">
      <c r="A953" s="2"/>
      <c r="AY953" s="69"/>
    </row>
    <row r="954" spans="1:51">
      <c r="A954" s="2"/>
      <c r="AY954" s="69"/>
    </row>
    <row r="955" spans="1:51">
      <c r="A955" s="2"/>
      <c r="AY955" s="69"/>
    </row>
    <row r="956" spans="1:51">
      <c r="A956" s="2"/>
      <c r="AY956" s="69"/>
    </row>
    <row r="957" spans="1:51">
      <c r="A957" s="2"/>
      <c r="AY957" s="69"/>
    </row>
    <row r="958" spans="1:51">
      <c r="A958" s="2"/>
      <c r="AY958" s="69"/>
    </row>
    <row r="959" spans="1:51">
      <c r="A959" s="2"/>
      <c r="AY959" s="69"/>
    </row>
    <row r="960" spans="1:51">
      <c r="A960" s="2"/>
      <c r="AY960" s="69"/>
    </row>
    <row r="961" spans="1:51">
      <c r="A961" s="2"/>
      <c r="AY961" s="69"/>
    </row>
    <row r="962" spans="1:51">
      <c r="A962" s="2"/>
      <c r="AY962" s="69"/>
    </row>
    <row r="963" spans="1:51">
      <c r="A963" s="2"/>
      <c r="AY963" s="69"/>
    </row>
    <row r="964" spans="1:51">
      <c r="A964" s="2"/>
      <c r="AY964" s="69"/>
    </row>
    <row r="965" spans="1:51">
      <c r="A965" s="2"/>
      <c r="AY965" s="69"/>
    </row>
    <row r="966" spans="1:51">
      <c r="A966" s="2"/>
      <c r="AY966" s="69"/>
    </row>
    <row r="967" spans="1:51">
      <c r="A967" s="2"/>
      <c r="AY967" s="69"/>
    </row>
    <row r="968" spans="1:51">
      <c r="A968" s="2"/>
      <c r="AY968" s="69"/>
    </row>
    <row r="969" spans="1:51">
      <c r="A969" s="2"/>
      <c r="AY969" s="69"/>
    </row>
    <row r="970" spans="1:51">
      <c r="A970" s="2"/>
      <c r="AY970" s="69"/>
    </row>
    <row r="971" spans="1:51">
      <c r="A971" s="2"/>
      <c r="AY971" s="69"/>
    </row>
    <row r="972" spans="1:51">
      <c r="A972" s="2"/>
      <c r="AY972" s="69"/>
    </row>
    <row r="973" spans="1:51">
      <c r="A973" s="2"/>
      <c r="AY973" s="69"/>
    </row>
    <row r="974" spans="1:51">
      <c r="A974" s="2"/>
      <c r="AY974" s="69"/>
    </row>
    <row r="975" spans="1:51">
      <c r="A975" s="2"/>
      <c r="AY975" s="69"/>
    </row>
    <row r="976" spans="1:51">
      <c r="A976" s="2"/>
      <c r="AY976" s="69"/>
    </row>
    <row r="977" spans="1:51">
      <c r="A977" s="2"/>
      <c r="AY977" s="69"/>
    </row>
    <row r="978" spans="1:51">
      <c r="A978" s="2"/>
      <c r="AY978" s="69"/>
    </row>
    <row r="979" spans="1:51">
      <c r="A979" s="2"/>
      <c r="AY979" s="69"/>
    </row>
    <row r="980" spans="1:51">
      <c r="A980" s="2"/>
      <c r="AY980" s="69"/>
    </row>
    <row r="981" spans="1:51">
      <c r="A981" s="2"/>
      <c r="AY981" s="69"/>
    </row>
    <row r="982" spans="1:51">
      <c r="A982" s="2"/>
      <c r="AY982" s="69"/>
    </row>
    <row r="983" spans="1:51">
      <c r="A983" s="2"/>
      <c r="AY983" s="69"/>
    </row>
    <row r="984" spans="1:51">
      <c r="A984" s="2"/>
      <c r="AY984" s="69"/>
    </row>
    <row r="985" spans="1:51">
      <c r="A985" s="2"/>
      <c r="AY985" s="69"/>
    </row>
    <row r="986" spans="1:51">
      <c r="A986" s="2"/>
      <c r="AY986" s="69"/>
    </row>
    <row r="987" spans="1:51">
      <c r="A987" s="2"/>
      <c r="AY987" s="69"/>
    </row>
    <row r="988" spans="1:51">
      <c r="A988" s="2"/>
      <c r="AY988" s="69"/>
    </row>
    <row r="989" spans="1:51">
      <c r="A989" s="2"/>
      <c r="AY989" s="69"/>
    </row>
    <row r="990" spans="1:51">
      <c r="A990" s="2"/>
      <c r="AY990" s="69"/>
    </row>
    <row r="991" spans="1:51">
      <c r="A991" s="2"/>
      <c r="AY991" s="69"/>
    </row>
    <row r="992" spans="1:51">
      <c r="A992" s="2"/>
      <c r="AY992" s="69"/>
    </row>
    <row r="993" spans="1:51">
      <c r="A993" s="2"/>
      <c r="AY993" s="69"/>
    </row>
    <row r="994" spans="1:51">
      <c r="A994" s="2"/>
      <c r="AY994" s="69"/>
    </row>
    <row r="995" spans="1:51">
      <c r="A995" s="2"/>
      <c r="AY995" s="69"/>
    </row>
    <row r="996" spans="1:51">
      <c r="A996" s="2"/>
      <c r="AY996" s="69"/>
    </row>
    <row r="997" spans="1:51">
      <c r="A997" s="2"/>
      <c r="AY997" s="69"/>
    </row>
    <row r="998" spans="1:51">
      <c r="A998" s="2"/>
      <c r="AY998" s="69"/>
    </row>
    <row r="999" spans="1:51">
      <c r="A999" s="2"/>
      <c r="AY999" s="69"/>
    </row>
    <row r="1000" spans="1:51">
      <c r="A1000" s="2"/>
      <c r="AY1000" s="69"/>
    </row>
    <row r="1001" spans="1:51">
      <c r="A1001" s="2"/>
      <c r="AY1001" s="69"/>
    </row>
    <row r="1002" spans="1:51">
      <c r="A1002" s="2"/>
      <c r="AY1002" s="69"/>
    </row>
    <row r="1003" spans="1:51">
      <c r="A1003" s="2"/>
      <c r="AY1003" s="69"/>
    </row>
    <row r="1004" spans="1:51">
      <c r="A1004" s="2"/>
      <c r="AY1004" s="69"/>
    </row>
    <row r="1005" spans="1:51">
      <c r="A1005" s="2"/>
      <c r="AY1005" s="69"/>
    </row>
    <row r="1006" spans="1:51">
      <c r="A1006" s="2"/>
      <c r="AY1006" s="69"/>
    </row>
    <row r="1007" spans="1:51">
      <c r="A1007" s="2"/>
      <c r="AY1007" s="69"/>
    </row>
    <row r="1008" spans="1:51">
      <c r="A1008" s="2"/>
      <c r="AY1008" s="69"/>
    </row>
    <row r="1009" spans="1:51">
      <c r="A1009" s="2"/>
      <c r="AY1009" s="69"/>
    </row>
    <row r="1010" spans="1:51">
      <c r="A1010" s="2"/>
      <c r="AY1010" s="69"/>
    </row>
    <row r="1011" spans="1:51">
      <c r="A1011" s="2"/>
      <c r="AY1011" s="69"/>
    </row>
    <row r="1012" spans="1:51">
      <c r="A1012" s="2"/>
      <c r="AY1012" s="69"/>
    </row>
    <row r="1013" spans="1:51">
      <c r="A1013" s="2"/>
      <c r="AY1013" s="69"/>
    </row>
    <row r="1014" spans="1:51">
      <c r="A1014" s="2"/>
      <c r="AY1014" s="69"/>
    </row>
    <row r="1015" spans="1:51">
      <c r="A1015" s="2"/>
      <c r="AY1015" s="69"/>
    </row>
    <row r="1016" spans="1:51">
      <c r="A1016" s="2"/>
      <c r="AY1016" s="69"/>
    </row>
    <row r="1017" spans="1:51">
      <c r="A1017" s="2"/>
      <c r="AY1017" s="69"/>
    </row>
    <row r="1018" spans="1:51">
      <c r="A1018" s="2"/>
      <c r="AY1018" s="69"/>
    </row>
    <row r="1019" spans="1:51">
      <c r="A1019" s="2"/>
      <c r="AY1019" s="69"/>
    </row>
    <row r="1020" spans="1:51">
      <c r="A1020" s="2"/>
      <c r="AY1020" s="69"/>
    </row>
    <row r="1021" spans="1:51">
      <c r="A1021" s="2"/>
      <c r="AY1021" s="69"/>
    </row>
    <row r="1022" spans="1:51">
      <c r="A1022" s="2"/>
      <c r="AY1022" s="69"/>
    </row>
    <row r="1023" spans="1:51">
      <c r="A1023" s="2"/>
      <c r="AY1023" s="69"/>
    </row>
    <row r="1024" spans="1:51">
      <c r="A1024" s="2"/>
      <c r="AY1024" s="69"/>
    </row>
    <row r="1025" spans="1:51">
      <c r="A1025" s="2"/>
      <c r="AY1025" s="69"/>
    </row>
    <row r="1026" spans="1:51">
      <c r="A1026" s="2"/>
      <c r="AY1026" s="69"/>
    </row>
    <row r="1027" spans="1:51">
      <c r="A1027" s="2"/>
      <c r="AY1027" s="69"/>
    </row>
    <row r="1028" spans="1:51">
      <c r="A1028" s="2"/>
      <c r="AY1028" s="69"/>
    </row>
    <row r="1029" spans="1:51">
      <c r="A1029" s="2"/>
      <c r="AY1029" s="69"/>
    </row>
    <row r="1030" spans="1:51">
      <c r="A1030" s="2"/>
      <c r="AY1030" s="69"/>
    </row>
    <row r="1031" spans="1:51">
      <c r="A1031" s="2"/>
      <c r="AY1031" s="69"/>
    </row>
    <row r="1032" spans="1:51">
      <c r="A1032" s="2"/>
      <c r="AY1032" s="69"/>
    </row>
    <row r="1033" spans="1:51">
      <c r="A1033" s="2"/>
      <c r="AY1033" s="69"/>
    </row>
    <row r="1034" spans="1:51">
      <c r="A1034" s="2"/>
      <c r="AY1034" s="69"/>
    </row>
    <row r="1035" spans="1:51">
      <c r="A1035" s="2"/>
      <c r="AY1035" s="69"/>
    </row>
    <row r="1036" spans="1:51">
      <c r="A1036" s="2"/>
      <c r="AY1036" s="69"/>
    </row>
    <row r="1037" spans="1:51">
      <c r="A1037" s="2"/>
      <c r="AY1037" s="69"/>
    </row>
    <row r="1038" spans="1:51">
      <c r="A1038" s="2"/>
      <c r="AY1038" s="69"/>
    </row>
    <row r="1039" spans="1:51">
      <c r="A1039" s="2"/>
      <c r="AY1039" s="69"/>
    </row>
    <row r="1040" spans="1:51">
      <c r="A1040" s="2"/>
      <c r="AY1040" s="69"/>
    </row>
    <row r="1041" spans="1:51">
      <c r="A1041" s="2"/>
      <c r="AY1041" s="69"/>
    </row>
    <row r="1042" spans="1:51">
      <c r="A1042" s="2"/>
      <c r="AY1042" s="69"/>
    </row>
    <row r="1043" spans="1:51">
      <c r="A1043" s="2"/>
      <c r="AY1043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4F17-B68C-45C4-9A29-7B13D3D7AF5A}">
  <sheetPr>
    <outlinePr summaryBelow="0" summaryRight="0"/>
  </sheetPr>
  <dimension ref="A1:BD1043"/>
  <sheetViews>
    <sheetView zoomScale="84" workbookViewId="0">
      <pane xSplit="2" ySplit="3" topLeftCell="E83" activePane="bottomRight" state="frozen"/>
      <selection pane="topRight" activeCell="C1" sqref="C1"/>
      <selection pane="bottomLeft" activeCell="A4" sqref="A4"/>
      <selection pane="bottomRight" activeCell="T3" sqref="T3"/>
    </sheetView>
  </sheetViews>
  <sheetFormatPr defaultColWidth="12.6640625" defaultRowHeight="15.75" customHeight="1"/>
  <cols>
    <col min="1" max="1" width="37" customWidth="1"/>
    <col min="2" max="2" width="58.88671875" customWidth="1"/>
  </cols>
  <sheetData>
    <row r="1" spans="1:56">
      <c r="A1" s="1" t="s">
        <v>0</v>
      </c>
      <c r="B1" s="1" t="s">
        <v>1</v>
      </c>
      <c r="C1" s="2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67" t="s">
        <v>2</v>
      </c>
      <c r="U1" s="168" t="s">
        <v>3</v>
      </c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59"/>
      <c r="AZ1" s="159"/>
      <c r="BA1" s="161"/>
      <c r="BB1" s="159"/>
      <c r="BC1" s="159"/>
      <c r="BD1" s="159"/>
    </row>
    <row r="2" spans="1:56">
      <c r="A2" s="5" t="s">
        <v>4</v>
      </c>
      <c r="B2" s="74" t="s">
        <v>5</v>
      </c>
      <c r="C2" s="5">
        <v>16</v>
      </c>
      <c r="D2" s="5">
        <v>1</v>
      </c>
      <c r="E2" s="5">
        <v>5</v>
      </c>
      <c r="F2" s="5">
        <v>23</v>
      </c>
      <c r="G2" s="5">
        <v>9</v>
      </c>
      <c r="H2" s="5">
        <v>27</v>
      </c>
      <c r="I2" s="5">
        <v>36</v>
      </c>
      <c r="J2" s="5">
        <v>46</v>
      </c>
      <c r="K2" s="5">
        <v>6</v>
      </c>
      <c r="L2" s="5">
        <v>24</v>
      </c>
      <c r="M2" s="5">
        <v>25</v>
      </c>
      <c r="N2" s="5">
        <v>41</v>
      </c>
      <c r="O2" s="5">
        <v>3</v>
      </c>
      <c r="P2" s="5">
        <v>21</v>
      </c>
      <c r="Q2" s="5">
        <v>30</v>
      </c>
      <c r="R2" s="5">
        <v>10</v>
      </c>
      <c r="S2" s="5">
        <v>18</v>
      </c>
      <c r="T2" s="169"/>
      <c r="U2" s="111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59"/>
      <c r="AZ2" s="159"/>
      <c r="BA2" s="160"/>
      <c r="BB2" s="159"/>
      <c r="BC2" s="159"/>
      <c r="BD2" s="159"/>
    </row>
    <row r="3" spans="1:56">
      <c r="A3" s="5"/>
      <c r="B3" s="5" t="s">
        <v>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69"/>
      <c r="U3" s="111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59"/>
      <c r="AZ3" s="159"/>
      <c r="BA3" s="160"/>
      <c r="BB3" s="159"/>
      <c r="BC3" s="159"/>
      <c r="BD3" s="159"/>
    </row>
    <row r="4" spans="1:56">
      <c r="A4" s="5"/>
      <c r="B4" s="5" t="s">
        <v>7</v>
      </c>
      <c r="C4" s="5">
        <v>43</v>
      </c>
      <c r="D4" s="5">
        <v>44</v>
      </c>
      <c r="E4" s="5">
        <v>45</v>
      </c>
      <c r="F4" s="5">
        <v>45</v>
      </c>
      <c r="G4" s="5">
        <v>46</v>
      </c>
      <c r="H4" s="5">
        <v>46</v>
      </c>
      <c r="I4" s="5">
        <v>47</v>
      </c>
      <c r="J4" s="5">
        <v>48</v>
      </c>
      <c r="K4" s="5">
        <v>49</v>
      </c>
      <c r="L4" s="5">
        <v>49</v>
      </c>
      <c r="M4" s="5">
        <v>50</v>
      </c>
      <c r="N4" s="5">
        <v>50</v>
      </c>
      <c r="O4" s="5">
        <v>51</v>
      </c>
      <c r="P4" s="5">
        <v>51</v>
      </c>
      <c r="Q4" s="5">
        <v>52</v>
      </c>
      <c r="R4" s="5">
        <v>54</v>
      </c>
      <c r="S4" s="5">
        <v>54</v>
      </c>
      <c r="T4" s="169"/>
      <c r="U4" s="111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59"/>
      <c r="AZ4" s="159"/>
      <c r="BA4" s="160"/>
      <c r="BB4" s="159"/>
      <c r="BC4" s="159"/>
      <c r="BD4" s="159"/>
    </row>
    <row r="5" spans="1:56">
      <c r="A5" s="5"/>
      <c r="B5" s="5" t="s">
        <v>8</v>
      </c>
      <c r="C5" s="5" t="s">
        <v>10</v>
      </c>
      <c r="D5" s="5" t="s">
        <v>9</v>
      </c>
      <c r="E5" s="5" t="s">
        <v>9</v>
      </c>
      <c r="F5" s="5" t="s">
        <v>9</v>
      </c>
      <c r="G5" s="5" t="s">
        <v>10</v>
      </c>
      <c r="H5" s="5" t="s">
        <v>9</v>
      </c>
      <c r="I5" s="5" t="s">
        <v>9</v>
      </c>
      <c r="J5" s="5" t="s">
        <v>9</v>
      </c>
      <c r="K5" s="5" t="s">
        <v>9</v>
      </c>
      <c r="L5" s="5" t="s">
        <v>10</v>
      </c>
      <c r="M5" s="5" t="s">
        <v>10</v>
      </c>
      <c r="N5" s="5" t="s">
        <v>9</v>
      </c>
      <c r="O5" s="5" t="s">
        <v>9</v>
      </c>
      <c r="P5" s="5" t="s">
        <v>9</v>
      </c>
      <c r="Q5" s="5" t="s">
        <v>10</v>
      </c>
      <c r="R5" s="5" t="s">
        <v>9</v>
      </c>
      <c r="S5" s="5" t="s">
        <v>9</v>
      </c>
      <c r="T5" s="169"/>
      <c r="U5" s="111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59"/>
      <c r="AZ5" s="159"/>
      <c r="BA5" s="160"/>
      <c r="BB5" s="159"/>
      <c r="BC5" s="159"/>
      <c r="BD5" s="159"/>
    </row>
    <row r="6" spans="1:56">
      <c r="A6" s="5"/>
      <c r="B6" s="5" t="s">
        <v>11</v>
      </c>
      <c r="C6" s="5"/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169"/>
      <c r="U6" s="111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59"/>
      <c r="AZ6" s="159"/>
      <c r="BA6" s="160"/>
      <c r="BB6" s="159"/>
      <c r="BC6" s="159"/>
      <c r="BD6" s="159"/>
    </row>
    <row r="7" spans="1:56">
      <c r="A7" s="5"/>
      <c r="B7" s="5" t="s">
        <v>13</v>
      </c>
      <c r="C7" s="5" t="s">
        <v>15</v>
      </c>
      <c r="D7" s="5"/>
      <c r="E7" s="5" t="s">
        <v>15</v>
      </c>
      <c r="F7" s="5" t="s">
        <v>15</v>
      </c>
      <c r="G7" s="5" t="s">
        <v>16</v>
      </c>
      <c r="H7" s="5" t="s">
        <v>15</v>
      </c>
      <c r="I7" s="5" t="s">
        <v>16</v>
      </c>
      <c r="J7" s="5"/>
      <c r="K7" s="5" t="s">
        <v>15</v>
      </c>
      <c r="L7" s="5" t="s">
        <v>16</v>
      </c>
      <c r="M7" s="5" t="s">
        <v>15</v>
      </c>
      <c r="N7" s="5" t="s">
        <v>15</v>
      </c>
      <c r="O7" s="5" t="s">
        <v>15</v>
      </c>
      <c r="P7" s="5" t="s">
        <v>15</v>
      </c>
      <c r="Q7" s="5" t="s">
        <v>15</v>
      </c>
      <c r="R7" s="5" t="s">
        <v>15</v>
      </c>
      <c r="S7" s="7"/>
      <c r="T7" s="169"/>
      <c r="U7" s="111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60"/>
      <c r="AJ7" s="160"/>
      <c r="AK7" s="160"/>
      <c r="AL7" s="160"/>
      <c r="AM7" s="160"/>
      <c r="AN7" s="161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59"/>
      <c r="AZ7" s="159"/>
      <c r="BA7" s="160"/>
      <c r="BB7" s="159"/>
      <c r="BC7" s="159"/>
      <c r="BD7" s="159"/>
    </row>
    <row r="8" spans="1:56">
      <c r="A8" s="8" t="s">
        <v>18</v>
      </c>
      <c r="B8" s="83" t="s">
        <v>19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70"/>
      <c r="U8" s="113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59"/>
      <c r="AZ8" s="159"/>
      <c r="BA8" s="161"/>
      <c r="BB8" s="159"/>
      <c r="BC8" s="159"/>
      <c r="BD8" s="159"/>
    </row>
    <row r="9" spans="1:56">
      <c r="A9" s="8" t="s">
        <v>20</v>
      </c>
      <c r="B9" s="75" t="s">
        <v>21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70"/>
      <c r="U9" s="113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59"/>
      <c r="AZ9" s="159"/>
      <c r="BA9" s="161"/>
      <c r="BB9" s="159"/>
      <c r="BC9" s="159"/>
      <c r="BD9" s="159"/>
    </row>
    <row r="10" spans="1:56">
      <c r="A10" s="8" t="s">
        <v>22</v>
      </c>
      <c r="B10" s="12" t="s">
        <v>23</v>
      </c>
      <c r="C10" s="75">
        <v>2</v>
      </c>
      <c r="D10" s="75">
        <v>4</v>
      </c>
      <c r="E10" s="75">
        <v>1</v>
      </c>
      <c r="F10" s="75">
        <v>1</v>
      </c>
      <c r="G10" s="75">
        <v>1</v>
      </c>
      <c r="H10" s="75">
        <v>1</v>
      </c>
      <c r="I10" s="75">
        <v>1.5</v>
      </c>
      <c r="J10" s="75">
        <v>1</v>
      </c>
      <c r="K10" s="75">
        <v>1</v>
      </c>
      <c r="L10" s="75">
        <v>1</v>
      </c>
      <c r="M10" s="75">
        <v>4</v>
      </c>
      <c r="N10" s="75">
        <v>3</v>
      </c>
      <c r="O10" s="75">
        <v>1</v>
      </c>
      <c r="P10" s="75">
        <v>1.5</v>
      </c>
      <c r="Q10" s="75">
        <v>1</v>
      </c>
      <c r="R10" s="75">
        <v>1.5</v>
      </c>
      <c r="S10" s="75">
        <v>1</v>
      </c>
      <c r="T10" s="171" cm="1">
        <f t="array" ref="T10">SUM(IF(C10:S10&gt;20, 0, 20-ROUND(C10:S10,0)))</f>
        <v>311</v>
      </c>
      <c r="U10" s="114">
        <f t="shared" ref="U10:U26" si="0">0.454*(T10/COLUMNS(C10:S10))</f>
        <v>8.3055294117647058</v>
      </c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59"/>
      <c r="AZ10" s="159"/>
      <c r="BA10" s="160"/>
      <c r="BB10" s="159"/>
      <c r="BC10" s="159"/>
      <c r="BD10" s="159"/>
    </row>
    <row r="11" spans="1:56">
      <c r="A11" s="8"/>
      <c r="B11" s="12" t="s">
        <v>24</v>
      </c>
      <c r="C11" s="75">
        <v>13</v>
      </c>
      <c r="D11" s="75">
        <v>8</v>
      </c>
      <c r="E11" s="75">
        <v>8.5</v>
      </c>
      <c r="F11" s="75">
        <v>7</v>
      </c>
      <c r="G11" s="75">
        <v>5</v>
      </c>
      <c r="H11" s="75">
        <v>3</v>
      </c>
      <c r="I11" s="75">
        <v>6</v>
      </c>
      <c r="J11" s="75">
        <v>6</v>
      </c>
      <c r="K11" s="75">
        <v>6</v>
      </c>
      <c r="L11" s="75">
        <v>6</v>
      </c>
      <c r="M11" s="75">
        <v>7</v>
      </c>
      <c r="N11" s="75">
        <v>5.5</v>
      </c>
      <c r="O11" s="75">
        <v>12</v>
      </c>
      <c r="P11" s="75">
        <v>7</v>
      </c>
      <c r="Q11" s="75">
        <v>3</v>
      </c>
      <c r="R11" s="75">
        <v>5</v>
      </c>
      <c r="S11" s="75">
        <v>6</v>
      </c>
      <c r="T11" s="171" cm="1">
        <f t="array" ref="T11">SUM(IF(C11:S11&gt;20, 0, 20-ROUND(C11:S11,0)))</f>
        <v>225</v>
      </c>
      <c r="U11" s="114">
        <f t="shared" si="0"/>
        <v>6.0088235294117647</v>
      </c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59"/>
      <c r="AZ11" s="159"/>
      <c r="BA11" s="160"/>
      <c r="BB11" s="159"/>
      <c r="BC11" s="159"/>
      <c r="BD11" s="159"/>
    </row>
    <row r="12" spans="1:56">
      <c r="A12" s="8" t="s">
        <v>20</v>
      </c>
      <c r="B12" s="75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71"/>
      <c r="U12" s="114">
        <f t="shared" si="0"/>
        <v>0</v>
      </c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59"/>
      <c r="AZ12" s="159"/>
      <c r="BA12" s="161"/>
      <c r="BB12" s="159"/>
      <c r="BC12" s="159"/>
      <c r="BD12" s="159"/>
    </row>
    <row r="13" spans="1:56">
      <c r="A13" s="8" t="s">
        <v>22</v>
      </c>
      <c r="B13" s="12" t="s">
        <v>23</v>
      </c>
      <c r="C13" s="75">
        <v>6</v>
      </c>
      <c r="D13" s="75">
        <v>5</v>
      </c>
      <c r="E13" s="75">
        <v>2</v>
      </c>
      <c r="F13" s="75">
        <v>3</v>
      </c>
      <c r="G13" s="75">
        <v>1</v>
      </c>
      <c r="H13" s="75">
        <v>1.5</v>
      </c>
      <c r="I13" s="75">
        <v>3</v>
      </c>
      <c r="J13" s="75">
        <v>3</v>
      </c>
      <c r="K13" s="75">
        <v>2.5</v>
      </c>
      <c r="L13" s="75">
        <v>3</v>
      </c>
      <c r="M13" s="75">
        <v>6</v>
      </c>
      <c r="N13" s="75">
        <v>4</v>
      </c>
      <c r="O13" s="75">
        <v>2.5</v>
      </c>
      <c r="P13" s="75">
        <v>4</v>
      </c>
      <c r="Q13" s="75">
        <v>5</v>
      </c>
      <c r="R13" s="75">
        <v>3</v>
      </c>
      <c r="S13" s="75">
        <v>1</v>
      </c>
      <c r="T13" s="171" cm="1">
        <f t="array" ref="T13">SUM(IF(C13:S13&gt;20, 0, 20-ROUND(C13:S13,0)))</f>
        <v>283</v>
      </c>
      <c r="U13" s="114">
        <f t="shared" si="0"/>
        <v>7.5577647058823541</v>
      </c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59"/>
      <c r="AZ13" s="159"/>
      <c r="BA13" s="160"/>
      <c r="BB13" s="159"/>
      <c r="BC13" s="159"/>
      <c r="BD13" s="159"/>
    </row>
    <row r="14" spans="1:56">
      <c r="A14" s="8"/>
      <c r="B14" s="12" t="s">
        <v>24</v>
      </c>
      <c r="C14" s="75">
        <v>13</v>
      </c>
      <c r="D14" s="75">
        <v>10</v>
      </c>
      <c r="E14" s="75">
        <v>17</v>
      </c>
      <c r="F14" s="75">
        <v>12</v>
      </c>
      <c r="G14" s="75">
        <v>5</v>
      </c>
      <c r="H14" s="75">
        <v>7</v>
      </c>
      <c r="I14" s="75">
        <v>8</v>
      </c>
      <c r="J14" s="75">
        <v>8</v>
      </c>
      <c r="K14" s="75">
        <v>17</v>
      </c>
      <c r="L14" s="75">
        <v>10</v>
      </c>
      <c r="M14" s="75">
        <v>11</v>
      </c>
      <c r="N14" s="75">
        <v>5.5</v>
      </c>
      <c r="O14" s="75">
        <v>12.5</v>
      </c>
      <c r="P14" s="75">
        <v>10</v>
      </c>
      <c r="Q14" s="75">
        <v>5</v>
      </c>
      <c r="R14" s="75">
        <v>5</v>
      </c>
      <c r="S14" s="75">
        <v>11</v>
      </c>
      <c r="T14" s="171" cm="1">
        <f t="array" ref="T14">SUM(IF(C14:S14&gt;20, 0, 20-ROUND(C14:S14,0)))</f>
        <v>172</v>
      </c>
      <c r="U14" s="114">
        <f t="shared" si="0"/>
        <v>4.5934117647058823</v>
      </c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59"/>
      <c r="AZ14" s="159"/>
      <c r="BA14" s="160"/>
      <c r="BB14" s="159"/>
      <c r="BC14" s="159"/>
      <c r="BD14" s="159"/>
    </row>
    <row r="15" spans="1:56">
      <c r="A15" s="8" t="s">
        <v>26</v>
      </c>
      <c r="B15" s="75" t="s">
        <v>27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70"/>
      <c r="U15" s="114">
        <f t="shared" si="0"/>
        <v>0</v>
      </c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59"/>
      <c r="AZ15" s="159"/>
      <c r="BA15" s="161"/>
      <c r="BB15" s="159"/>
      <c r="BC15" s="159"/>
      <c r="BD15" s="159"/>
    </row>
    <row r="16" spans="1:56">
      <c r="A16" s="8"/>
      <c r="B16" s="12" t="s">
        <v>23</v>
      </c>
      <c r="C16" s="75"/>
      <c r="D16" s="75">
        <v>18</v>
      </c>
      <c r="E16" s="75">
        <v>5</v>
      </c>
      <c r="F16" s="75">
        <v>10</v>
      </c>
      <c r="G16" s="75">
        <v>5</v>
      </c>
      <c r="H16" s="75"/>
      <c r="I16" s="75">
        <v>16</v>
      </c>
      <c r="J16" s="75">
        <v>11</v>
      </c>
      <c r="K16" s="75">
        <v>0</v>
      </c>
      <c r="L16" s="75">
        <v>10</v>
      </c>
      <c r="M16" s="75">
        <v>11</v>
      </c>
      <c r="N16" s="75">
        <v>0</v>
      </c>
      <c r="O16" s="75">
        <v>0</v>
      </c>
      <c r="P16" s="75">
        <v>10</v>
      </c>
      <c r="Q16" s="75">
        <v>10</v>
      </c>
      <c r="R16" s="75">
        <v>10</v>
      </c>
      <c r="S16" s="75">
        <v>10</v>
      </c>
      <c r="T16" s="171">
        <f>SUM(C16:S16)</f>
        <v>126</v>
      </c>
      <c r="U16" s="114">
        <f t="shared" si="0"/>
        <v>3.3649411764705883</v>
      </c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60"/>
      <c r="AJ16" s="160"/>
      <c r="AK16" s="160"/>
      <c r="AL16" s="160"/>
      <c r="AM16" s="160"/>
      <c r="AN16" s="160"/>
      <c r="AO16" s="160"/>
      <c r="AP16" s="160"/>
      <c r="AQ16" s="160"/>
      <c r="AR16" s="161"/>
      <c r="AS16" s="160"/>
      <c r="AT16" s="160"/>
      <c r="AU16" s="160"/>
      <c r="AV16" s="160"/>
      <c r="AW16" s="160"/>
      <c r="AX16" s="160"/>
      <c r="AY16" s="159"/>
      <c r="AZ16" s="159"/>
      <c r="BA16" s="160"/>
      <c r="BB16" s="159"/>
      <c r="BC16" s="159"/>
      <c r="BD16" s="159"/>
    </row>
    <row r="17" spans="1:56">
      <c r="A17" s="8"/>
      <c r="B17" s="12" t="s">
        <v>24</v>
      </c>
      <c r="C17" s="75">
        <v>11</v>
      </c>
      <c r="D17" s="75">
        <v>18</v>
      </c>
      <c r="E17" s="75">
        <v>8</v>
      </c>
      <c r="F17" s="75">
        <v>10</v>
      </c>
      <c r="G17" s="75">
        <v>22</v>
      </c>
      <c r="H17" s="75">
        <v>15</v>
      </c>
      <c r="I17" s="75">
        <v>16</v>
      </c>
      <c r="J17" s="75">
        <v>11</v>
      </c>
      <c r="K17" s="75">
        <v>19</v>
      </c>
      <c r="L17" s="75">
        <v>15</v>
      </c>
      <c r="M17" s="75">
        <v>11</v>
      </c>
      <c r="N17" s="75">
        <v>11</v>
      </c>
      <c r="O17" s="75">
        <v>14.5</v>
      </c>
      <c r="P17" s="75">
        <v>10</v>
      </c>
      <c r="Q17" s="75">
        <v>11</v>
      </c>
      <c r="R17" s="75">
        <v>3</v>
      </c>
      <c r="S17" s="75">
        <v>16</v>
      </c>
      <c r="T17" s="171">
        <f>SUM(C17:S17)</f>
        <v>221.5</v>
      </c>
      <c r="U17" s="114">
        <f t="shared" si="0"/>
        <v>5.9153529411764705</v>
      </c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59"/>
      <c r="AZ17" s="159"/>
      <c r="BA17" s="160"/>
      <c r="BB17" s="159"/>
      <c r="BC17" s="159"/>
      <c r="BD17" s="159"/>
    </row>
    <row r="18" spans="1:56">
      <c r="A18" s="8" t="s">
        <v>26</v>
      </c>
      <c r="B18" s="75" t="s">
        <v>28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70"/>
      <c r="U18" s="114">
        <f t="shared" si="0"/>
        <v>0</v>
      </c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59"/>
      <c r="AZ18" s="159"/>
      <c r="BA18" s="161"/>
      <c r="BB18" s="159"/>
      <c r="BC18" s="159"/>
      <c r="BD18" s="159"/>
    </row>
    <row r="19" spans="1:56">
      <c r="A19" s="8" t="s">
        <v>29</v>
      </c>
      <c r="B19" s="12" t="s">
        <v>23</v>
      </c>
      <c r="C19" s="75">
        <v>43</v>
      </c>
      <c r="D19" s="75">
        <v>44</v>
      </c>
      <c r="E19" s="75">
        <v>45</v>
      </c>
      <c r="F19" s="75">
        <v>45</v>
      </c>
      <c r="G19" s="75">
        <v>46</v>
      </c>
      <c r="H19" s="75">
        <v>46</v>
      </c>
      <c r="I19" s="75">
        <v>47</v>
      </c>
      <c r="J19" s="75">
        <v>48</v>
      </c>
      <c r="K19" s="75">
        <v>49</v>
      </c>
      <c r="L19" s="75">
        <v>49</v>
      </c>
      <c r="M19" s="75">
        <v>50</v>
      </c>
      <c r="N19" s="75">
        <v>50</v>
      </c>
      <c r="O19" s="75">
        <v>51</v>
      </c>
      <c r="P19" s="75">
        <v>51</v>
      </c>
      <c r="Q19" s="75">
        <v>52</v>
      </c>
      <c r="R19" s="75">
        <v>54</v>
      </c>
      <c r="S19" s="75">
        <v>54</v>
      </c>
      <c r="T19" s="171" cm="1">
        <f t="array" ref="T19">SUM(IF(C19:S19&gt;20, 20, C19:S19))</f>
        <v>340</v>
      </c>
      <c r="U19" s="114">
        <f t="shared" si="0"/>
        <v>9.08</v>
      </c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59"/>
      <c r="AZ19" s="159"/>
      <c r="BA19" s="160"/>
      <c r="BB19" s="159"/>
      <c r="BC19" s="159"/>
      <c r="BD19" s="159"/>
    </row>
    <row r="20" spans="1:56">
      <c r="A20" s="8"/>
      <c r="B20" s="12" t="s">
        <v>24</v>
      </c>
      <c r="C20" s="75">
        <v>43</v>
      </c>
      <c r="D20" s="75">
        <v>44</v>
      </c>
      <c r="E20" s="75">
        <v>45</v>
      </c>
      <c r="F20" s="75">
        <v>45</v>
      </c>
      <c r="G20" s="75">
        <v>46</v>
      </c>
      <c r="H20" s="75">
        <v>46</v>
      </c>
      <c r="I20" s="75">
        <v>47</v>
      </c>
      <c r="J20" s="75">
        <v>48</v>
      </c>
      <c r="K20" s="75">
        <v>49</v>
      </c>
      <c r="L20" s="75">
        <v>49</v>
      </c>
      <c r="M20" s="75">
        <v>50</v>
      </c>
      <c r="N20" s="75">
        <v>50</v>
      </c>
      <c r="O20" s="75">
        <v>51</v>
      </c>
      <c r="P20" s="75">
        <v>51</v>
      </c>
      <c r="Q20" s="75">
        <v>52</v>
      </c>
      <c r="R20" s="75">
        <v>54</v>
      </c>
      <c r="S20" s="75">
        <v>54</v>
      </c>
      <c r="T20" s="171" cm="1">
        <f t="array" ref="T20">SUM(IF(C20:S20&gt;20, 20, C20:S20))</f>
        <v>340</v>
      </c>
      <c r="U20" s="114">
        <f t="shared" si="0"/>
        <v>9.08</v>
      </c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59"/>
      <c r="AZ20" s="159"/>
      <c r="BA20" s="160"/>
      <c r="BB20" s="159"/>
      <c r="BC20" s="159"/>
      <c r="BD20" s="159"/>
    </row>
    <row r="21" spans="1:56">
      <c r="A21" s="8" t="s">
        <v>26</v>
      </c>
      <c r="B21" s="75" t="s">
        <v>30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71" cm="1">
        <f t="array" ref="T21">SUM(IF(C21:S21&gt;20, 20, C21:S21))</f>
        <v>0</v>
      </c>
      <c r="U21" s="114">
        <f t="shared" si="0"/>
        <v>0</v>
      </c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0"/>
      <c r="AV21" s="161"/>
      <c r="AW21" s="161"/>
      <c r="AX21" s="161"/>
      <c r="AY21" s="159"/>
      <c r="AZ21" s="159"/>
      <c r="BA21" s="161"/>
      <c r="BB21" s="159"/>
      <c r="BC21" s="159"/>
      <c r="BD21" s="159"/>
    </row>
    <row r="22" spans="1:56">
      <c r="A22" s="8" t="s">
        <v>29</v>
      </c>
      <c r="B22" s="12" t="s">
        <v>23</v>
      </c>
      <c r="C22" s="75">
        <v>43</v>
      </c>
      <c r="D22" s="75">
        <v>44</v>
      </c>
      <c r="E22" s="75">
        <v>45</v>
      </c>
      <c r="F22" s="75">
        <v>45</v>
      </c>
      <c r="G22" s="75">
        <v>46</v>
      </c>
      <c r="H22" s="75">
        <v>46</v>
      </c>
      <c r="I22" s="75">
        <v>47</v>
      </c>
      <c r="J22" s="75">
        <v>48</v>
      </c>
      <c r="K22" s="75">
        <v>49</v>
      </c>
      <c r="L22" s="75">
        <v>49</v>
      </c>
      <c r="M22" s="75">
        <v>50</v>
      </c>
      <c r="N22" s="75">
        <v>50</v>
      </c>
      <c r="O22" s="75">
        <v>36</v>
      </c>
      <c r="P22" s="75">
        <v>51</v>
      </c>
      <c r="Q22" s="75">
        <v>52</v>
      </c>
      <c r="R22" s="75">
        <v>54</v>
      </c>
      <c r="S22" s="75">
        <v>54</v>
      </c>
      <c r="T22" s="171" cm="1">
        <f t="array" ref="T22">SUM(IF(C22:S22&gt;20, 20, C22:S22))</f>
        <v>340</v>
      </c>
      <c r="U22" s="114">
        <f t="shared" si="0"/>
        <v>9.08</v>
      </c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59"/>
      <c r="AZ22" s="159"/>
      <c r="BA22" s="160"/>
      <c r="BB22" s="159"/>
      <c r="BC22" s="159"/>
      <c r="BD22" s="159"/>
    </row>
    <row r="23" spans="1:56">
      <c r="A23" s="8"/>
      <c r="B23" s="12" t="s">
        <v>24</v>
      </c>
      <c r="C23" s="75">
        <v>0</v>
      </c>
      <c r="D23" s="75">
        <v>44</v>
      </c>
      <c r="E23" s="75">
        <v>0</v>
      </c>
      <c r="F23" s="75">
        <v>45</v>
      </c>
      <c r="G23" s="75">
        <v>46</v>
      </c>
      <c r="H23" s="75">
        <v>0</v>
      </c>
      <c r="I23" s="75"/>
      <c r="J23" s="75">
        <v>0</v>
      </c>
      <c r="K23" s="75">
        <v>17</v>
      </c>
      <c r="L23" s="75">
        <v>49</v>
      </c>
      <c r="M23" s="75">
        <v>0</v>
      </c>
      <c r="N23" s="75"/>
      <c r="O23" s="75">
        <v>15</v>
      </c>
      <c r="P23" s="75">
        <v>51</v>
      </c>
      <c r="Q23" s="75"/>
      <c r="R23" s="75">
        <v>54</v>
      </c>
      <c r="S23" s="75"/>
      <c r="T23" s="171" cm="1">
        <f t="array" ref="T23">SUM(IF(C23:S23&gt;20, 20, C23:S23))</f>
        <v>152</v>
      </c>
      <c r="U23" s="114">
        <f t="shared" si="0"/>
        <v>4.0592941176470587</v>
      </c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59"/>
      <c r="AZ23" s="159"/>
      <c r="BA23" s="160"/>
      <c r="BB23" s="159"/>
      <c r="BC23" s="159"/>
      <c r="BD23" s="159"/>
    </row>
    <row r="24" spans="1:56">
      <c r="A24" s="8" t="s">
        <v>26</v>
      </c>
      <c r="B24" s="75" t="s">
        <v>31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71" cm="1">
        <f t="array" ref="T24">SUM(IF(C24:S24&gt;20, 20, C24:S24))</f>
        <v>0</v>
      </c>
      <c r="U24" s="114">
        <f t="shared" si="0"/>
        <v>0</v>
      </c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59"/>
      <c r="AZ24" s="159"/>
      <c r="BA24" s="161"/>
      <c r="BB24" s="159"/>
      <c r="BC24" s="159"/>
      <c r="BD24" s="159"/>
    </row>
    <row r="25" spans="1:56">
      <c r="A25" s="8" t="s">
        <v>29</v>
      </c>
      <c r="B25" s="12" t="s">
        <v>23</v>
      </c>
      <c r="C25" s="75">
        <v>5</v>
      </c>
      <c r="D25" s="75">
        <v>24</v>
      </c>
      <c r="E25" s="9"/>
      <c r="F25" s="75">
        <v>25</v>
      </c>
      <c r="G25" s="75">
        <v>25</v>
      </c>
      <c r="H25" s="75">
        <v>24</v>
      </c>
      <c r="I25" s="75">
        <v>24</v>
      </c>
      <c r="J25" s="75"/>
      <c r="K25" s="75">
        <v>25</v>
      </c>
      <c r="L25" s="75">
        <v>30</v>
      </c>
      <c r="M25" s="75">
        <v>5</v>
      </c>
      <c r="N25" s="75">
        <v>7</v>
      </c>
      <c r="O25" s="75">
        <v>28</v>
      </c>
      <c r="P25" s="75">
        <v>51</v>
      </c>
      <c r="Q25" s="75">
        <v>30</v>
      </c>
      <c r="R25" s="75">
        <v>30</v>
      </c>
      <c r="S25" s="75">
        <v>30</v>
      </c>
      <c r="T25" s="171" cm="1">
        <f t="array" ref="T25">SUM(IF(C25:S25&gt;20, 20, C25:S25))</f>
        <v>257</v>
      </c>
      <c r="U25" s="114">
        <f t="shared" si="0"/>
        <v>6.8634117647058828</v>
      </c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59"/>
      <c r="AZ25" s="159"/>
      <c r="BA25" s="160"/>
      <c r="BB25" s="159"/>
      <c r="BC25" s="159"/>
      <c r="BD25" s="159"/>
    </row>
    <row r="26" spans="1:56">
      <c r="A26" s="12"/>
      <c r="B26" s="12" t="s">
        <v>24</v>
      </c>
      <c r="C26" s="75">
        <v>0</v>
      </c>
      <c r="D26" s="75">
        <v>24</v>
      </c>
      <c r="E26" s="75"/>
      <c r="F26" s="75">
        <v>25</v>
      </c>
      <c r="G26" s="75">
        <v>25</v>
      </c>
      <c r="H26" s="75">
        <v>0</v>
      </c>
      <c r="I26" s="75"/>
      <c r="J26" s="75"/>
      <c r="K26" s="75">
        <v>25</v>
      </c>
      <c r="L26" s="75">
        <v>30</v>
      </c>
      <c r="M26" s="75">
        <v>0</v>
      </c>
      <c r="N26" s="75">
        <v>10</v>
      </c>
      <c r="O26" s="75">
        <v>28</v>
      </c>
      <c r="P26" s="75">
        <v>51</v>
      </c>
      <c r="Q26" s="75">
        <v>21</v>
      </c>
      <c r="R26" s="75">
        <v>30</v>
      </c>
      <c r="S26" s="75">
        <v>30</v>
      </c>
      <c r="T26" s="171" cm="1">
        <f t="array" ref="T26">SUM(IF(C26:S26&gt;20, 20, C26:S26))</f>
        <v>210</v>
      </c>
      <c r="U26" s="114">
        <f t="shared" si="0"/>
        <v>5.6082352941176472</v>
      </c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59"/>
      <c r="AZ26" s="159"/>
      <c r="BA26" s="160"/>
      <c r="BB26" s="159"/>
      <c r="BC26" s="159"/>
      <c r="BD26" s="159"/>
    </row>
    <row r="27" spans="1:56">
      <c r="A27" s="14"/>
      <c r="B27" s="14" t="s">
        <v>32</v>
      </c>
      <c r="C27" s="15">
        <f t="shared" ref="C27:S27" si="1">0.454*(IF(C10&gt;20, 0, 20-ROUND(C10,0)) + IF(C13&gt;20, 0, 20-ROUND(C13,0)) + C16 + IF(C19&gt;20, 20, C19) + IF(C22&gt;20, 20, C22) + IF(C25&gt;20, 20, C25))</f>
        <v>34.957999999999998</v>
      </c>
      <c r="D27" s="15">
        <f t="shared" si="1"/>
        <v>49.486000000000004</v>
      </c>
      <c r="E27" s="15">
        <f t="shared" si="1"/>
        <v>37.228000000000002</v>
      </c>
      <c r="F27" s="15">
        <f t="shared" si="1"/>
        <v>48.124000000000002</v>
      </c>
      <c r="G27" s="15">
        <f t="shared" si="1"/>
        <v>46.762</v>
      </c>
      <c r="H27" s="15">
        <f t="shared" si="1"/>
        <v>44.038000000000004</v>
      </c>
      <c r="I27" s="15">
        <f t="shared" si="1"/>
        <v>50.393999999999998</v>
      </c>
      <c r="J27" s="15">
        <f t="shared" si="1"/>
        <v>39.498000000000005</v>
      </c>
      <c r="K27" s="15">
        <f t="shared" si="1"/>
        <v>43.584000000000003</v>
      </c>
      <c r="L27" s="15">
        <f t="shared" si="1"/>
        <v>48.124000000000002</v>
      </c>
      <c r="M27" s="15">
        <f t="shared" si="1"/>
        <v>39.044000000000004</v>
      </c>
      <c r="N27" s="15">
        <f t="shared" si="1"/>
        <v>36.32</v>
      </c>
      <c r="O27" s="15">
        <f t="shared" si="1"/>
        <v>43.584000000000003</v>
      </c>
      <c r="P27" s="15">
        <f t="shared" si="1"/>
        <v>47.216000000000001</v>
      </c>
      <c r="Q27" s="15">
        <f t="shared" si="1"/>
        <v>47.216000000000001</v>
      </c>
      <c r="R27" s="15">
        <f t="shared" si="1"/>
        <v>47.67</v>
      </c>
      <c r="S27" s="15">
        <f t="shared" si="1"/>
        <v>49.032000000000004</v>
      </c>
      <c r="T27" s="172">
        <f>AVERAGE(C27:S27)</f>
        <v>44.251647058823529</v>
      </c>
      <c r="U27" s="15">
        <f t="shared" ref="U27:U28" si="2">U10+U13+U16+U19+U22+U25</f>
        <v>44.251647058823529</v>
      </c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59"/>
      <c r="AZ27" s="159"/>
      <c r="BA27" s="160"/>
      <c r="BB27" s="159"/>
      <c r="BC27" s="159"/>
      <c r="BD27" s="159"/>
    </row>
    <row r="28" spans="1:56">
      <c r="A28" s="12"/>
      <c r="B28" s="12" t="s">
        <v>33</v>
      </c>
      <c r="C28" s="75">
        <f t="shared" ref="C28:S28" si="3">0.454*(IF(C11&gt;20, 0, 20-ROUND(C11,0)) + IF(C14&gt;20, 0, 20-ROUND(C14,0)) + C17 + IF(C20&gt;20, 20, C20) + IF(C23&gt;20, 20, C23) + IF(C26&gt;20, 20, C26))</f>
        <v>20.43</v>
      </c>
      <c r="D28" s="75">
        <f t="shared" si="3"/>
        <v>45.4</v>
      </c>
      <c r="E28" s="75">
        <f t="shared" si="3"/>
        <v>19.068000000000001</v>
      </c>
      <c r="F28" s="75">
        <f t="shared" si="3"/>
        <v>41.314</v>
      </c>
      <c r="G28" s="75">
        <f t="shared" si="3"/>
        <v>50.847999999999999</v>
      </c>
      <c r="H28" s="75">
        <f t="shared" si="3"/>
        <v>29.51</v>
      </c>
      <c r="I28" s="75">
        <f t="shared" si="3"/>
        <v>28.148</v>
      </c>
      <c r="J28" s="75">
        <f t="shared" si="3"/>
        <v>25.878</v>
      </c>
      <c r="K28" s="75">
        <f t="shared" si="3"/>
        <v>42.222000000000001</v>
      </c>
      <c r="L28" s="75">
        <f t="shared" si="3"/>
        <v>44.945999999999998</v>
      </c>
      <c r="M28" s="75">
        <f t="shared" si="3"/>
        <v>24.062000000000001</v>
      </c>
      <c r="N28" s="75">
        <f t="shared" si="3"/>
        <v>31.326000000000001</v>
      </c>
      <c r="O28" s="75">
        <f t="shared" si="3"/>
        <v>38.363</v>
      </c>
      <c r="P28" s="75">
        <f t="shared" si="3"/>
        <v>42.222000000000001</v>
      </c>
      <c r="Q28" s="75">
        <f t="shared" si="3"/>
        <v>37.682000000000002</v>
      </c>
      <c r="R28" s="75">
        <f t="shared" si="3"/>
        <v>42.222000000000001</v>
      </c>
      <c r="S28" s="75">
        <f t="shared" si="3"/>
        <v>35.866</v>
      </c>
      <c r="T28" s="171">
        <f>AVERAGE(C28:S28)</f>
        <v>35.265117647058823</v>
      </c>
      <c r="U28" s="114">
        <f t="shared" si="2"/>
        <v>35.265117647058823</v>
      </c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59"/>
      <c r="AZ28" s="159"/>
      <c r="BA28" s="160"/>
      <c r="BB28" s="159"/>
      <c r="BC28" s="159"/>
      <c r="BD28" s="159"/>
    </row>
    <row r="29" spans="1:56">
      <c r="A29" s="19"/>
      <c r="B29" s="19" t="s">
        <v>34</v>
      </c>
      <c r="C29" s="20">
        <f t="shared" ref="C29:S29" si="4">C27-C28</f>
        <v>14.527999999999999</v>
      </c>
      <c r="D29" s="20">
        <f t="shared" si="4"/>
        <v>4.0860000000000056</v>
      </c>
      <c r="E29" s="20">
        <f t="shared" si="4"/>
        <v>18.16</v>
      </c>
      <c r="F29" s="20">
        <f t="shared" si="4"/>
        <v>6.8100000000000023</v>
      </c>
      <c r="G29" s="20">
        <f t="shared" si="4"/>
        <v>-4.0859999999999985</v>
      </c>
      <c r="H29" s="20">
        <f t="shared" si="4"/>
        <v>14.528000000000002</v>
      </c>
      <c r="I29" s="20">
        <f t="shared" si="4"/>
        <v>22.245999999999999</v>
      </c>
      <c r="J29" s="20">
        <f t="shared" si="4"/>
        <v>13.620000000000005</v>
      </c>
      <c r="K29" s="20">
        <f t="shared" si="4"/>
        <v>1.3620000000000019</v>
      </c>
      <c r="L29" s="20">
        <f t="shared" si="4"/>
        <v>3.1780000000000044</v>
      </c>
      <c r="M29" s="20">
        <f t="shared" si="4"/>
        <v>14.982000000000003</v>
      </c>
      <c r="N29" s="20">
        <f t="shared" si="4"/>
        <v>4.9939999999999998</v>
      </c>
      <c r="O29" s="20">
        <f t="shared" si="4"/>
        <v>5.2210000000000036</v>
      </c>
      <c r="P29" s="20">
        <f t="shared" si="4"/>
        <v>4.9939999999999998</v>
      </c>
      <c r="Q29" s="20">
        <f t="shared" si="4"/>
        <v>9.5339999999999989</v>
      </c>
      <c r="R29" s="20">
        <f t="shared" si="4"/>
        <v>5.4480000000000004</v>
      </c>
      <c r="S29" s="20">
        <f t="shared" si="4"/>
        <v>13.166000000000004</v>
      </c>
      <c r="T29" s="173">
        <f>AVERAGE(C29:S29)</f>
        <v>8.9865294117647068</v>
      </c>
      <c r="U29" s="20">
        <f>U27-U28</f>
        <v>8.9865294117647068</v>
      </c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59"/>
      <c r="AZ29" s="159"/>
      <c r="BA29" s="160"/>
      <c r="BB29" s="159"/>
      <c r="BC29" s="159"/>
      <c r="BD29" s="159"/>
    </row>
    <row r="30" spans="1:56">
      <c r="A30" s="23" t="s">
        <v>35</v>
      </c>
      <c r="B30" s="85" t="s">
        <v>36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129"/>
      <c r="U30" s="115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59"/>
      <c r="AZ30" s="159"/>
      <c r="BA30" s="161"/>
      <c r="BB30" s="159"/>
      <c r="BC30" s="159"/>
      <c r="BD30" s="159"/>
    </row>
    <row r="31" spans="1:56">
      <c r="A31" s="76"/>
      <c r="B31" s="76" t="s">
        <v>37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29"/>
      <c r="U31" s="115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59"/>
      <c r="AZ31" s="159"/>
      <c r="BA31" s="161"/>
      <c r="BB31" s="159"/>
      <c r="BC31" s="159"/>
      <c r="BD31" s="159"/>
    </row>
    <row r="32" spans="1:56">
      <c r="A32" s="27"/>
      <c r="B32" s="27" t="s">
        <v>23</v>
      </c>
      <c r="C32" s="76">
        <v>100</v>
      </c>
      <c r="D32" s="76">
        <v>44</v>
      </c>
      <c r="E32" s="76">
        <v>100</v>
      </c>
      <c r="F32" s="76">
        <v>67</v>
      </c>
      <c r="G32" s="76">
        <v>90</v>
      </c>
      <c r="H32" s="76">
        <v>100</v>
      </c>
      <c r="I32" s="76">
        <v>70</v>
      </c>
      <c r="J32" s="76">
        <v>100</v>
      </c>
      <c r="K32" s="76">
        <v>50</v>
      </c>
      <c r="L32" s="76">
        <v>67</v>
      </c>
      <c r="M32" s="76">
        <v>99</v>
      </c>
      <c r="N32" s="76">
        <v>100</v>
      </c>
      <c r="O32" s="76">
        <v>80</v>
      </c>
      <c r="P32" s="76">
        <v>90</v>
      </c>
      <c r="Q32" s="76">
        <v>60</v>
      </c>
      <c r="R32" s="76">
        <v>90</v>
      </c>
      <c r="S32" s="76">
        <v>90</v>
      </c>
      <c r="T32" s="174">
        <f t="shared" ref="T32:T50" si="5">SUM(C32:S32)</f>
        <v>1397</v>
      </c>
      <c r="U32" s="116">
        <f t="shared" ref="U32:U50" si="6">0.109*(T32/COLUMNS(C32:S32))</f>
        <v>8.9572352941176465</v>
      </c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59"/>
      <c r="AZ32" s="159"/>
      <c r="BA32" s="160"/>
      <c r="BB32" s="159"/>
      <c r="BC32" s="159"/>
      <c r="BD32" s="159"/>
    </row>
    <row r="33" spans="1:56">
      <c r="A33" s="27"/>
      <c r="B33" s="27" t="s">
        <v>24</v>
      </c>
      <c r="C33" s="76"/>
      <c r="D33" s="76">
        <v>56</v>
      </c>
      <c r="E33" s="24"/>
      <c r="F33" s="76">
        <v>33</v>
      </c>
      <c r="G33" s="76">
        <v>10</v>
      </c>
      <c r="H33" s="76"/>
      <c r="I33" s="76">
        <v>30</v>
      </c>
      <c r="J33" s="76"/>
      <c r="K33" s="76">
        <v>50</v>
      </c>
      <c r="L33" s="76">
        <v>33</v>
      </c>
      <c r="M33" s="76">
        <v>1</v>
      </c>
      <c r="N33" s="76"/>
      <c r="O33" s="76">
        <v>20</v>
      </c>
      <c r="P33" s="76">
        <v>10</v>
      </c>
      <c r="Q33" s="76">
        <v>40</v>
      </c>
      <c r="R33" s="76">
        <v>10</v>
      </c>
      <c r="S33" s="76">
        <v>10</v>
      </c>
      <c r="T33" s="174">
        <f t="shared" si="5"/>
        <v>303</v>
      </c>
      <c r="U33" s="116">
        <f t="shared" si="6"/>
        <v>1.9427647058823529</v>
      </c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59"/>
      <c r="AZ33" s="159"/>
      <c r="BA33" s="160"/>
      <c r="BB33" s="159"/>
      <c r="BC33" s="159"/>
      <c r="BD33" s="159"/>
    </row>
    <row r="34" spans="1:56">
      <c r="A34" s="27"/>
      <c r="B34" s="27" t="s">
        <v>38</v>
      </c>
      <c r="C34" s="76"/>
      <c r="D34" s="24"/>
      <c r="E34" s="24"/>
      <c r="F34" s="76"/>
      <c r="G34" s="24"/>
      <c r="H34" s="76"/>
      <c r="I34" s="76"/>
      <c r="J34" s="76"/>
      <c r="K34" s="24"/>
      <c r="L34" s="24"/>
      <c r="M34" s="76"/>
      <c r="N34" s="76"/>
      <c r="O34" s="76"/>
      <c r="P34" s="24"/>
      <c r="Q34" s="76"/>
      <c r="R34" s="24"/>
      <c r="S34" s="24"/>
      <c r="T34" s="174">
        <f t="shared" si="5"/>
        <v>0</v>
      </c>
      <c r="U34" s="116">
        <f t="shared" si="6"/>
        <v>0</v>
      </c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61"/>
      <c r="AJ34" s="160"/>
      <c r="AK34" s="160"/>
      <c r="AL34" s="160"/>
      <c r="AM34" s="160"/>
      <c r="AN34" s="160"/>
      <c r="AO34" s="160"/>
      <c r="AP34" s="160"/>
      <c r="AQ34" s="160"/>
      <c r="AR34" s="161"/>
      <c r="AS34" s="161"/>
      <c r="AT34" s="160"/>
      <c r="AU34" s="160"/>
      <c r="AV34" s="161"/>
      <c r="AW34" s="161"/>
      <c r="AX34" s="161"/>
      <c r="AY34" s="159"/>
      <c r="AZ34" s="159"/>
      <c r="BA34" s="160"/>
      <c r="BB34" s="159"/>
      <c r="BC34" s="159"/>
      <c r="BD34" s="159"/>
    </row>
    <row r="35" spans="1:56">
      <c r="A35" s="76"/>
      <c r="B35" s="76" t="s">
        <v>39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74">
        <f t="shared" si="5"/>
        <v>0</v>
      </c>
      <c r="U35" s="116">
        <f t="shared" si="6"/>
        <v>0</v>
      </c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59"/>
      <c r="AZ35" s="159"/>
      <c r="BA35" s="161"/>
      <c r="BB35" s="159"/>
      <c r="BC35" s="159"/>
      <c r="BD35" s="159"/>
    </row>
    <row r="36" spans="1:56">
      <c r="A36" s="27"/>
      <c r="B36" s="27" t="s">
        <v>23</v>
      </c>
      <c r="C36" s="76">
        <v>100</v>
      </c>
      <c r="D36" s="76">
        <v>67</v>
      </c>
      <c r="E36" s="76">
        <v>100</v>
      </c>
      <c r="F36" s="76">
        <v>77</v>
      </c>
      <c r="G36" s="76">
        <v>95</v>
      </c>
      <c r="H36" s="76">
        <v>100</v>
      </c>
      <c r="I36" s="76">
        <v>80</v>
      </c>
      <c r="J36" s="76">
        <v>100</v>
      </c>
      <c r="K36" s="76">
        <v>80</v>
      </c>
      <c r="L36" s="76">
        <v>67</v>
      </c>
      <c r="M36" s="76">
        <v>99</v>
      </c>
      <c r="N36" s="76">
        <v>100</v>
      </c>
      <c r="O36" s="76">
        <v>60</v>
      </c>
      <c r="P36" s="76">
        <v>90</v>
      </c>
      <c r="Q36" s="76">
        <v>90</v>
      </c>
      <c r="R36" s="76">
        <v>95</v>
      </c>
      <c r="S36" s="76">
        <v>95</v>
      </c>
      <c r="T36" s="174">
        <f t="shared" si="5"/>
        <v>1495</v>
      </c>
      <c r="U36" s="116">
        <f t="shared" si="6"/>
        <v>9.585588235294118</v>
      </c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59"/>
      <c r="AZ36" s="159"/>
      <c r="BA36" s="160"/>
      <c r="BB36" s="159"/>
      <c r="BC36" s="159"/>
      <c r="BD36" s="159"/>
    </row>
    <row r="37" spans="1:56">
      <c r="A37" s="27"/>
      <c r="B37" s="27" t="s">
        <v>24</v>
      </c>
      <c r="C37" s="24"/>
      <c r="D37" s="76">
        <v>33</v>
      </c>
      <c r="E37" s="24"/>
      <c r="F37" s="76">
        <v>23</v>
      </c>
      <c r="G37" s="76">
        <v>5</v>
      </c>
      <c r="H37" s="76"/>
      <c r="I37" s="76">
        <v>20</v>
      </c>
      <c r="J37" s="76"/>
      <c r="K37" s="76">
        <v>20</v>
      </c>
      <c r="L37" s="76">
        <v>33</v>
      </c>
      <c r="M37" s="76">
        <v>1</v>
      </c>
      <c r="N37" s="76"/>
      <c r="O37" s="76">
        <v>40</v>
      </c>
      <c r="P37" s="76">
        <v>10</v>
      </c>
      <c r="Q37" s="76">
        <v>10</v>
      </c>
      <c r="R37" s="76">
        <v>5</v>
      </c>
      <c r="S37" s="76">
        <v>5</v>
      </c>
      <c r="T37" s="174">
        <f t="shared" si="5"/>
        <v>205</v>
      </c>
      <c r="U37" s="116">
        <f t="shared" si="6"/>
        <v>1.3144117647058824</v>
      </c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59"/>
      <c r="AZ37" s="159"/>
      <c r="BA37" s="160"/>
      <c r="BB37" s="159"/>
      <c r="BC37" s="159"/>
      <c r="BD37" s="159"/>
    </row>
    <row r="38" spans="1:56">
      <c r="A38" s="27"/>
      <c r="B38" s="27" t="s">
        <v>38</v>
      </c>
      <c r="C38" s="24"/>
      <c r="D38" s="24"/>
      <c r="E38" s="24"/>
      <c r="F38" s="24"/>
      <c r="G38" s="24"/>
      <c r="H38" s="76"/>
      <c r="I38" s="76"/>
      <c r="J38" s="76"/>
      <c r="K38" s="24"/>
      <c r="L38" s="24"/>
      <c r="M38" s="76"/>
      <c r="N38" s="76"/>
      <c r="O38" s="76"/>
      <c r="P38" s="24"/>
      <c r="Q38" s="76"/>
      <c r="R38" s="24"/>
      <c r="S38" s="24"/>
      <c r="T38" s="174">
        <f t="shared" si="5"/>
        <v>0</v>
      </c>
      <c r="U38" s="116">
        <f t="shared" si="6"/>
        <v>0</v>
      </c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61"/>
      <c r="AJ38" s="160"/>
      <c r="AK38" s="160"/>
      <c r="AL38" s="160"/>
      <c r="AM38" s="160"/>
      <c r="AN38" s="160"/>
      <c r="AO38" s="160"/>
      <c r="AP38" s="160"/>
      <c r="AQ38" s="160"/>
      <c r="AR38" s="161"/>
      <c r="AS38" s="161"/>
      <c r="AT38" s="160"/>
      <c r="AU38" s="161"/>
      <c r="AV38" s="161"/>
      <c r="AW38" s="161"/>
      <c r="AX38" s="161"/>
      <c r="AY38" s="159"/>
      <c r="AZ38" s="159"/>
      <c r="BA38" s="160"/>
      <c r="BB38" s="159"/>
      <c r="BC38" s="159"/>
      <c r="BD38" s="159"/>
    </row>
    <row r="39" spans="1:56">
      <c r="A39" s="76"/>
      <c r="B39" s="76" t="s">
        <v>40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74">
        <f t="shared" si="5"/>
        <v>0</v>
      </c>
      <c r="U39" s="116">
        <f t="shared" si="6"/>
        <v>0</v>
      </c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59"/>
      <c r="AZ39" s="159"/>
      <c r="BA39" s="161"/>
      <c r="BB39" s="159"/>
      <c r="BC39" s="159"/>
      <c r="BD39" s="159"/>
    </row>
    <row r="40" spans="1:56">
      <c r="A40" s="27"/>
      <c r="B40" s="27" t="s">
        <v>23</v>
      </c>
      <c r="C40" s="76">
        <v>100</v>
      </c>
      <c r="D40" s="76">
        <v>44</v>
      </c>
      <c r="E40" s="76">
        <v>100</v>
      </c>
      <c r="F40" s="76">
        <v>50</v>
      </c>
      <c r="G40" s="76">
        <v>60</v>
      </c>
      <c r="H40" s="76">
        <v>100</v>
      </c>
      <c r="I40" s="76">
        <v>60</v>
      </c>
      <c r="J40" s="76"/>
      <c r="K40" s="76">
        <v>50</v>
      </c>
      <c r="L40" s="76">
        <v>33</v>
      </c>
      <c r="M40" s="76"/>
      <c r="N40" s="76">
        <v>80</v>
      </c>
      <c r="O40" s="76">
        <v>70</v>
      </c>
      <c r="P40" s="76">
        <v>90</v>
      </c>
      <c r="Q40" s="76">
        <v>80</v>
      </c>
      <c r="R40" s="76">
        <v>50</v>
      </c>
      <c r="S40" s="76">
        <v>50</v>
      </c>
      <c r="T40" s="174">
        <f t="shared" si="5"/>
        <v>1017</v>
      </c>
      <c r="U40" s="116">
        <f t="shared" si="6"/>
        <v>6.5207647058823524</v>
      </c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59"/>
      <c r="AZ40" s="159"/>
      <c r="BA40" s="160"/>
      <c r="BB40" s="159"/>
      <c r="BC40" s="159"/>
      <c r="BD40" s="159"/>
    </row>
    <row r="41" spans="1:56">
      <c r="A41" s="27"/>
      <c r="B41" s="27" t="s">
        <v>24</v>
      </c>
      <c r="C41" s="76"/>
      <c r="D41" s="76">
        <v>56</v>
      </c>
      <c r="E41" s="24"/>
      <c r="F41" s="76">
        <v>50</v>
      </c>
      <c r="G41" s="76">
        <v>40</v>
      </c>
      <c r="H41" s="76"/>
      <c r="I41" s="76">
        <v>40</v>
      </c>
      <c r="J41" s="76"/>
      <c r="K41" s="76">
        <v>50</v>
      </c>
      <c r="L41" s="76">
        <v>67</v>
      </c>
      <c r="M41" s="76"/>
      <c r="N41" s="76">
        <v>20</v>
      </c>
      <c r="O41" s="76">
        <v>27</v>
      </c>
      <c r="P41" s="76">
        <v>10</v>
      </c>
      <c r="Q41" s="76">
        <v>20</v>
      </c>
      <c r="R41" s="76">
        <v>50</v>
      </c>
      <c r="S41" s="76">
        <v>50</v>
      </c>
      <c r="T41" s="174">
        <f t="shared" si="5"/>
        <v>480</v>
      </c>
      <c r="U41" s="116">
        <f t="shared" si="6"/>
        <v>3.0776470588235294</v>
      </c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59"/>
      <c r="AZ41" s="159"/>
      <c r="BA41" s="160"/>
      <c r="BB41" s="159"/>
      <c r="BC41" s="159"/>
      <c r="BD41" s="159"/>
    </row>
    <row r="42" spans="1:56">
      <c r="A42" s="27"/>
      <c r="B42" s="27" t="s">
        <v>38</v>
      </c>
      <c r="C42" s="24"/>
      <c r="D42" s="24"/>
      <c r="E42" s="24"/>
      <c r="F42" s="76"/>
      <c r="G42" s="24"/>
      <c r="H42" s="76"/>
      <c r="I42" s="76"/>
      <c r="J42" s="76"/>
      <c r="K42" s="24"/>
      <c r="L42" s="24"/>
      <c r="M42" s="76"/>
      <c r="N42" s="76"/>
      <c r="O42" s="76">
        <v>3</v>
      </c>
      <c r="P42" s="24"/>
      <c r="Q42" s="76"/>
      <c r="R42" s="24"/>
      <c r="S42" s="24"/>
      <c r="T42" s="174">
        <f t="shared" si="5"/>
        <v>3</v>
      </c>
      <c r="U42" s="116">
        <f t="shared" si="6"/>
        <v>1.9235294117647059E-2</v>
      </c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61"/>
      <c r="AJ42" s="160"/>
      <c r="AK42" s="160"/>
      <c r="AL42" s="160"/>
      <c r="AM42" s="160"/>
      <c r="AN42" s="160"/>
      <c r="AO42" s="160"/>
      <c r="AP42" s="160"/>
      <c r="AQ42" s="160"/>
      <c r="AR42" s="161"/>
      <c r="AS42" s="161"/>
      <c r="AT42" s="160"/>
      <c r="AU42" s="161"/>
      <c r="AV42" s="161"/>
      <c r="AW42" s="161"/>
      <c r="AX42" s="161"/>
      <c r="AY42" s="159"/>
      <c r="AZ42" s="159"/>
      <c r="BA42" s="160"/>
      <c r="BB42" s="159"/>
      <c r="BC42" s="159"/>
      <c r="BD42" s="159"/>
    </row>
    <row r="43" spans="1:56">
      <c r="A43" s="76"/>
      <c r="B43" s="76" t="s">
        <v>41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174">
        <f t="shared" si="5"/>
        <v>0</v>
      </c>
      <c r="U43" s="116">
        <f t="shared" si="6"/>
        <v>0</v>
      </c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59"/>
      <c r="AZ43" s="159"/>
      <c r="BA43" s="161"/>
      <c r="BB43" s="159"/>
      <c r="BC43" s="159"/>
      <c r="BD43" s="159"/>
    </row>
    <row r="44" spans="1:56">
      <c r="A44" s="27"/>
      <c r="B44" s="27" t="s">
        <v>23</v>
      </c>
      <c r="C44" s="76">
        <v>100</v>
      </c>
      <c r="D44" s="76">
        <v>67</v>
      </c>
      <c r="E44" s="76">
        <v>100</v>
      </c>
      <c r="F44" s="76">
        <v>50</v>
      </c>
      <c r="G44" s="76">
        <v>100</v>
      </c>
      <c r="H44" s="76">
        <v>100</v>
      </c>
      <c r="I44" s="76">
        <v>70</v>
      </c>
      <c r="J44" s="76">
        <v>100</v>
      </c>
      <c r="K44" s="76">
        <v>95</v>
      </c>
      <c r="L44" s="76">
        <v>50</v>
      </c>
      <c r="M44" s="76">
        <v>60</v>
      </c>
      <c r="N44" s="76">
        <v>100</v>
      </c>
      <c r="O44" s="76">
        <v>0</v>
      </c>
      <c r="P44" s="76">
        <v>90</v>
      </c>
      <c r="Q44" s="76">
        <v>100</v>
      </c>
      <c r="R44" s="76">
        <v>50</v>
      </c>
      <c r="S44" s="76">
        <v>70</v>
      </c>
      <c r="T44" s="174">
        <f t="shared" si="5"/>
        <v>1302</v>
      </c>
      <c r="U44" s="116">
        <f t="shared" si="6"/>
        <v>8.3481176470588245</v>
      </c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59"/>
      <c r="AZ44" s="159"/>
      <c r="BA44" s="160"/>
      <c r="BB44" s="159"/>
      <c r="BC44" s="159"/>
      <c r="BD44" s="159"/>
    </row>
    <row r="45" spans="1:56">
      <c r="A45" s="27"/>
      <c r="B45" s="27" t="s">
        <v>24</v>
      </c>
      <c r="C45" s="76"/>
      <c r="D45" s="76">
        <v>33</v>
      </c>
      <c r="E45" s="24"/>
      <c r="F45" s="76">
        <v>50</v>
      </c>
      <c r="G45" s="76"/>
      <c r="H45" s="76"/>
      <c r="I45" s="76">
        <v>30</v>
      </c>
      <c r="J45" s="76"/>
      <c r="K45" s="76">
        <v>5</v>
      </c>
      <c r="L45" s="76">
        <v>50</v>
      </c>
      <c r="M45" s="76">
        <v>40</v>
      </c>
      <c r="N45" s="76"/>
      <c r="O45" s="76">
        <v>100</v>
      </c>
      <c r="P45" s="76">
        <v>10</v>
      </c>
      <c r="Q45" s="76"/>
      <c r="R45" s="76">
        <v>50</v>
      </c>
      <c r="S45" s="76">
        <v>30</v>
      </c>
      <c r="T45" s="174">
        <f t="shared" si="5"/>
        <v>398</v>
      </c>
      <c r="U45" s="116">
        <f t="shared" si="6"/>
        <v>2.5518823529411763</v>
      </c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60"/>
      <c r="AJ45" s="160"/>
      <c r="AK45" s="160"/>
      <c r="AL45" s="160"/>
      <c r="AM45" s="160"/>
      <c r="AN45" s="160"/>
      <c r="AO45" s="160"/>
      <c r="AP45" s="160"/>
      <c r="AQ45" s="160"/>
      <c r="AR45" s="161"/>
      <c r="AS45" s="160"/>
      <c r="AT45" s="160"/>
      <c r="AU45" s="160"/>
      <c r="AV45" s="160"/>
      <c r="AW45" s="160"/>
      <c r="AX45" s="160"/>
      <c r="AY45" s="159"/>
      <c r="AZ45" s="159"/>
      <c r="BA45" s="160"/>
      <c r="BB45" s="159"/>
      <c r="BC45" s="159"/>
      <c r="BD45" s="159"/>
    </row>
    <row r="46" spans="1:56">
      <c r="A46" s="27"/>
      <c r="B46" s="27" t="s">
        <v>38</v>
      </c>
      <c r="C46" s="24"/>
      <c r="D46" s="24"/>
      <c r="E46" s="24"/>
      <c r="F46" s="24"/>
      <c r="G46" s="24"/>
      <c r="H46" s="76"/>
      <c r="I46" s="76"/>
      <c r="J46" s="76"/>
      <c r="K46" s="24"/>
      <c r="L46" s="24"/>
      <c r="M46" s="76"/>
      <c r="N46" s="76"/>
      <c r="O46" s="24"/>
      <c r="P46" s="24"/>
      <c r="Q46" s="76"/>
      <c r="R46" s="24"/>
      <c r="S46" s="24"/>
      <c r="T46" s="174">
        <f t="shared" si="5"/>
        <v>0</v>
      </c>
      <c r="U46" s="116">
        <f t="shared" si="6"/>
        <v>0</v>
      </c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61"/>
      <c r="AJ46" s="160"/>
      <c r="AK46" s="160"/>
      <c r="AL46" s="160"/>
      <c r="AM46" s="160"/>
      <c r="AN46" s="160"/>
      <c r="AO46" s="160"/>
      <c r="AP46" s="160"/>
      <c r="AQ46" s="160"/>
      <c r="AR46" s="161"/>
      <c r="AS46" s="161"/>
      <c r="AT46" s="160"/>
      <c r="AU46" s="161"/>
      <c r="AV46" s="161"/>
      <c r="AW46" s="161"/>
      <c r="AX46" s="161"/>
      <c r="AY46" s="159"/>
      <c r="AZ46" s="159"/>
      <c r="BA46" s="160"/>
      <c r="BB46" s="159"/>
      <c r="BC46" s="159"/>
      <c r="BD46" s="159"/>
    </row>
    <row r="47" spans="1:56">
      <c r="A47" s="76"/>
      <c r="B47" s="76" t="s">
        <v>42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174">
        <f t="shared" si="5"/>
        <v>0</v>
      </c>
      <c r="U47" s="116">
        <f t="shared" si="6"/>
        <v>0</v>
      </c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59"/>
      <c r="AZ47" s="159"/>
      <c r="BA47" s="161"/>
      <c r="BB47" s="159"/>
      <c r="BC47" s="159"/>
      <c r="BD47" s="159"/>
    </row>
    <row r="48" spans="1:56">
      <c r="A48" s="27"/>
      <c r="B48" s="27" t="s">
        <v>23</v>
      </c>
      <c r="C48" s="76">
        <v>50</v>
      </c>
      <c r="D48" s="76">
        <v>33</v>
      </c>
      <c r="E48" s="76">
        <v>50</v>
      </c>
      <c r="F48" s="76">
        <v>33</v>
      </c>
      <c r="G48" s="76">
        <v>30</v>
      </c>
      <c r="H48" s="76">
        <v>10</v>
      </c>
      <c r="I48" s="76">
        <v>60</v>
      </c>
      <c r="J48" s="76">
        <v>90</v>
      </c>
      <c r="K48" s="76">
        <v>10</v>
      </c>
      <c r="L48" s="76">
        <v>33</v>
      </c>
      <c r="M48" s="76">
        <v>50</v>
      </c>
      <c r="N48" s="76"/>
      <c r="O48" s="76">
        <v>0</v>
      </c>
      <c r="P48" s="76">
        <v>100</v>
      </c>
      <c r="Q48" s="76">
        <v>50</v>
      </c>
      <c r="R48" s="76">
        <v>50</v>
      </c>
      <c r="S48" s="76">
        <v>30</v>
      </c>
      <c r="T48" s="174">
        <f t="shared" si="5"/>
        <v>679</v>
      </c>
      <c r="U48" s="116">
        <f t="shared" si="6"/>
        <v>4.3535882352941169</v>
      </c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59"/>
      <c r="AZ48" s="159"/>
      <c r="BA48" s="160"/>
      <c r="BB48" s="159"/>
      <c r="BC48" s="159"/>
      <c r="BD48" s="159"/>
    </row>
    <row r="49" spans="1:56">
      <c r="A49" s="27"/>
      <c r="B49" s="27" t="s">
        <v>24</v>
      </c>
      <c r="C49" s="76">
        <v>50</v>
      </c>
      <c r="D49" s="76">
        <v>67</v>
      </c>
      <c r="E49" s="76">
        <v>50</v>
      </c>
      <c r="F49" s="76">
        <v>67</v>
      </c>
      <c r="G49" s="76">
        <v>70</v>
      </c>
      <c r="H49" s="76">
        <v>90</v>
      </c>
      <c r="I49" s="76">
        <v>40</v>
      </c>
      <c r="J49" s="76">
        <v>10</v>
      </c>
      <c r="K49" s="76">
        <v>90</v>
      </c>
      <c r="L49" s="76">
        <v>67</v>
      </c>
      <c r="M49" s="76">
        <v>50</v>
      </c>
      <c r="N49" s="76">
        <v>100</v>
      </c>
      <c r="O49" s="76">
        <v>100</v>
      </c>
      <c r="P49" s="76"/>
      <c r="Q49" s="76">
        <v>50</v>
      </c>
      <c r="R49" s="76">
        <v>50</v>
      </c>
      <c r="S49" s="76">
        <v>70</v>
      </c>
      <c r="T49" s="174">
        <f t="shared" si="5"/>
        <v>1021</v>
      </c>
      <c r="U49" s="116">
        <f t="shared" si="6"/>
        <v>6.5464117647058826</v>
      </c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59"/>
      <c r="AZ49" s="159"/>
      <c r="BA49" s="160"/>
      <c r="BB49" s="159"/>
      <c r="BC49" s="159"/>
      <c r="BD49" s="159"/>
    </row>
    <row r="50" spans="1:56">
      <c r="A50" s="27"/>
      <c r="B50" s="27" t="s">
        <v>38</v>
      </c>
      <c r="C50" s="24"/>
      <c r="D50" s="24"/>
      <c r="E50" s="24"/>
      <c r="F50" s="24"/>
      <c r="G50" s="24"/>
      <c r="H50" s="76"/>
      <c r="I50" s="76"/>
      <c r="J50" s="76"/>
      <c r="K50" s="24"/>
      <c r="L50" s="24"/>
      <c r="M50" s="76"/>
      <c r="N50" s="76"/>
      <c r="O50" s="76"/>
      <c r="P50" s="24"/>
      <c r="Q50" s="76"/>
      <c r="R50" s="24"/>
      <c r="S50" s="24"/>
      <c r="T50" s="174">
        <f t="shared" si="5"/>
        <v>0</v>
      </c>
      <c r="U50" s="116">
        <f t="shared" si="6"/>
        <v>0</v>
      </c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61"/>
      <c r="AJ50" s="160"/>
      <c r="AK50" s="160"/>
      <c r="AL50" s="160"/>
      <c r="AM50" s="160"/>
      <c r="AN50" s="160"/>
      <c r="AO50" s="160"/>
      <c r="AP50" s="160"/>
      <c r="AQ50" s="160"/>
      <c r="AR50" s="161"/>
      <c r="AS50" s="161"/>
      <c r="AT50" s="160"/>
      <c r="AU50" s="161"/>
      <c r="AV50" s="161"/>
      <c r="AW50" s="161"/>
      <c r="AX50" s="161"/>
      <c r="AY50" s="159"/>
      <c r="AZ50" s="159"/>
      <c r="BA50" s="160"/>
      <c r="BB50" s="159"/>
      <c r="BC50" s="159"/>
      <c r="BD50" s="159"/>
    </row>
    <row r="51" spans="1:56">
      <c r="A51" s="29"/>
      <c r="B51" s="29" t="s">
        <v>32</v>
      </c>
      <c r="C51" s="30">
        <f t="shared" ref="C51:S51" si="7">0.109*(C32+C36+C40+C44+C48)</f>
        <v>49.05</v>
      </c>
      <c r="D51" s="30">
        <f t="shared" si="7"/>
        <v>27.794999999999998</v>
      </c>
      <c r="E51" s="30">
        <f t="shared" si="7"/>
        <v>49.05</v>
      </c>
      <c r="F51" s="30">
        <f t="shared" si="7"/>
        <v>30.193000000000001</v>
      </c>
      <c r="G51" s="30">
        <f t="shared" si="7"/>
        <v>40.875</v>
      </c>
      <c r="H51" s="30">
        <f t="shared" si="7"/>
        <v>44.69</v>
      </c>
      <c r="I51" s="30">
        <f t="shared" si="7"/>
        <v>37.06</v>
      </c>
      <c r="J51" s="30">
        <f t="shared" si="7"/>
        <v>42.51</v>
      </c>
      <c r="K51" s="30">
        <f t="shared" si="7"/>
        <v>31.065000000000001</v>
      </c>
      <c r="L51" s="30">
        <f t="shared" si="7"/>
        <v>27.25</v>
      </c>
      <c r="M51" s="30">
        <f t="shared" si="7"/>
        <v>33.572000000000003</v>
      </c>
      <c r="N51" s="30">
        <f t="shared" si="7"/>
        <v>41.42</v>
      </c>
      <c r="O51" s="30">
        <f t="shared" si="7"/>
        <v>22.89</v>
      </c>
      <c r="P51" s="30">
        <f t="shared" si="7"/>
        <v>50.14</v>
      </c>
      <c r="Q51" s="30">
        <f t="shared" si="7"/>
        <v>41.42</v>
      </c>
      <c r="R51" s="30">
        <f t="shared" si="7"/>
        <v>36.515000000000001</v>
      </c>
      <c r="S51" s="30">
        <f t="shared" si="7"/>
        <v>36.515000000000001</v>
      </c>
      <c r="T51" s="175">
        <f>AVERAGE(C51:S51)</f>
        <v>37.765294117647052</v>
      </c>
      <c r="U51" s="30">
        <f t="shared" ref="U51:U52" si="8">U32+U36+U40+U44+U48</f>
        <v>37.765294117647059</v>
      </c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59"/>
      <c r="AZ51" s="159"/>
      <c r="BA51" s="161"/>
      <c r="BB51" s="159"/>
      <c r="BC51" s="159"/>
      <c r="BD51" s="159"/>
    </row>
    <row r="52" spans="1:56">
      <c r="A52" s="27"/>
      <c r="B52" s="27" t="s">
        <v>33</v>
      </c>
      <c r="C52" s="24">
        <f t="shared" ref="C52:S52" si="9">0.109*(C33+C37+C41+C45+C49)</f>
        <v>5.45</v>
      </c>
      <c r="D52" s="24">
        <f t="shared" si="9"/>
        <v>26.704999999999998</v>
      </c>
      <c r="E52" s="24">
        <f t="shared" si="9"/>
        <v>5.45</v>
      </c>
      <c r="F52" s="24">
        <f t="shared" si="9"/>
        <v>24.306999999999999</v>
      </c>
      <c r="G52" s="24">
        <f t="shared" si="9"/>
        <v>13.625</v>
      </c>
      <c r="H52" s="24">
        <f t="shared" si="9"/>
        <v>9.81</v>
      </c>
      <c r="I52" s="24">
        <f t="shared" si="9"/>
        <v>17.440000000000001</v>
      </c>
      <c r="J52" s="24">
        <f t="shared" si="9"/>
        <v>1.0900000000000001</v>
      </c>
      <c r="K52" s="24">
        <f t="shared" si="9"/>
        <v>23.434999999999999</v>
      </c>
      <c r="L52" s="24">
        <f t="shared" si="9"/>
        <v>27.25</v>
      </c>
      <c r="M52" s="24">
        <f t="shared" si="9"/>
        <v>10.028</v>
      </c>
      <c r="N52" s="24">
        <f t="shared" si="9"/>
        <v>13.08</v>
      </c>
      <c r="O52" s="24">
        <f t="shared" si="9"/>
        <v>31.283000000000001</v>
      </c>
      <c r="P52" s="24">
        <f t="shared" si="9"/>
        <v>4.3600000000000003</v>
      </c>
      <c r="Q52" s="24">
        <f t="shared" si="9"/>
        <v>13.08</v>
      </c>
      <c r="R52" s="24">
        <f t="shared" si="9"/>
        <v>17.984999999999999</v>
      </c>
      <c r="S52" s="24">
        <f t="shared" si="9"/>
        <v>17.984999999999999</v>
      </c>
      <c r="T52" s="129">
        <f>AVERAGE(C52:S52)</f>
        <v>15.433117647058827</v>
      </c>
      <c r="U52" s="115">
        <f t="shared" si="8"/>
        <v>15.433117647058822</v>
      </c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59"/>
      <c r="AZ52" s="159"/>
      <c r="BA52" s="161"/>
      <c r="BB52" s="159"/>
      <c r="BC52" s="159"/>
      <c r="BD52" s="159"/>
    </row>
    <row r="53" spans="1:56">
      <c r="A53" s="34"/>
      <c r="B53" s="34" t="s">
        <v>34</v>
      </c>
      <c r="C53" s="35">
        <f t="shared" ref="C53:S53" si="10">C51-C52</f>
        <v>43.599999999999994</v>
      </c>
      <c r="D53" s="35">
        <f t="shared" si="10"/>
        <v>1.0899999999999999</v>
      </c>
      <c r="E53" s="35">
        <f t="shared" si="10"/>
        <v>43.599999999999994</v>
      </c>
      <c r="F53" s="35">
        <f t="shared" si="10"/>
        <v>5.8860000000000028</v>
      </c>
      <c r="G53" s="35">
        <f t="shared" si="10"/>
        <v>27.25</v>
      </c>
      <c r="H53" s="35">
        <f t="shared" si="10"/>
        <v>34.879999999999995</v>
      </c>
      <c r="I53" s="35">
        <f t="shared" si="10"/>
        <v>19.62</v>
      </c>
      <c r="J53" s="35">
        <f t="shared" si="10"/>
        <v>41.419999999999995</v>
      </c>
      <c r="K53" s="35">
        <f t="shared" si="10"/>
        <v>7.6300000000000026</v>
      </c>
      <c r="L53" s="35">
        <f t="shared" si="10"/>
        <v>0</v>
      </c>
      <c r="M53" s="35">
        <f t="shared" si="10"/>
        <v>23.544000000000004</v>
      </c>
      <c r="N53" s="35">
        <f t="shared" si="10"/>
        <v>28.340000000000003</v>
      </c>
      <c r="O53" s="35">
        <f t="shared" si="10"/>
        <v>-8.3930000000000007</v>
      </c>
      <c r="P53" s="35">
        <f t="shared" si="10"/>
        <v>45.78</v>
      </c>
      <c r="Q53" s="35">
        <f t="shared" si="10"/>
        <v>28.340000000000003</v>
      </c>
      <c r="R53" s="35">
        <f t="shared" si="10"/>
        <v>18.53</v>
      </c>
      <c r="S53" s="35">
        <f t="shared" si="10"/>
        <v>18.53</v>
      </c>
      <c r="T53" s="176">
        <f>AVERAGE(C53:S53)</f>
        <v>22.33217647058823</v>
      </c>
      <c r="U53" s="35">
        <f>U51-U52</f>
        <v>22.332176470588237</v>
      </c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59"/>
      <c r="AZ53" s="159"/>
      <c r="BA53" s="161"/>
      <c r="BB53" s="159"/>
      <c r="BC53" s="159"/>
      <c r="BD53" s="159"/>
    </row>
    <row r="54" spans="1:56">
      <c r="A54" s="38" t="s">
        <v>43</v>
      </c>
      <c r="B54" s="39" t="s">
        <v>44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177"/>
      <c r="U54" s="117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59"/>
      <c r="AZ54" s="159"/>
      <c r="BA54" s="161"/>
      <c r="BB54" s="159"/>
      <c r="BC54" s="159"/>
      <c r="BD54" s="159"/>
    </row>
    <row r="55" spans="1:56">
      <c r="A55" s="38"/>
      <c r="B55" s="77" t="s">
        <v>45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177"/>
      <c r="U55" s="117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59"/>
      <c r="AZ55" s="159"/>
      <c r="BA55" s="161"/>
      <c r="BB55" s="159"/>
      <c r="BC55" s="159"/>
      <c r="BD55" s="159"/>
    </row>
    <row r="56" spans="1:56">
      <c r="A56" s="43"/>
      <c r="B56" s="43" t="s">
        <v>23</v>
      </c>
      <c r="C56" s="77">
        <v>6</v>
      </c>
      <c r="D56" s="77">
        <v>6</v>
      </c>
      <c r="E56" s="77">
        <v>6</v>
      </c>
      <c r="F56" s="77">
        <v>5</v>
      </c>
      <c r="G56" s="77">
        <v>6</v>
      </c>
      <c r="H56" s="77">
        <v>6</v>
      </c>
      <c r="I56" s="77">
        <v>6</v>
      </c>
      <c r="J56" s="77">
        <v>6</v>
      </c>
      <c r="K56" s="77">
        <v>6</v>
      </c>
      <c r="L56" s="77">
        <v>6</v>
      </c>
      <c r="M56" s="77">
        <v>6</v>
      </c>
      <c r="N56" s="77">
        <v>6</v>
      </c>
      <c r="O56" s="77">
        <v>4</v>
      </c>
      <c r="P56" s="77">
        <v>6</v>
      </c>
      <c r="Q56" s="77">
        <v>6</v>
      </c>
      <c r="R56" s="77">
        <v>6</v>
      </c>
      <c r="S56" s="77">
        <v>6</v>
      </c>
      <c r="T56" s="177">
        <f t="shared" ref="T56:T66" si="11">SUM(C56:S56)</f>
        <v>99</v>
      </c>
      <c r="U56" s="118">
        <f t="shared" ref="U56:U66" si="12">2.27*(T56/COLUMNS(C56:S56))</f>
        <v>13.219411764705882</v>
      </c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59"/>
      <c r="AZ56" s="159"/>
      <c r="BA56" s="160"/>
      <c r="BB56" s="159"/>
      <c r="BC56" s="159"/>
      <c r="BD56" s="159"/>
    </row>
    <row r="57" spans="1:56">
      <c r="A57" s="43"/>
      <c r="B57" s="43" t="s">
        <v>24</v>
      </c>
      <c r="C57" s="77">
        <v>6</v>
      </c>
      <c r="D57" s="77">
        <v>6</v>
      </c>
      <c r="E57" s="77">
        <v>4</v>
      </c>
      <c r="F57" s="77">
        <v>6</v>
      </c>
      <c r="G57" s="77">
        <v>6</v>
      </c>
      <c r="H57" s="77">
        <v>4</v>
      </c>
      <c r="I57" s="77">
        <v>6</v>
      </c>
      <c r="J57" s="77">
        <v>6</v>
      </c>
      <c r="K57" s="77">
        <v>6</v>
      </c>
      <c r="L57" s="77">
        <v>6</v>
      </c>
      <c r="M57" s="77">
        <v>6</v>
      </c>
      <c r="N57" s="77">
        <v>3</v>
      </c>
      <c r="O57" s="77">
        <v>5</v>
      </c>
      <c r="P57" s="77">
        <v>4</v>
      </c>
      <c r="Q57" s="77">
        <v>6</v>
      </c>
      <c r="R57" s="77">
        <v>6</v>
      </c>
      <c r="S57" s="77">
        <v>6</v>
      </c>
      <c r="T57" s="177">
        <f t="shared" si="11"/>
        <v>92</v>
      </c>
      <c r="U57" s="118">
        <f t="shared" si="12"/>
        <v>12.284705882352942</v>
      </c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59"/>
      <c r="AZ57" s="159"/>
      <c r="BA57" s="160"/>
      <c r="BB57" s="159"/>
      <c r="BC57" s="159"/>
      <c r="BD57" s="159"/>
    </row>
    <row r="58" spans="1:56">
      <c r="A58" s="77"/>
      <c r="B58" s="77" t="s">
        <v>46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177">
        <f t="shared" si="11"/>
        <v>0</v>
      </c>
      <c r="U58" s="118">
        <f t="shared" si="12"/>
        <v>0</v>
      </c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59"/>
      <c r="AZ58" s="159"/>
      <c r="BA58" s="161"/>
      <c r="BB58" s="159"/>
      <c r="BC58" s="159"/>
      <c r="BD58" s="159"/>
    </row>
    <row r="59" spans="1:56">
      <c r="A59" s="43"/>
      <c r="B59" s="43" t="s">
        <v>23</v>
      </c>
      <c r="C59" s="77">
        <v>6</v>
      </c>
      <c r="D59" s="77">
        <v>6</v>
      </c>
      <c r="E59" s="77">
        <v>6</v>
      </c>
      <c r="F59" s="77">
        <v>6</v>
      </c>
      <c r="G59" s="77">
        <v>6</v>
      </c>
      <c r="H59" s="77">
        <v>6</v>
      </c>
      <c r="I59" s="77">
        <v>6</v>
      </c>
      <c r="J59" s="77">
        <v>6</v>
      </c>
      <c r="K59" s="77">
        <v>6</v>
      </c>
      <c r="L59" s="77">
        <v>6</v>
      </c>
      <c r="M59" s="77">
        <v>6</v>
      </c>
      <c r="N59" s="77">
        <v>5</v>
      </c>
      <c r="O59" s="77">
        <v>6</v>
      </c>
      <c r="P59" s="77">
        <v>6</v>
      </c>
      <c r="Q59" s="77">
        <v>6</v>
      </c>
      <c r="R59" s="77">
        <v>6</v>
      </c>
      <c r="S59" s="77">
        <v>6</v>
      </c>
      <c r="T59" s="177">
        <f t="shared" si="11"/>
        <v>101</v>
      </c>
      <c r="U59" s="118">
        <f t="shared" si="12"/>
        <v>13.486470588235294</v>
      </c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59"/>
      <c r="AZ59" s="159"/>
      <c r="BA59" s="160"/>
      <c r="BB59" s="159"/>
      <c r="BC59" s="159"/>
      <c r="BD59" s="159"/>
    </row>
    <row r="60" spans="1:56">
      <c r="A60" s="43"/>
      <c r="B60" s="43" t="s">
        <v>24</v>
      </c>
      <c r="C60" s="77">
        <v>6</v>
      </c>
      <c r="D60" s="77">
        <v>6</v>
      </c>
      <c r="E60" s="77">
        <v>4</v>
      </c>
      <c r="F60" s="77">
        <v>6</v>
      </c>
      <c r="G60" s="77">
        <v>6</v>
      </c>
      <c r="H60" s="77">
        <v>6</v>
      </c>
      <c r="I60" s="77">
        <v>6</v>
      </c>
      <c r="J60" s="77">
        <v>6</v>
      </c>
      <c r="K60" s="77">
        <v>6</v>
      </c>
      <c r="L60" s="77">
        <v>6</v>
      </c>
      <c r="M60" s="77">
        <v>6</v>
      </c>
      <c r="N60" s="77">
        <v>4</v>
      </c>
      <c r="O60" s="77">
        <v>6</v>
      </c>
      <c r="P60" s="77">
        <v>6</v>
      </c>
      <c r="Q60" s="77">
        <v>6</v>
      </c>
      <c r="R60" s="77">
        <v>6</v>
      </c>
      <c r="S60" s="77">
        <v>6</v>
      </c>
      <c r="T60" s="177">
        <f t="shared" si="11"/>
        <v>98</v>
      </c>
      <c r="U60" s="118">
        <f t="shared" si="12"/>
        <v>13.085882352941177</v>
      </c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59"/>
      <c r="AZ60" s="159"/>
      <c r="BA60" s="160"/>
      <c r="BB60" s="159"/>
      <c r="BC60" s="159"/>
      <c r="BD60" s="159"/>
    </row>
    <row r="61" spans="1:56">
      <c r="A61" s="77"/>
      <c r="B61" s="77" t="s">
        <v>47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177">
        <f t="shared" si="11"/>
        <v>0</v>
      </c>
      <c r="U61" s="118">
        <f t="shared" si="12"/>
        <v>0</v>
      </c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59"/>
      <c r="AZ61" s="159"/>
      <c r="BA61" s="161"/>
      <c r="BB61" s="159"/>
      <c r="BC61" s="159"/>
      <c r="BD61" s="159"/>
    </row>
    <row r="62" spans="1:56">
      <c r="A62" s="43"/>
      <c r="B62" s="43" t="s">
        <v>23</v>
      </c>
      <c r="C62" s="77">
        <v>6</v>
      </c>
      <c r="D62" s="77">
        <v>6</v>
      </c>
      <c r="E62" s="77">
        <v>6</v>
      </c>
      <c r="F62" s="77">
        <v>6</v>
      </c>
      <c r="G62" s="77">
        <v>6</v>
      </c>
      <c r="H62" s="77">
        <v>6</v>
      </c>
      <c r="I62" s="77">
        <v>6</v>
      </c>
      <c r="J62" s="77">
        <v>6</v>
      </c>
      <c r="K62" s="77">
        <v>4</v>
      </c>
      <c r="L62" s="77">
        <v>6</v>
      </c>
      <c r="M62" s="77">
        <v>6</v>
      </c>
      <c r="N62" s="77">
        <v>4</v>
      </c>
      <c r="O62" s="77">
        <v>2</v>
      </c>
      <c r="P62" s="77">
        <v>6</v>
      </c>
      <c r="Q62" s="77">
        <v>6</v>
      </c>
      <c r="R62" s="77">
        <v>6</v>
      </c>
      <c r="S62" s="77">
        <v>6</v>
      </c>
      <c r="T62" s="177">
        <f t="shared" si="11"/>
        <v>94</v>
      </c>
      <c r="U62" s="118">
        <f t="shared" si="12"/>
        <v>12.551764705882352</v>
      </c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59"/>
      <c r="AZ62" s="159"/>
      <c r="BA62" s="160"/>
      <c r="BB62" s="159"/>
      <c r="BC62" s="159"/>
      <c r="BD62" s="159"/>
    </row>
    <row r="63" spans="1:56">
      <c r="A63" s="43"/>
      <c r="B63" s="43" t="s">
        <v>24</v>
      </c>
      <c r="C63" s="77">
        <v>6</v>
      </c>
      <c r="D63" s="77">
        <v>6</v>
      </c>
      <c r="E63" s="77">
        <v>4</v>
      </c>
      <c r="F63" s="77">
        <v>6</v>
      </c>
      <c r="G63" s="77">
        <v>6</v>
      </c>
      <c r="H63" s="77">
        <v>6</v>
      </c>
      <c r="I63" s="77">
        <v>6</v>
      </c>
      <c r="J63" s="77">
        <v>6</v>
      </c>
      <c r="K63" s="77">
        <v>6</v>
      </c>
      <c r="L63" s="77">
        <v>6</v>
      </c>
      <c r="M63" s="77">
        <v>6</v>
      </c>
      <c r="N63" s="77">
        <v>4</v>
      </c>
      <c r="O63" s="77">
        <v>6</v>
      </c>
      <c r="P63" s="77">
        <v>6</v>
      </c>
      <c r="Q63" s="77">
        <v>6</v>
      </c>
      <c r="R63" s="77">
        <v>6</v>
      </c>
      <c r="S63" s="77">
        <v>6</v>
      </c>
      <c r="T63" s="177">
        <f t="shared" si="11"/>
        <v>98</v>
      </c>
      <c r="U63" s="118">
        <f t="shared" si="12"/>
        <v>13.085882352941177</v>
      </c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60"/>
      <c r="AJ63" s="160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59"/>
      <c r="AZ63" s="159"/>
      <c r="BA63" s="160"/>
      <c r="BB63" s="159"/>
      <c r="BC63" s="159"/>
      <c r="BD63" s="159"/>
    </row>
    <row r="64" spans="1:56">
      <c r="A64" s="77"/>
      <c r="B64" s="77" t="s">
        <v>48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177">
        <f t="shared" si="11"/>
        <v>0</v>
      </c>
      <c r="U64" s="118">
        <f t="shared" si="12"/>
        <v>0</v>
      </c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59"/>
      <c r="AZ64" s="159"/>
      <c r="BA64" s="161"/>
      <c r="BB64" s="159"/>
      <c r="BC64" s="159"/>
      <c r="BD64" s="159"/>
    </row>
    <row r="65" spans="1:56">
      <c r="A65" s="43"/>
      <c r="B65" s="43" t="s">
        <v>23</v>
      </c>
      <c r="C65" s="77">
        <v>6</v>
      </c>
      <c r="D65" s="77">
        <v>6</v>
      </c>
      <c r="E65" s="77">
        <v>6</v>
      </c>
      <c r="F65" s="77">
        <v>6</v>
      </c>
      <c r="G65" s="77">
        <v>6</v>
      </c>
      <c r="H65" s="77">
        <v>6</v>
      </c>
      <c r="I65" s="77">
        <v>6</v>
      </c>
      <c r="J65" s="77">
        <v>6</v>
      </c>
      <c r="K65" s="77">
        <v>5</v>
      </c>
      <c r="L65" s="77">
        <v>6</v>
      </c>
      <c r="M65" s="77">
        <v>6</v>
      </c>
      <c r="N65" s="77">
        <v>6</v>
      </c>
      <c r="O65" s="77">
        <v>3</v>
      </c>
      <c r="P65" s="77">
        <v>6</v>
      </c>
      <c r="Q65" s="77">
        <v>6</v>
      </c>
      <c r="R65" s="77">
        <v>6</v>
      </c>
      <c r="S65" s="77">
        <v>6</v>
      </c>
      <c r="T65" s="177">
        <f t="shared" si="11"/>
        <v>98</v>
      </c>
      <c r="U65" s="118">
        <f t="shared" si="12"/>
        <v>13.085882352941177</v>
      </c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60"/>
      <c r="AJ65" s="160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59"/>
      <c r="AZ65" s="159"/>
      <c r="BA65" s="160"/>
      <c r="BB65" s="159"/>
      <c r="BC65" s="159"/>
      <c r="BD65" s="159"/>
    </row>
    <row r="66" spans="1:56">
      <c r="A66" s="43"/>
      <c r="B66" s="43" t="s">
        <v>24</v>
      </c>
      <c r="C66" s="77">
        <v>6</v>
      </c>
      <c r="D66" s="77">
        <v>6</v>
      </c>
      <c r="E66" s="77">
        <v>5</v>
      </c>
      <c r="F66" s="77">
        <v>6</v>
      </c>
      <c r="G66" s="77">
        <v>6</v>
      </c>
      <c r="H66" s="77">
        <v>3</v>
      </c>
      <c r="I66" s="77">
        <v>6</v>
      </c>
      <c r="J66" s="77">
        <v>6</v>
      </c>
      <c r="K66" s="77">
        <v>5</v>
      </c>
      <c r="L66" s="77">
        <v>6</v>
      </c>
      <c r="M66" s="77">
        <v>6</v>
      </c>
      <c r="N66" s="77">
        <v>6</v>
      </c>
      <c r="O66" s="77">
        <v>5</v>
      </c>
      <c r="P66" s="77">
        <v>6</v>
      </c>
      <c r="Q66" s="77">
        <v>6</v>
      </c>
      <c r="R66" s="77">
        <v>6</v>
      </c>
      <c r="S66" s="77">
        <v>6</v>
      </c>
      <c r="T66" s="177">
        <f t="shared" si="11"/>
        <v>96</v>
      </c>
      <c r="U66" s="118">
        <f t="shared" si="12"/>
        <v>12.818823529411766</v>
      </c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60"/>
      <c r="AJ66" s="160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59"/>
      <c r="AZ66" s="159"/>
      <c r="BA66" s="160"/>
      <c r="BB66" s="159"/>
      <c r="BC66" s="159"/>
      <c r="BD66" s="159"/>
    </row>
    <row r="67" spans="1:56">
      <c r="A67" s="44"/>
      <c r="B67" s="44" t="s">
        <v>32</v>
      </c>
      <c r="C67" s="45">
        <f t="shared" ref="C67:S67" si="13">2.27*(C56+C59+C62+C65)</f>
        <v>54.480000000000004</v>
      </c>
      <c r="D67" s="45">
        <f t="shared" si="13"/>
        <v>54.480000000000004</v>
      </c>
      <c r="E67" s="45">
        <f t="shared" si="13"/>
        <v>54.480000000000004</v>
      </c>
      <c r="F67" s="45">
        <f t="shared" si="13"/>
        <v>52.21</v>
      </c>
      <c r="G67" s="45">
        <f t="shared" si="13"/>
        <v>54.480000000000004</v>
      </c>
      <c r="H67" s="45">
        <f t="shared" si="13"/>
        <v>54.480000000000004</v>
      </c>
      <c r="I67" s="45">
        <f t="shared" si="13"/>
        <v>54.480000000000004</v>
      </c>
      <c r="J67" s="45">
        <f t="shared" si="13"/>
        <v>54.480000000000004</v>
      </c>
      <c r="K67" s="45">
        <f t="shared" si="13"/>
        <v>47.67</v>
      </c>
      <c r="L67" s="45">
        <f t="shared" si="13"/>
        <v>54.480000000000004</v>
      </c>
      <c r="M67" s="45">
        <f t="shared" si="13"/>
        <v>54.480000000000004</v>
      </c>
      <c r="N67" s="45">
        <f t="shared" si="13"/>
        <v>47.67</v>
      </c>
      <c r="O67" s="45">
        <f t="shared" si="13"/>
        <v>34.049999999999997</v>
      </c>
      <c r="P67" s="45">
        <f t="shared" si="13"/>
        <v>54.480000000000004</v>
      </c>
      <c r="Q67" s="45">
        <f t="shared" si="13"/>
        <v>54.480000000000004</v>
      </c>
      <c r="R67" s="45">
        <f t="shared" si="13"/>
        <v>54.480000000000004</v>
      </c>
      <c r="S67" s="45">
        <f t="shared" si="13"/>
        <v>54.480000000000004</v>
      </c>
      <c r="T67" s="178">
        <f>AVERAGE(C67:S67)</f>
        <v>52.343529411764706</v>
      </c>
      <c r="U67" s="45">
        <f t="shared" ref="U67:U68" si="14">U56+U59+U62+U65</f>
        <v>52.343529411764699</v>
      </c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59"/>
      <c r="AZ67" s="159"/>
      <c r="BA67" s="160"/>
      <c r="BB67" s="159"/>
      <c r="BC67" s="159"/>
      <c r="BD67" s="159"/>
    </row>
    <row r="68" spans="1:56">
      <c r="A68" s="43"/>
      <c r="B68" s="43" t="s">
        <v>33</v>
      </c>
      <c r="C68" s="77">
        <f t="shared" ref="C68:S68" si="15">2.27*(C57+C60+C63+C66)</f>
        <v>54.480000000000004</v>
      </c>
      <c r="D68" s="77">
        <f t="shared" si="15"/>
        <v>54.480000000000004</v>
      </c>
      <c r="E68" s="77">
        <f t="shared" si="15"/>
        <v>38.590000000000003</v>
      </c>
      <c r="F68" s="77">
        <f t="shared" si="15"/>
        <v>54.480000000000004</v>
      </c>
      <c r="G68" s="77">
        <f t="shared" si="15"/>
        <v>54.480000000000004</v>
      </c>
      <c r="H68" s="77">
        <f t="shared" si="15"/>
        <v>43.13</v>
      </c>
      <c r="I68" s="77">
        <f t="shared" si="15"/>
        <v>54.480000000000004</v>
      </c>
      <c r="J68" s="77">
        <f t="shared" si="15"/>
        <v>54.480000000000004</v>
      </c>
      <c r="K68" s="77">
        <f t="shared" si="15"/>
        <v>52.21</v>
      </c>
      <c r="L68" s="77">
        <f t="shared" si="15"/>
        <v>54.480000000000004</v>
      </c>
      <c r="M68" s="77">
        <f t="shared" si="15"/>
        <v>54.480000000000004</v>
      </c>
      <c r="N68" s="77">
        <f t="shared" si="15"/>
        <v>38.590000000000003</v>
      </c>
      <c r="O68" s="77">
        <f t="shared" si="15"/>
        <v>49.94</v>
      </c>
      <c r="P68" s="77">
        <f t="shared" si="15"/>
        <v>49.94</v>
      </c>
      <c r="Q68" s="77">
        <f t="shared" si="15"/>
        <v>54.480000000000004</v>
      </c>
      <c r="R68" s="77">
        <f t="shared" si="15"/>
        <v>54.480000000000004</v>
      </c>
      <c r="S68" s="77">
        <f t="shared" si="15"/>
        <v>54.480000000000004</v>
      </c>
      <c r="T68" s="177">
        <f>AVERAGE(C68:S68)</f>
        <v>51.275294117647078</v>
      </c>
      <c r="U68" s="118">
        <f t="shared" si="14"/>
        <v>51.275294117647057</v>
      </c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59"/>
      <c r="AZ68" s="159"/>
      <c r="BA68" s="160"/>
      <c r="BB68" s="159"/>
      <c r="BC68" s="159"/>
      <c r="BD68" s="159"/>
    </row>
    <row r="69" spans="1:56">
      <c r="A69" s="49"/>
      <c r="B69" s="49" t="s">
        <v>34</v>
      </c>
      <c r="C69" s="50">
        <f t="shared" ref="C69:S69" si="16">C67-C68</f>
        <v>0</v>
      </c>
      <c r="D69" s="50">
        <f t="shared" si="16"/>
        <v>0</v>
      </c>
      <c r="E69" s="50">
        <f t="shared" si="16"/>
        <v>15.89</v>
      </c>
      <c r="F69" s="50">
        <f t="shared" si="16"/>
        <v>-2.2700000000000031</v>
      </c>
      <c r="G69" s="50">
        <f t="shared" si="16"/>
        <v>0</v>
      </c>
      <c r="H69" s="50">
        <f t="shared" si="16"/>
        <v>11.350000000000001</v>
      </c>
      <c r="I69" s="50">
        <f t="shared" si="16"/>
        <v>0</v>
      </c>
      <c r="J69" s="50">
        <f t="shared" si="16"/>
        <v>0</v>
      </c>
      <c r="K69" s="50">
        <f t="shared" si="16"/>
        <v>-4.5399999999999991</v>
      </c>
      <c r="L69" s="50">
        <f t="shared" si="16"/>
        <v>0</v>
      </c>
      <c r="M69" s="50">
        <f t="shared" si="16"/>
        <v>0</v>
      </c>
      <c r="N69" s="50">
        <f t="shared" si="16"/>
        <v>9.0799999999999983</v>
      </c>
      <c r="O69" s="50">
        <f t="shared" si="16"/>
        <v>-15.89</v>
      </c>
      <c r="P69" s="50">
        <f t="shared" si="16"/>
        <v>4.5400000000000063</v>
      </c>
      <c r="Q69" s="50">
        <f t="shared" si="16"/>
        <v>0</v>
      </c>
      <c r="R69" s="50">
        <f t="shared" si="16"/>
        <v>0</v>
      </c>
      <c r="S69" s="50">
        <f t="shared" si="16"/>
        <v>0</v>
      </c>
      <c r="T69" s="179">
        <f>AVERAGE(C69:S69)</f>
        <v>1.0682352941176472</v>
      </c>
      <c r="U69" s="50">
        <f>U67-U68</f>
        <v>1.0682352941176418</v>
      </c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59"/>
      <c r="AZ69" s="159"/>
      <c r="BA69" s="160"/>
      <c r="BB69" s="159"/>
      <c r="BC69" s="159"/>
      <c r="BD69" s="159"/>
    </row>
    <row r="70" spans="1:56">
      <c r="A70" s="53" t="s">
        <v>43</v>
      </c>
      <c r="B70" s="93" t="s">
        <v>49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180"/>
      <c r="U70" s="11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59"/>
      <c r="AZ70" s="159"/>
      <c r="BA70" s="161"/>
      <c r="BB70" s="159"/>
      <c r="BC70" s="159"/>
      <c r="BD70" s="159"/>
    </row>
    <row r="71" spans="1:56">
      <c r="A71" s="55"/>
      <c r="B71" s="55" t="s">
        <v>50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180"/>
      <c r="U71" s="11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59"/>
      <c r="AZ71" s="159"/>
      <c r="BA71" s="161"/>
      <c r="BB71" s="159"/>
      <c r="BC71" s="159"/>
      <c r="BD71" s="159"/>
    </row>
    <row r="72" spans="1:56">
      <c r="A72" s="57"/>
      <c r="B72" s="57" t="s">
        <v>23</v>
      </c>
      <c r="C72" s="55">
        <v>6</v>
      </c>
      <c r="D72" s="55">
        <v>6</v>
      </c>
      <c r="E72" s="55">
        <v>6</v>
      </c>
      <c r="F72" s="55">
        <v>6</v>
      </c>
      <c r="G72" s="55">
        <v>6</v>
      </c>
      <c r="H72" s="55">
        <v>6</v>
      </c>
      <c r="I72" s="55">
        <v>6</v>
      </c>
      <c r="J72" s="55">
        <v>6</v>
      </c>
      <c r="K72" s="55">
        <v>6</v>
      </c>
      <c r="L72" s="55">
        <v>6</v>
      </c>
      <c r="M72" s="55">
        <v>6</v>
      </c>
      <c r="N72" s="55">
        <v>3</v>
      </c>
      <c r="O72" s="55">
        <v>6</v>
      </c>
      <c r="P72" s="55">
        <v>6</v>
      </c>
      <c r="Q72" s="55">
        <v>6</v>
      </c>
      <c r="R72" s="55">
        <v>6</v>
      </c>
      <c r="S72" s="55">
        <v>6</v>
      </c>
      <c r="T72" s="180">
        <f t="shared" ref="T72:T82" si="17">SUM(C72:S72)</f>
        <v>99</v>
      </c>
      <c r="U72" s="120">
        <f t="shared" ref="U72:U82" si="18">2.27*(T72/COLUMNS(C72:S72))</f>
        <v>13.219411764705882</v>
      </c>
      <c r="V72" s="160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60"/>
      <c r="AJ72" s="160"/>
      <c r="AK72" s="160"/>
      <c r="AL72" s="160"/>
      <c r="AM72" s="160"/>
      <c r="AN72" s="160"/>
      <c r="AO72" s="160"/>
      <c r="AP72" s="160"/>
      <c r="AQ72" s="160"/>
      <c r="AR72" s="160"/>
      <c r="AS72" s="160"/>
      <c r="AT72" s="160"/>
      <c r="AU72" s="160"/>
      <c r="AV72" s="160"/>
      <c r="AW72" s="160"/>
      <c r="AX72" s="160"/>
      <c r="AY72" s="159"/>
      <c r="AZ72" s="159"/>
      <c r="BA72" s="160"/>
      <c r="BB72" s="159"/>
      <c r="BC72" s="159"/>
      <c r="BD72" s="159"/>
    </row>
    <row r="73" spans="1:56">
      <c r="A73" s="57"/>
      <c r="B73" s="57" t="s">
        <v>24</v>
      </c>
      <c r="C73" s="55">
        <v>0</v>
      </c>
      <c r="D73" s="55">
        <v>6</v>
      </c>
      <c r="E73" s="55">
        <v>3</v>
      </c>
      <c r="F73" s="55">
        <v>6</v>
      </c>
      <c r="G73" s="55">
        <v>6</v>
      </c>
      <c r="H73" s="55">
        <v>3</v>
      </c>
      <c r="I73" s="55">
        <v>5</v>
      </c>
      <c r="J73" s="55">
        <v>6</v>
      </c>
      <c r="K73" s="55">
        <v>6</v>
      </c>
      <c r="L73" s="55">
        <v>6</v>
      </c>
      <c r="M73" s="55">
        <v>3</v>
      </c>
      <c r="N73" s="55">
        <v>3</v>
      </c>
      <c r="O73" s="55">
        <v>6</v>
      </c>
      <c r="P73" s="55">
        <v>5</v>
      </c>
      <c r="Q73" s="55">
        <v>6</v>
      </c>
      <c r="R73" s="55">
        <v>6</v>
      </c>
      <c r="S73" s="55">
        <v>6</v>
      </c>
      <c r="T73" s="180">
        <f t="shared" si="17"/>
        <v>82</v>
      </c>
      <c r="U73" s="120">
        <f t="shared" si="18"/>
        <v>10.949411764705882</v>
      </c>
      <c r="V73" s="160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60"/>
      <c r="AJ73" s="160"/>
      <c r="AK73" s="160"/>
      <c r="AL73" s="160"/>
      <c r="AM73" s="160"/>
      <c r="AN73" s="160"/>
      <c r="AO73" s="160"/>
      <c r="AP73" s="160"/>
      <c r="AQ73" s="160"/>
      <c r="AR73" s="160"/>
      <c r="AS73" s="160"/>
      <c r="AT73" s="160"/>
      <c r="AU73" s="160"/>
      <c r="AV73" s="160"/>
      <c r="AW73" s="160"/>
      <c r="AX73" s="160"/>
      <c r="AY73" s="159"/>
      <c r="AZ73" s="159"/>
      <c r="BA73" s="160"/>
      <c r="BB73" s="159"/>
      <c r="BC73" s="159"/>
      <c r="BD73" s="159"/>
    </row>
    <row r="74" spans="1:56">
      <c r="A74" s="55"/>
      <c r="B74" s="55" t="s">
        <v>51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180">
        <f t="shared" si="17"/>
        <v>0</v>
      </c>
      <c r="U74" s="120">
        <f t="shared" si="18"/>
        <v>0</v>
      </c>
      <c r="V74" s="161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59"/>
      <c r="AZ74" s="159"/>
      <c r="BA74" s="161"/>
      <c r="BB74" s="159"/>
      <c r="BC74" s="159"/>
      <c r="BD74" s="159"/>
    </row>
    <row r="75" spans="1:56">
      <c r="A75" s="57"/>
      <c r="B75" s="57" t="s">
        <v>52</v>
      </c>
      <c r="C75" s="55">
        <v>6</v>
      </c>
      <c r="D75" s="55">
        <v>6</v>
      </c>
      <c r="E75" s="55">
        <v>6</v>
      </c>
      <c r="F75" s="55">
        <v>6</v>
      </c>
      <c r="G75" s="55">
        <v>6</v>
      </c>
      <c r="H75" s="55">
        <v>6</v>
      </c>
      <c r="I75" s="55">
        <v>6</v>
      </c>
      <c r="J75" s="55">
        <v>6</v>
      </c>
      <c r="K75" s="55">
        <v>6</v>
      </c>
      <c r="L75" s="55">
        <v>6</v>
      </c>
      <c r="M75" s="55">
        <v>6</v>
      </c>
      <c r="N75" s="55">
        <v>6</v>
      </c>
      <c r="O75" s="55">
        <v>6</v>
      </c>
      <c r="P75" s="55">
        <v>6</v>
      </c>
      <c r="Q75" s="55">
        <v>6</v>
      </c>
      <c r="R75" s="55">
        <v>6</v>
      </c>
      <c r="S75" s="55">
        <v>6</v>
      </c>
      <c r="T75" s="180">
        <f t="shared" si="17"/>
        <v>102</v>
      </c>
      <c r="U75" s="120">
        <f t="shared" si="18"/>
        <v>13.620000000000001</v>
      </c>
      <c r="V75" s="160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60"/>
      <c r="AJ75" s="160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59"/>
      <c r="AZ75" s="159"/>
      <c r="BA75" s="160"/>
      <c r="BB75" s="159"/>
      <c r="BC75" s="159"/>
      <c r="BD75" s="159"/>
    </row>
    <row r="76" spans="1:56">
      <c r="A76" s="57"/>
      <c r="B76" s="57" t="s">
        <v>53</v>
      </c>
      <c r="C76" s="55">
        <v>4</v>
      </c>
      <c r="D76" s="55">
        <v>2</v>
      </c>
      <c r="E76" s="55"/>
      <c r="F76" s="55">
        <v>6</v>
      </c>
      <c r="G76" s="55">
        <v>6</v>
      </c>
      <c r="H76" s="55">
        <v>3</v>
      </c>
      <c r="I76" s="55">
        <v>5</v>
      </c>
      <c r="J76" s="55">
        <v>0</v>
      </c>
      <c r="K76" s="55">
        <v>4</v>
      </c>
      <c r="L76" s="55">
        <v>6</v>
      </c>
      <c r="M76" s="55">
        <v>0</v>
      </c>
      <c r="N76" s="55">
        <v>3</v>
      </c>
      <c r="O76" s="55">
        <v>4</v>
      </c>
      <c r="P76" s="55">
        <v>2</v>
      </c>
      <c r="Q76" s="55">
        <v>6</v>
      </c>
      <c r="R76" s="55">
        <v>3</v>
      </c>
      <c r="S76" s="55">
        <v>6</v>
      </c>
      <c r="T76" s="180">
        <f t="shared" si="17"/>
        <v>60</v>
      </c>
      <c r="U76" s="120">
        <f t="shared" si="18"/>
        <v>8.0117647058823529</v>
      </c>
      <c r="V76" s="160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60"/>
      <c r="AJ76" s="160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59"/>
      <c r="AZ76" s="159"/>
      <c r="BA76" s="160"/>
      <c r="BB76" s="159"/>
      <c r="BC76" s="159"/>
      <c r="BD76" s="159"/>
    </row>
    <row r="77" spans="1:56">
      <c r="A77" s="55"/>
      <c r="B77" s="55" t="s">
        <v>54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180">
        <f t="shared" si="17"/>
        <v>0</v>
      </c>
      <c r="U77" s="120">
        <f t="shared" si="18"/>
        <v>0</v>
      </c>
      <c r="V77" s="161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59"/>
      <c r="AZ77" s="159"/>
      <c r="BA77" s="161"/>
      <c r="BB77" s="159"/>
      <c r="BC77" s="159"/>
      <c r="BD77" s="159"/>
    </row>
    <row r="78" spans="1:56">
      <c r="A78" s="57"/>
      <c r="B78" s="57" t="s">
        <v>55</v>
      </c>
      <c r="C78" s="55">
        <v>6</v>
      </c>
      <c r="D78" s="55">
        <v>6</v>
      </c>
      <c r="E78" s="55">
        <v>6</v>
      </c>
      <c r="F78" s="55">
        <v>6</v>
      </c>
      <c r="G78" s="55">
        <v>6</v>
      </c>
      <c r="H78" s="55">
        <v>6</v>
      </c>
      <c r="I78" s="55">
        <v>6</v>
      </c>
      <c r="J78" s="55">
        <v>6</v>
      </c>
      <c r="K78" s="55">
        <v>6</v>
      </c>
      <c r="L78" s="55">
        <v>6</v>
      </c>
      <c r="M78" s="55">
        <v>6</v>
      </c>
      <c r="N78" s="55">
        <v>6</v>
      </c>
      <c r="O78" s="55">
        <v>4</v>
      </c>
      <c r="P78" s="55">
        <v>6</v>
      </c>
      <c r="Q78" s="55">
        <v>6</v>
      </c>
      <c r="R78" s="55">
        <v>6</v>
      </c>
      <c r="S78" s="55">
        <v>6</v>
      </c>
      <c r="T78" s="180">
        <f t="shared" si="17"/>
        <v>100</v>
      </c>
      <c r="U78" s="120">
        <f t="shared" si="18"/>
        <v>13.352941176470589</v>
      </c>
      <c r="V78" s="160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160"/>
      <c r="AU78" s="160"/>
      <c r="AV78" s="160"/>
      <c r="AW78" s="160"/>
      <c r="AX78" s="160"/>
      <c r="AY78" s="159"/>
      <c r="AZ78" s="159"/>
      <c r="BA78" s="160"/>
      <c r="BB78" s="159"/>
      <c r="BC78" s="159"/>
      <c r="BD78" s="159"/>
    </row>
    <row r="79" spans="1:56">
      <c r="A79" s="57"/>
      <c r="B79" s="57" t="s">
        <v>56</v>
      </c>
      <c r="C79" s="55">
        <v>5</v>
      </c>
      <c r="D79" s="55">
        <v>6</v>
      </c>
      <c r="E79" s="55">
        <v>0</v>
      </c>
      <c r="F79" s="55">
        <v>6</v>
      </c>
      <c r="G79" s="55">
        <v>6</v>
      </c>
      <c r="H79" s="55">
        <v>4</v>
      </c>
      <c r="I79" s="55">
        <v>5</v>
      </c>
      <c r="J79" s="55">
        <v>0</v>
      </c>
      <c r="K79" s="55">
        <v>5</v>
      </c>
      <c r="L79" s="55">
        <v>6</v>
      </c>
      <c r="M79" s="55">
        <v>6</v>
      </c>
      <c r="N79" s="55">
        <v>2</v>
      </c>
      <c r="O79" s="55">
        <v>6</v>
      </c>
      <c r="P79" s="55">
        <v>3</v>
      </c>
      <c r="Q79" s="55">
        <v>6</v>
      </c>
      <c r="R79" s="55">
        <v>6</v>
      </c>
      <c r="S79" s="55">
        <v>5</v>
      </c>
      <c r="T79" s="180">
        <f t="shared" si="17"/>
        <v>77</v>
      </c>
      <c r="U79" s="120">
        <f t="shared" si="18"/>
        <v>10.281764705882352</v>
      </c>
      <c r="V79" s="160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60"/>
      <c r="AJ79" s="160"/>
      <c r="AK79" s="160"/>
      <c r="AL79" s="160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0"/>
      <c r="AY79" s="159"/>
      <c r="AZ79" s="159"/>
      <c r="BA79" s="160"/>
      <c r="BB79" s="159"/>
      <c r="BC79" s="159"/>
      <c r="BD79" s="159"/>
    </row>
    <row r="80" spans="1:56">
      <c r="A80" s="55"/>
      <c r="B80" s="55" t="s">
        <v>57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180">
        <f t="shared" si="17"/>
        <v>0</v>
      </c>
      <c r="U80" s="120">
        <f t="shared" si="18"/>
        <v>0</v>
      </c>
      <c r="V80" s="161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59"/>
      <c r="AZ80" s="159"/>
      <c r="BA80" s="161"/>
      <c r="BB80" s="159"/>
      <c r="BC80" s="159"/>
      <c r="BD80" s="159"/>
    </row>
    <row r="81" spans="1:56">
      <c r="A81" s="57"/>
      <c r="B81" s="57" t="s">
        <v>55</v>
      </c>
      <c r="C81" s="55">
        <v>6</v>
      </c>
      <c r="D81" s="55">
        <v>6</v>
      </c>
      <c r="E81" s="55"/>
      <c r="F81" s="55">
        <v>6</v>
      </c>
      <c r="G81" s="55">
        <v>6</v>
      </c>
      <c r="H81" s="55">
        <v>6</v>
      </c>
      <c r="I81" s="55">
        <v>6</v>
      </c>
      <c r="J81" s="55">
        <v>6</v>
      </c>
      <c r="K81" s="55">
        <v>6</v>
      </c>
      <c r="L81" s="55">
        <v>6</v>
      </c>
      <c r="M81" s="55">
        <v>6</v>
      </c>
      <c r="N81" s="55">
        <v>6</v>
      </c>
      <c r="O81" s="55">
        <v>6</v>
      </c>
      <c r="P81" s="55">
        <v>6</v>
      </c>
      <c r="Q81" s="55">
        <v>6</v>
      </c>
      <c r="R81" s="55">
        <v>6</v>
      </c>
      <c r="S81" s="55">
        <v>6</v>
      </c>
      <c r="T81" s="180">
        <f t="shared" si="17"/>
        <v>96</v>
      </c>
      <c r="U81" s="120">
        <f t="shared" si="18"/>
        <v>12.818823529411766</v>
      </c>
      <c r="V81" s="160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59"/>
      <c r="AZ81" s="159"/>
      <c r="BA81" s="160"/>
      <c r="BB81" s="159"/>
      <c r="BC81" s="159"/>
      <c r="BD81" s="159"/>
    </row>
    <row r="82" spans="1:56">
      <c r="A82" s="57"/>
      <c r="B82" s="57" t="s">
        <v>56</v>
      </c>
      <c r="C82" s="55">
        <v>5</v>
      </c>
      <c r="D82" s="55">
        <v>6</v>
      </c>
      <c r="E82" s="55"/>
      <c r="F82" s="55">
        <v>6</v>
      </c>
      <c r="G82" s="55">
        <v>6</v>
      </c>
      <c r="H82" s="55">
        <v>4</v>
      </c>
      <c r="I82" s="55">
        <v>5</v>
      </c>
      <c r="J82" s="55">
        <v>0</v>
      </c>
      <c r="K82" s="55">
        <v>6</v>
      </c>
      <c r="L82" s="55"/>
      <c r="M82" s="55">
        <v>0</v>
      </c>
      <c r="N82" s="55">
        <v>2</v>
      </c>
      <c r="O82" s="55">
        <v>6</v>
      </c>
      <c r="P82" s="55">
        <v>3</v>
      </c>
      <c r="Q82" s="55">
        <v>6</v>
      </c>
      <c r="R82" s="55">
        <v>6</v>
      </c>
      <c r="S82" s="55">
        <v>5</v>
      </c>
      <c r="T82" s="180">
        <f t="shared" si="17"/>
        <v>66</v>
      </c>
      <c r="U82" s="120">
        <f t="shared" si="18"/>
        <v>8.8129411764705878</v>
      </c>
      <c r="V82" s="160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/>
      <c r="AX82" s="160"/>
      <c r="AY82" s="159"/>
      <c r="AZ82" s="159"/>
      <c r="BA82" s="160"/>
      <c r="BB82" s="159"/>
      <c r="BC82" s="159"/>
      <c r="BD82" s="159"/>
    </row>
    <row r="83" spans="1:56">
      <c r="A83" s="58"/>
      <c r="B83" s="58" t="s">
        <v>32</v>
      </c>
      <c r="C83" s="59">
        <f t="shared" ref="C83:S83" si="19">2.27*(C72+C75+C78+C81)</f>
        <v>54.480000000000004</v>
      </c>
      <c r="D83" s="59">
        <f t="shared" si="19"/>
        <v>54.480000000000004</v>
      </c>
      <c r="E83" s="59">
        <f t="shared" si="19"/>
        <v>40.86</v>
      </c>
      <c r="F83" s="59">
        <f t="shared" si="19"/>
        <v>54.480000000000004</v>
      </c>
      <c r="G83" s="59">
        <f t="shared" si="19"/>
        <v>54.480000000000004</v>
      </c>
      <c r="H83" s="59">
        <f t="shared" si="19"/>
        <v>54.480000000000004</v>
      </c>
      <c r="I83" s="59">
        <f t="shared" si="19"/>
        <v>54.480000000000004</v>
      </c>
      <c r="J83" s="59">
        <f t="shared" si="19"/>
        <v>54.480000000000004</v>
      </c>
      <c r="K83" s="59">
        <f t="shared" si="19"/>
        <v>54.480000000000004</v>
      </c>
      <c r="L83" s="59">
        <f t="shared" si="19"/>
        <v>54.480000000000004</v>
      </c>
      <c r="M83" s="59">
        <f t="shared" si="19"/>
        <v>54.480000000000004</v>
      </c>
      <c r="N83" s="59">
        <f t="shared" si="19"/>
        <v>47.67</v>
      </c>
      <c r="O83" s="59">
        <f t="shared" si="19"/>
        <v>49.94</v>
      </c>
      <c r="P83" s="59">
        <f t="shared" si="19"/>
        <v>54.480000000000004</v>
      </c>
      <c r="Q83" s="59">
        <f t="shared" si="19"/>
        <v>54.480000000000004</v>
      </c>
      <c r="R83" s="59">
        <f t="shared" si="19"/>
        <v>54.480000000000004</v>
      </c>
      <c r="S83" s="59">
        <f t="shared" si="19"/>
        <v>54.480000000000004</v>
      </c>
      <c r="T83" s="181">
        <f>AVERAGE(C83:S83)</f>
        <v>53.011176470588239</v>
      </c>
      <c r="U83" s="59">
        <f t="shared" ref="U83:U84" si="20">U72+U75+U78+U81</f>
        <v>53.011176470588239</v>
      </c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59"/>
      <c r="AZ83" s="159"/>
      <c r="BA83" s="160"/>
      <c r="BB83" s="159"/>
      <c r="BC83" s="159"/>
      <c r="BD83" s="159"/>
    </row>
    <row r="84" spans="1:56">
      <c r="A84" s="57"/>
      <c r="B84" s="57" t="s">
        <v>33</v>
      </c>
      <c r="C84" s="55">
        <f t="shared" ref="C84:S84" si="21">2.27*(C73+C76+C79+C82)</f>
        <v>31.78</v>
      </c>
      <c r="D84" s="55">
        <f t="shared" si="21"/>
        <v>45.4</v>
      </c>
      <c r="E84" s="55">
        <f t="shared" si="21"/>
        <v>6.8100000000000005</v>
      </c>
      <c r="F84" s="55">
        <f t="shared" si="21"/>
        <v>54.480000000000004</v>
      </c>
      <c r="G84" s="55">
        <f t="shared" si="21"/>
        <v>54.480000000000004</v>
      </c>
      <c r="H84" s="55">
        <f t="shared" si="21"/>
        <v>31.78</v>
      </c>
      <c r="I84" s="55">
        <f t="shared" si="21"/>
        <v>45.4</v>
      </c>
      <c r="J84" s="55">
        <f t="shared" si="21"/>
        <v>13.620000000000001</v>
      </c>
      <c r="K84" s="55">
        <f t="shared" si="21"/>
        <v>47.67</v>
      </c>
      <c r="L84" s="55">
        <f t="shared" si="21"/>
        <v>40.86</v>
      </c>
      <c r="M84" s="55">
        <f t="shared" si="21"/>
        <v>20.43</v>
      </c>
      <c r="N84" s="55">
        <f t="shared" si="21"/>
        <v>22.7</v>
      </c>
      <c r="O84" s="55">
        <f t="shared" si="21"/>
        <v>49.94</v>
      </c>
      <c r="P84" s="55">
        <f t="shared" si="21"/>
        <v>29.51</v>
      </c>
      <c r="Q84" s="55">
        <f t="shared" si="21"/>
        <v>54.480000000000004</v>
      </c>
      <c r="R84" s="55">
        <f t="shared" si="21"/>
        <v>47.67</v>
      </c>
      <c r="S84" s="55">
        <f t="shared" si="21"/>
        <v>49.94</v>
      </c>
      <c r="T84" s="180">
        <f>AVERAGE(C84:S84)</f>
        <v>38.055882352941182</v>
      </c>
      <c r="U84" s="120">
        <f t="shared" si="20"/>
        <v>38.055882352941175</v>
      </c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59"/>
      <c r="AZ84" s="159"/>
      <c r="BA84" s="160"/>
      <c r="BB84" s="159"/>
      <c r="BC84" s="159"/>
      <c r="BD84" s="159"/>
    </row>
    <row r="85" spans="1:56">
      <c r="A85" s="63"/>
      <c r="B85" s="63" t="s">
        <v>34</v>
      </c>
      <c r="C85" s="64">
        <f t="shared" ref="C85:S85" si="22">C83-C84</f>
        <v>22.700000000000003</v>
      </c>
      <c r="D85" s="64">
        <f t="shared" si="22"/>
        <v>9.0800000000000054</v>
      </c>
      <c r="E85" s="64">
        <f t="shared" si="22"/>
        <v>34.049999999999997</v>
      </c>
      <c r="F85" s="64">
        <f t="shared" si="22"/>
        <v>0</v>
      </c>
      <c r="G85" s="64">
        <f t="shared" si="22"/>
        <v>0</v>
      </c>
      <c r="H85" s="64">
        <f t="shared" si="22"/>
        <v>22.700000000000003</v>
      </c>
      <c r="I85" s="64">
        <f t="shared" si="22"/>
        <v>9.0800000000000054</v>
      </c>
      <c r="J85" s="64">
        <f t="shared" si="22"/>
        <v>40.86</v>
      </c>
      <c r="K85" s="64">
        <f t="shared" si="22"/>
        <v>6.8100000000000023</v>
      </c>
      <c r="L85" s="64">
        <f t="shared" si="22"/>
        <v>13.620000000000005</v>
      </c>
      <c r="M85" s="64">
        <f t="shared" si="22"/>
        <v>34.050000000000004</v>
      </c>
      <c r="N85" s="64">
        <f t="shared" si="22"/>
        <v>24.970000000000002</v>
      </c>
      <c r="O85" s="64">
        <f t="shared" si="22"/>
        <v>0</v>
      </c>
      <c r="P85" s="64">
        <f t="shared" si="22"/>
        <v>24.970000000000002</v>
      </c>
      <c r="Q85" s="64">
        <f t="shared" si="22"/>
        <v>0</v>
      </c>
      <c r="R85" s="64">
        <f t="shared" si="22"/>
        <v>6.8100000000000023</v>
      </c>
      <c r="S85" s="64">
        <f t="shared" si="22"/>
        <v>4.5400000000000063</v>
      </c>
      <c r="T85" s="182">
        <f>AVERAGE(C85:S85)</f>
        <v>14.955294117647062</v>
      </c>
      <c r="U85" s="64">
        <f>U83-U84</f>
        <v>14.955294117647064</v>
      </c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60"/>
      <c r="AJ85" s="160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59"/>
      <c r="AZ85" s="159"/>
      <c r="BA85" s="160"/>
      <c r="BB85" s="159"/>
      <c r="BC85" s="159"/>
      <c r="BD85" s="159"/>
    </row>
    <row r="86" spans="1:56">
      <c r="B86" s="4" t="s">
        <v>58</v>
      </c>
      <c r="C86" s="4" t="s">
        <v>59</v>
      </c>
      <c r="D86" s="4" t="s">
        <v>59</v>
      </c>
      <c r="E86" s="4" t="s">
        <v>59</v>
      </c>
      <c r="F86" s="4" t="s">
        <v>59</v>
      </c>
      <c r="G86" s="4" t="s">
        <v>62</v>
      </c>
      <c r="H86" s="4" t="s">
        <v>59</v>
      </c>
      <c r="I86" s="4" t="s">
        <v>59</v>
      </c>
      <c r="J86" s="4" t="s">
        <v>59</v>
      </c>
      <c r="K86" s="4" t="s">
        <v>61</v>
      </c>
      <c r="L86" s="4" t="s">
        <v>59</v>
      </c>
      <c r="M86" s="4" t="s">
        <v>59</v>
      </c>
      <c r="N86" s="4" t="s">
        <v>59</v>
      </c>
      <c r="O86" s="4" t="s">
        <v>60</v>
      </c>
      <c r="P86" s="2"/>
      <c r="Q86" s="4" t="s">
        <v>59</v>
      </c>
      <c r="R86" s="4" t="s">
        <v>61</v>
      </c>
      <c r="S86" s="4" t="s">
        <v>59</v>
      </c>
      <c r="T86" s="167"/>
      <c r="U86" s="168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61"/>
      <c r="AJ86" s="160"/>
      <c r="AK86" s="160"/>
      <c r="AL86" s="160"/>
      <c r="AM86" s="160"/>
      <c r="AN86" s="161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59"/>
      <c r="AZ86" s="159"/>
      <c r="BA86" s="160"/>
      <c r="BB86" s="159"/>
      <c r="BC86" s="159"/>
      <c r="BD86" s="159"/>
    </row>
    <row r="87" spans="1:56">
      <c r="A87" s="2"/>
      <c r="B87" s="78" t="s">
        <v>65</v>
      </c>
      <c r="C87" s="68">
        <f t="shared" ref="C87:S87" si="23">C27+C51+C67+C83</f>
        <v>192.96800000000002</v>
      </c>
      <c r="D87" s="68">
        <f t="shared" si="23"/>
        <v>186.24100000000004</v>
      </c>
      <c r="E87" s="68">
        <f t="shared" si="23"/>
        <v>181.61799999999999</v>
      </c>
      <c r="F87" s="68">
        <f t="shared" si="23"/>
        <v>185.00700000000001</v>
      </c>
      <c r="G87" s="68">
        <f t="shared" si="23"/>
        <v>196.59700000000004</v>
      </c>
      <c r="H87" s="68">
        <f t="shared" si="23"/>
        <v>197.68800000000005</v>
      </c>
      <c r="I87" s="68">
        <f t="shared" si="23"/>
        <v>196.41400000000004</v>
      </c>
      <c r="J87" s="68">
        <f t="shared" si="23"/>
        <v>190.96800000000002</v>
      </c>
      <c r="K87" s="68">
        <f t="shared" si="23"/>
        <v>176.79900000000001</v>
      </c>
      <c r="L87" s="68">
        <f t="shared" si="23"/>
        <v>184.334</v>
      </c>
      <c r="M87" s="68">
        <f t="shared" si="23"/>
        <v>181.57600000000002</v>
      </c>
      <c r="N87" s="68">
        <f t="shared" si="23"/>
        <v>173.08</v>
      </c>
      <c r="O87" s="68">
        <f t="shared" si="23"/>
        <v>150.464</v>
      </c>
      <c r="P87" s="68">
        <f t="shared" si="23"/>
        <v>206.31600000000003</v>
      </c>
      <c r="Q87" s="68">
        <f t="shared" si="23"/>
        <v>197.596</v>
      </c>
      <c r="R87" s="68">
        <f t="shared" si="23"/>
        <v>193.14500000000004</v>
      </c>
      <c r="S87" s="68">
        <f t="shared" si="23"/>
        <v>194.50700000000001</v>
      </c>
      <c r="T87" s="155">
        <f>AVERAGE(C87:S87)</f>
        <v>187.37164705882353</v>
      </c>
      <c r="U87" s="122">
        <f t="shared" ref="U87:U89" si="24">U27+U51+U67+U83</f>
        <v>187.37164705882356</v>
      </c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59"/>
      <c r="AZ87" s="159"/>
      <c r="BA87" s="159"/>
      <c r="BB87" s="159"/>
      <c r="BC87" s="159"/>
      <c r="BD87" s="159"/>
    </row>
    <row r="88" spans="1:56">
      <c r="A88" s="2"/>
      <c r="B88" s="78" t="s">
        <v>66</v>
      </c>
      <c r="C88" s="68">
        <f t="shared" ref="C88:S88" si="25">C28+C52+C68+C84</f>
        <v>112.14</v>
      </c>
      <c r="D88" s="68">
        <f t="shared" si="25"/>
        <v>171.98499999999999</v>
      </c>
      <c r="E88" s="68">
        <f t="shared" si="25"/>
        <v>69.918000000000006</v>
      </c>
      <c r="F88" s="68">
        <f t="shared" si="25"/>
        <v>174.58100000000002</v>
      </c>
      <c r="G88" s="68">
        <f t="shared" si="25"/>
        <v>173.43299999999999</v>
      </c>
      <c r="H88" s="68">
        <f t="shared" si="25"/>
        <v>114.23</v>
      </c>
      <c r="I88" s="68">
        <f t="shared" si="25"/>
        <v>145.46800000000002</v>
      </c>
      <c r="J88" s="68">
        <f t="shared" si="25"/>
        <v>95.068000000000012</v>
      </c>
      <c r="K88" s="68">
        <f t="shared" si="25"/>
        <v>165.53699999999998</v>
      </c>
      <c r="L88" s="68">
        <f t="shared" si="25"/>
        <v>167.536</v>
      </c>
      <c r="M88" s="68">
        <f t="shared" si="25"/>
        <v>109</v>
      </c>
      <c r="N88" s="68">
        <f t="shared" si="25"/>
        <v>105.69600000000001</v>
      </c>
      <c r="O88" s="68">
        <f t="shared" si="25"/>
        <v>169.52600000000001</v>
      </c>
      <c r="P88" s="68">
        <f t="shared" si="25"/>
        <v>126.032</v>
      </c>
      <c r="Q88" s="68">
        <f t="shared" si="25"/>
        <v>159.72200000000001</v>
      </c>
      <c r="R88" s="68">
        <f t="shared" si="25"/>
        <v>162.35700000000003</v>
      </c>
      <c r="S88" s="68">
        <f t="shared" si="25"/>
        <v>158.27100000000002</v>
      </c>
      <c r="T88" s="155">
        <f>AVERAGE(C88:S88)</f>
        <v>140.02941176470591</v>
      </c>
      <c r="U88" s="122">
        <f t="shared" si="24"/>
        <v>140.02941176470588</v>
      </c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59"/>
      <c r="AZ88" s="159"/>
      <c r="BA88" s="159"/>
      <c r="BB88" s="159"/>
      <c r="BC88" s="159"/>
      <c r="BD88" s="159"/>
    </row>
    <row r="89" spans="1:56">
      <c r="A89" s="2"/>
      <c r="B89" s="78" t="s">
        <v>67</v>
      </c>
      <c r="C89" s="68">
        <f t="shared" ref="C89:S89" si="26">C29+C53+C69+C85</f>
        <v>80.828000000000003</v>
      </c>
      <c r="D89" s="68">
        <f t="shared" si="26"/>
        <v>14.256000000000011</v>
      </c>
      <c r="E89" s="68">
        <f t="shared" si="26"/>
        <v>111.69999999999999</v>
      </c>
      <c r="F89" s="68">
        <f t="shared" si="26"/>
        <v>10.426000000000002</v>
      </c>
      <c r="G89" s="68">
        <f t="shared" si="26"/>
        <v>23.164000000000001</v>
      </c>
      <c r="H89" s="68">
        <f t="shared" si="26"/>
        <v>83.457999999999998</v>
      </c>
      <c r="I89" s="68">
        <f t="shared" si="26"/>
        <v>50.946000000000005</v>
      </c>
      <c r="J89" s="68">
        <f t="shared" si="26"/>
        <v>95.9</v>
      </c>
      <c r="K89" s="68">
        <f t="shared" si="26"/>
        <v>11.262000000000008</v>
      </c>
      <c r="L89" s="68">
        <f t="shared" si="26"/>
        <v>16.798000000000009</v>
      </c>
      <c r="M89" s="68">
        <f t="shared" si="26"/>
        <v>72.576000000000022</v>
      </c>
      <c r="N89" s="68">
        <f t="shared" si="26"/>
        <v>67.384</v>
      </c>
      <c r="O89" s="68">
        <f t="shared" si="26"/>
        <v>-19.061999999999998</v>
      </c>
      <c r="P89" s="68">
        <f t="shared" si="26"/>
        <v>80.284000000000006</v>
      </c>
      <c r="Q89" s="68">
        <f t="shared" si="26"/>
        <v>37.874000000000002</v>
      </c>
      <c r="R89" s="68">
        <f t="shared" si="26"/>
        <v>30.788000000000004</v>
      </c>
      <c r="S89" s="68">
        <f t="shared" si="26"/>
        <v>36.236000000000011</v>
      </c>
      <c r="T89" s="155">
        <f>AVERAGE(C89:S89)</f>
        <v>47.34223529411765</v>
      </c>
      <c r="U89" s="122">
        <f t="shared" si="24"/>
        <v>47.34223529411765</v>
      </c>
      <c r="V89" s="160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59"/>
      <c r="AZ89" s="159"/>
      <c r="BA89" s="159"/>
      <c r="BB89" s="159"/>
      <c r="BC89" s="159"/>
      <c r="BD89" s="159"/>
    </row>
    <row r="90" spans="1:56">
      <c r="A90" s="2"/>
      <c r="T90" s="155"/>
      <c r="U90" s="126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/>
    </row>
    <row r="91" spans="1:56">
      <c r="A91" s="2"/>
      <c r="B91" s="78" t="s">
        <v>68</v>
      </c>
      <c r="C91" s="68">
        <f t="shared" ref="C91:S91" si="27">0.454*(IF(C10&gt;20, 0, 20-ROUND(C10,0)) + IF(C13&gt;20, 0, 20-ROUND(C13,0)) + C16 + IF(C19&gt;20, 20, C19) + IF(C22&gt;20, 20, C22) + IF(C25&gt;20, 20, C25)) + (C32+C36+C40+C44+C48)*0.109 + (C56+C59+C62+C65)*2.27 + (C72+C75+C78+C81)*2.27</f>
        <v>192.96800000000002</v>
      </c>
      <c r="D91" s="68">
        <f t="shared" si="27"/>
        <v>186.24100000000004</v>
      </c>
      <c r="E91" s="68">
        <f t="shared" si="27"/>
        <v>181.61799999999999</v>
      </c>
      <c r="F91" s="68">
        <f t="shared" si="27"/>
        <v>185.00700000000001</v>
      </c>
      <c r="G91" s="68">
        <f t="shared" si="27"/>
        <v>196.59700000000004</v>
      </c>
      <c r="H91" s="68">
        <f t="shared" si="27"/>
        <v>197.68800000000005</v>
      </c>
      <c r="I91" s="68">
        <f t="shared" si="27"/>
        <v>196.41400000000004</v>
      </c>
      <c r="J91" s="68">
        <f t="shared" si="27"/>
        <v>190.96800000000002</v>
      </c>
      <c r="K91" s="68">
        <f t="shared" si="27"/>
        <v>176.79900000000001</v>
      </c>
      <c r="L91" s="68">
        <f t="shared" si="27"/>
        <v>184.334</v>
      </c>
      <c r="M91" s="68">
        <f t="shared" si="27"/>
        <v>181.57600000000002</v>
      </c>
      <c r="N91" s="68">
        <f t="shared" si="27"/>
        <v>173.08</v>
      </c>
      <c r="O91" s="68">
        <f t="shared" si="27"/>
        <v>150.464</v>
      </c>
      <c r="P91" s="68">
        <f t="shared" si="27"/>
        <v>206.31600000000003</v>
      </c>
      <c r="Q91" s="68">
        <f t="shared" si="27"/>
        <v>197.596</v>
      </c>
      <c r="R91" s="68">
        <f t="shared" si="27"/>
        <v>193.14500000000004</v>
      </c>
      <c r="S91" s="68">
        <f t="shared" si="27"/>
        <v>194.50700000000001</v>
      </c>
      <c r="T91" s="155">
        <f>AVERAGE(C91:S91)</f>
        <v>187.37164705882353</v>
      </c>
      <c r="U91" s="126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161"/>
      <c r="AY91" s="159"/>
      <c r="AZ91" s="159"/>
      <c r="BA91" s="159"/>
      <c r="BB91" s="159"/>
      <c r="BC91" s="159"/>
      <c r="BD91" s="159"/>
    </row>
    <row r="92" spans="1:56">
      <c r="A92" s="2"/>
      <c r="B92" s="78" t="s">
        <v>69</v>
      </c>
      <c r="C92" s="70">
        <f t="shared" ref="C92:S92" si="28">0.454*(IF(C11&gt;20, 0, 20-ROUND(C11,0)) + IF(C14&gt;20, 0, 20-ROUND(C14,0)) + C17 + IF(C20&gt;20, 20, C20) + IF(C23&gt;20, 20, C23) + IF(C26&gt;20, 20, C26)) + (C33+C37+C41+C45+C49)*0.109 + (C57+C60+C63+C66)*2.27 + (C73+C76+C79+C82)*2.27</f>
        <v>112.14</v>
      </c>
      <c r="D92" s="70">
        <f t="shared" si="28"/>
        <v>171.98499999999999</v>
      </c>
      <c r="E92" s="70">
        <f t="shared" si="28"/>
        <v>69.918000000000006</v>
      </c>
      <c r="F92" s="70">
        <f t="shared" si="28"/>
        <v>174.58100000000002</v>
      </c>
      <c r="G92" s="70">
        <f t="shared" si="28"/>
        <v>173.43299999999999</v>
      </c>
      <c r="H92" s="70">
        <f t="shared" si="28"/>
        <v>114.23</v>
      </c>
      <c r="I92" s="70">
        <f t="shared" si="28"/>
        <v>145.46800000000002</v>
      </c>
      <c r="J92" s="70">
        <f t="shared" si="28"/>
        <v>95.068000000000012</v>
      </c>
      <c r="K92" s="70">
        <f t="shared" si="28"/>
        <v>165.53699999999998</v>
      </c>
      <c r="L92" s="70">
        <f t="shared" si="28"/>
        <v>167.536</v>
      </c>
      <c r="M92" s="70">
        <f t="shared" si="28"/>
        <v>109</v>
      </c>
      <c r="N92" s="70">
        <f t="shared" si="28"/>
        <v>105.69600000000001</v>
      </c>
      <c r="O92" s="70">
        <f t="shared" si="28"/>
        <v>169.52600000000001</v>
      </c>
      <c r="P92" s="70">
        <f t="shared" si="28"/>
        <v>126.032</v>
      </c>
      <c r="Q92" s="70">
        <f t="shared" si="28"/>
        <v>159.72200000000001</v>
      </c>
      <c r="R92" s="70">
        <f t="shared" si="28"/>
        <v>162.35700000000003</v>
      </c>
      <c r="S92" s="70">
        <f t="shared" si="28"/>
        <v>158.27100000000002</v>
      </c>
      <c r="T92" s="155">
        <f>AVERAGE(C92:S92)</f>
        <v>140.02941176470591</v>
      </c>
      <c r="U92" s="124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163"/>
      <c r="AY92" s="159"/>
      <c r="AZ92" s="159"/>
      <c r="BA92" s="163"/>
      <c r="BB92" s="159"/>
      <c r="BC92" s="159"/>
      <c r="BD92" s="159"/>
    </row>
    <row r="93" spans="1:56">
      <c r="A93" s="71"/>
      <c r="B93" s="72" t="s">
        <v>70</v>
      </c>
      <c r="C93" s="73">
        <f t="shared" ref="C93:S93" si="29">C91-C92</f>
        <v>80.828000000000017</v>
      </c>
      <c r="D93" s="73">
        <f t="shared" si="29"/>
        <v>14.256000000000057</v>
      </c>
      <c r="E93" s="73">
        <f t="shared" si="29"/>
        <v>111.69999999999999</v>
      </c>
      <c r="F93" s="73">
        <f t="shared" si="29"/>
        <v>10.425999999999988</v>
      </c>
      <c r="G93" s="73">
        <f t="shared" si="29"/>
        <v>23.164000000000044</v>
      </c>
      <c r="H93" s="73">
        <f t="shared" si="29"/>
        <v>83.458000000000041</v>
      </c>
      <c r="I93" s="73">
        <f t="shared" si="29"/>
        <v>50.946000000000026</v>
      </c>
      <c r="J93" s="73">
        <f t="shared" si="29"/>
        <v>95.9</v>
      </c>
      <c r="K93" s="73">
        <f t="shared" si="29"/>
        <v>11.262000000000029</v>
      </c>
      <c r="L93" s="73">
        <f t="shared" si="29"/>
        <v>16.798000000000002</v>
      </c>
      <c r="M93" s="73">
        <f t="shared" si="29"/>
        <v>72.576000000000022</v>
      </c>
      <c r="N93" s="73">
        <f t="shared" si="29"/>
        <v>67.384</v>
      </c>
      <c r="O93" s="73">
        <f t="shared" si="29"/>
        <v>-19.062000000000012</v>
      </c>
      <c r="P93" s="73">
        <f t="shared" si="29"/>
        <v>80.284000000000034</v>
      </c>
      <c r="Q93" s="73">
        <f t="shared" si="29"/>
        <v>37.873999999999995</v>
      </c>
      <c r="R93" s="73">
        <f t="shared" si="29"/>
        <v>30.788000000000011</v>
      </c>
      <c r="S93" s="73">
        <f t="shared" si="29"/>
        <v>36.23599999999999</v>
      </c>
      <c r="T93" s="155">
        <f>AVERAGE(C93:S93)</f>
        <v>47.342235294117657</v>
      </c>
      <c r="U93" s="183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59"/>
      <c r="AZ93" s="159"/>
      <c r="BA93" s="184"/>
      <c r="BB93" s="159"/>
      <c r="BC93" s="159"/>
      <c r="BD93" s="159"/>
    </row>
    <row r="94" spans="1:56">
      <c r="A94" s="2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61"/>
      <c r="AZ94" s="159"/>
      <c r="BA94" s="159"/>
      <c r="BB94" s="159"/>
      <c r="BC94" s="159"/>
      <c r="BD94" s="159"/>
    </row>
    <row r="95" spans="1:56">
      <c r="A95" s="2"/>
      <c r="B95" s="78" t="s">
        <v>15</v>
      </c>
      <c r="C95" s="68">
        <f>AVERAGE(C93:AX93)</f>
        <v>47.342235294117664</v>
      </c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61"/>
      <c r="AZ95" s="159"/>
      <c r="BA95" s="159"/>
      <c r="BB95" s="159"/>
      <c r="BC95" s="159"/>
      <c r="BD95" s="159"/>
    </row>
    <row r="96" spans="1:56">
      <c r="A96" s="2"/>
      <c r="B96" s="78" t="s">
        <v>71</v>
      </c>
      <c r="C96" s="9">
        <f>MEDIAN(C93:S93)</f>
        <v>37.873999999999995</v>
      </c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  <c r="AW96" s="159"/>
      <c r="AX96" s="159"/>
      <c r="AY96" s="161"/>
      <c r="AZ96" s="159"/>
      <c r="BA96" s="159"/>
      <c r="BB96" s="159"/>
      <c r="BC96" s="159"/>
      <c r="BD96" s="159"/>
    </row>
    <row r="97" spans="1:56">
      <c r="A97" s="2"/>
      <c r="B97" s="78" t="s">
        <v>72</v>
      </c>
      <c r="C97" s="68">
        <f>AVERAGE(C91:AX91)</f>
        <v>187.3716470588235</v>
      </c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61"/>
      <c r="AZ97" s="159"/>
      <c r="BA97" s="159"/>
      <c r="BB97" s="159"/>
      <c r="BC97" s="159"/>
      <c r="BD97" s="159"/>
    </row>
    <row r="98" spans="1:56">
      <c r="A98" s="2"/>
      <c r="B98" s="78" t="s">
        <v>73</v>
      </c>
      <c r="C98" s="68">
        <f>AVERAGE(C92:AX92)</f>
        <v>140.02941176470591</v>
      </c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61"/>
      <c r="AZ98" s="159"/>
      <c r="BA98" s="159"/>
      <c r="BB98" s="159"/>
      <c r="BC98" s="159"/>
      <c r="BD98" s="159"/>
    </row>
    <row r="99" spans="1:56">
      <c r="A99" s="2"/>
      <c r="AY99" s="69"/>
    </row>
    <row r="100" spans="1:56">
      <c r="A100" s="2"/>
      <c r="AY100" s="69"/>
    </row>
    <row r="101" spans="1:56">
      <c r="A101" s="2"/>
      <c r="B101" s="185"/>
      <c r="C101" s="185"/>
      <c r="D101" s="185"/>
      <c r="AY101" s="69"/>
    </row>
    <row r="102" spans="1:56">
      <c r="A102" s="2"/>
      <c r="B102" s="186"/>
      <c r="C102" s="186"/>
      <c r="D102" s="185"/>
      <c r="AY102" s="69"/>
    </row>
    <row r="103" spans="1:56">
      <c r="A103" s="2"/>
      <c r="B103" s="185"/>
      <c r="C103" s="186"/>
      <c r="D103" s="185"/>
      <c r="AY103" s="69"/>
    </row>
    <row r="104" spans="1:56">
      <c r="A104" s="2"/>
      <c r="B104" s="186"/>
      <c r="C104" s="186"/>
      <c r="D104" s="185"/>
      <c r="AY104" s="69"/>
    </row>
    <row r="105" spans="1:56">
      <c r="A105" s="2"/>
      <c r="B105" s="185"/>
      <c r="C105" s="186"/>
      <c r="D105" s="185"/>
      <c r="AY105" s="69"/>
    </row>
    <row r="106" spans="1:56">
      <c r="A106" s="2"/>
      <c r="B106" s="186"/>
      <c r="C106" s="186"/>
      <c r="D106" s="185"/>
      <c r="AY106" s="69"/>
    </row>
    <row r="107" spans="1:56">
      <c r="A107" s="2"/>
      <c r="B107" s="185"/>
      <c r="C107" s="186"/>
      <c r="D107" s="185"/>
      <c r="AY107" s="69"/>
    </row>
    <row r="108" spans="1:56">
      <c r="A108" s="2"/>
      <c r="B108" s="186"/>
      <c r="C108" s="186"/>
      <c r="D108" s="185"/>
      <c r="AY108" s="69"/>
    </row>
    <row r="109" spans="1:56">
      <c r="A109" s="2"/>
      <c r="B109" s="185"/>
      <c r="C109" s="186"/>
      <c r="D109" s="185"/>
      <c r="AY109" s="69"/>
    </row>
    <row r="110" spans="1:56">
      <c r="A110" s="2"/>
      <c r="AY110" s="69"/>
    </row>
    <row r="111" spans="1:56">
      <c r="A111" s="2"/>
      <c r="AY111" s="69"/>
    </row>
    <row r="112" spans="1:56">
      <c r="A112" s="2"/>
      <c r="AY112" s="69"/>
    </row>
    <row r="113" spans="1:51">
      <c r="A113" s="2"/>
      <c r="AY113" s="69"/>
    </row>
    <row r="114" spans="1:51">
      <c r="A114" s="2"/>
      <c r="AY114" s="69"/>
    </row>
    <row r="115" spans="1:51">
      <c r="A115" s="2"/>
      <c r="AY115" s="69"/>
    </row>
    <row r="116" spans="1:51">
      <c r="A116" s="2"/>
      <c r="AY116" s="69"/>
    </row>
    <row r="117" spans="1:51">
      <c r="A117" s="2"/>
      <c r="AY117" s="69"/>
    </row>
    <row r="118" spans="1:51">
      <c r="A118" s="2"/>
      <c r="AY118" s="69"/>
    </row>
    <row r="119" spans="1:51">
      <c r="A119" s="2"/>
      <c r="AY119" s="69"/>
    </row>
    <row r="120" spans="1:51">
      <c r="A120" s="2"/>
      <c r="AY120" s="69"/>
    </row>
    <row r="121" spans="1:51">
      <c r="A121" s="2"/>
      <c r="AY121" s="69"/>
    </row>
    <row r="122" spans="1:51">
      <c r="A122" s="2"/>
      <c r="AY122" s="69"/>
    </row>
    <row r="123" spans="1:51">
      <c r="A123" s="2"/>
      <c r="AY123" s="69"/>
    </row>
    <row r="124" spans="1:51">
      <c r="A124" s="2"/>
      <c r="AY124" s="69"/>
    </row>
    <row r="125" spans="1:51">
      <c r="A125" s="2"/>
      <c r="AY125" s="69"/>
    </row>
    <row r="126" spans="1:51">
      <c r="A126" s="2"/>
      <c r="AY126" s="69"/>
    </row>
    <row r="127" spans="1:51">
      <c r="A127" s="2"/>
      <c r="AY127" s="69"/>
    </row>
    <row r="128" spans="1:51">
      <c r="A128" s="2"/>
      <c r="AY128" s="69"/>
    </row>
    <row r="129" spans="1:51">
      <c r="A129" s="2"/>
      <c r="AY129" s="69"/>
    </row>
    <row r="130" spans="1:51">
      <c r="A130" s="2"/>
      <c r="AY130" s="69"/>
    </row>
    <row r="131" spans="1:51">
      <c r="A131" s="2"/>
      <c r="AY131" s="69"/>
    </row>
    <row r="132" spans="1:51">
      <c r="A132" s="2"/>
      <c r="AY132" s="69"/>
    </row>
    <row r="133" spans="1:51">
      <c r="A133" s="2"/>
      <c r="AY133" s="69"/>
    </row>
    <row r="134" spans="1:51">
      <c r="A134" s="2"/>
      <c r="AY134" s="69"/>
    </row>
    <row r="135" spans="1:51">
      <c r="A135" s="2"/>
      <c r="AY135" s="69"/>
    </row>
    <row r="136" spans="1:51">
      <c r="A136" s="2"/>
      <c r="AY136" s="69"/>
    </row>
    <row r="137" spans="1:51">
      <c r="A137" s="2"/>
      <c r="AY137" s="69"/>
    </row>
    <row r="138" spans="1:51">
      <c r="A138" s="2"/>
      <c r="AY138" s="69"/>
    </row>
    <row r="139" spans="1:51">
      <c r="A139" s="2"/>
      <c r="AY139" s="69"/>
    </row>
    <row r="140" spans="1:51">
      <c r="A140" s="2"/>
      <c r="AY140" s="69"/>
    </row>
    <row r="141" spans="1:51">
      <c r="A141" s="2"/>
      <c r="AY141" s="69"/>
    </row>
    <row r="142" spans="1:51">
      <c r="A142" s="2"/>
      <c r="AY142" s="69"/>
    </row>
    <row r="143" spans="1:51">
      <c r="A143" s="2"/>
      <c r="AY143" s="69"/>
    </row>
    <row r="144" spans="1:51">
      <c r="A144" s="2"/>
      <c r="AY144" s="69"/>
    </row>
    <row r="145" spans="1:51">
      <c r="A145" s="2"/>
      <c r="AY145" s="69"/>
    </row>
    <row r="146" spans="1:51">
      <c r="A146" s="2"/>
      <c r="AY146" s="69"/>
    </row>
    <row r="147" spans="1:51">
      <c r="A147" s="2"/>
      <c r="AY147" s="69"/>
    </row>
    <row r="148" spans="1:51">
      <c r="A148" s="2"/>
      <c r="AY148" s="69"/>
    </row>
    <row r="149" spans="1:51">
      <c r="A149" s="2"/>
      <c r="AY149" s="69"/>
    </row>
    <row r="150" spans="1:51">
      <c r="A150" s="2"/>
      <c r="AY150" s="69"/>
    </row>
    <row r="151" spans="1:51">
      <c r="A151" s="2"/>
      <c r="AY151" s="69"/>
    </row>
    <row r="152" spans="1:51">
      <c r="A152" s="2"/>
      <c r="AY152" s="69"/>
    </row>
    <row r="153" spans="1:51">
      <c r="A153" s="2"/>
      <c r="AY153" s="69"/>
    </row>
    <row r="154" spans="1:51">
      <c r="A154" s="2"/>
      <c r="AY154" s="69"/>
    </row>
    <row r="155" spans="1:51">
      <c r="A155" s="2"/>
      <c r="AY155" s="69"/>
    </row>
    <row r="156" spans="1:51">
      <c r="A156" s="2"/>
      <c r="AY156" s="69"/>
    </row>
    <row r="157" spans="1:51">
      <c r="A157" s="2"/>
      <c r="AY157" s="69"/>
    </row>
    <row r="158" spans="1:51">
      <c r="A158" s="2"/>
      <c r="AY158" s="69"/>
    </row>
    <row r="159" spans="1:51">
      <c r="A159" s="2"/>
      <c r="AY159" s="69"/>
    </row>
    <row r="160" spans="1:51">
      <c r="A160" s="2"/>
      <c r="AY160" s="69"/>
    </row>
    <row r="161" spans="1:51">
      <c r="A161" s="2"/>
      <c r="AY161" s="69"/>
    </row>
    <row r="162" spans="1:51">
      <c r="A162" s="2"/>
      <c r="AY162" s="69"/>
    </row>
    <row r="163" spans="1:51">
      <c r="A163" s="2"/>
      <c r="AY163" s="69"/>
    </row>
    <row r="164" spans="1:51">
      <c r="A164" s="2"/>
      <c r="AY164" s="69"/>
    </row>
    <row r="165" spans="1:51">
      <c r="A165" s="2"/>
      <c r="AY165" s="69"/>
    </row>
    <row r="166" spans="1:51">
      <c r="A166" s="2"/>
      <c r="AY166" s="69"/>
    </row>
    <row r="167" spans="1:51">
      <c r="A167" s="2"/>
      <c r="AY167" s="69"/>
    </row>
    <row r="168" spans="1:51">
      <c r="A168" s="2"/>
      <c r="AY168" s="69"/>
    </row>
    <row r="169" spans="1:51">
      <c r="A169" s="2"/>
      <c r="AY169" s="69"/>
    </row>
    <row r="170" spans="1:51">
      <c r="A170" s="2"/>
      <c r="AY170" s="69"/>
    </row>
    <row r="171" spans="1:51">
      <c r="A171" s="2"/>
      <c r="AY171" s="69"/>
    </row>
    <row r="172" spans="1:51">
      <c r="A172" s="2"/>
      <c r="AY172" s="69"/>
    </row>
    <row r="173" spans="1:51">
      <c r="A173" s="2"/>
      <c r="AY173" s="69"/>
    </row>
    <row r="174" spans="1:51">
      <c r="A174" s="2"/>
      <c r="AY174" s="69"/>
    </row>
    <row r="175" spans="1:51">
      <c r="A175" s="2"/>
      <c r="AY175" s="69"/>
    </row>
    <row r="176" spans="1:51">
      <c r="A176" s="2"/>
      <c r="AY176" s="69"/>
    </row>
    <row r="177" spans="1:51">
      <c r="A177" s="2"/>
      <c r="AY177" s="69"/>
    </row>
    <row r="178" spans="1:51">
      <c r="A178" s="2"/>
      <c r="AY178" s="69"/>
    </row>
    <row r="179" spans="1:51">
      <c r="A179" s="2"/>
      <c r="AY179" s="69"/>
    </row>
    <row r="180" spans="1:51">
      <c r="A180" s="2"/>
      <c r="AY180" s="69"/>
    </row>
    <row r="181" spans="1:51">
      <c r="A181" s="2"/>
      <c r="AY181" s="69"/>
    </row>
    <row r="182" spans="1:51">
      <c r="A182" s="2"/>
      <c r="AY182" s="69"/>
    </row>
    <row r="183" spans="1:51">
      <c r="A183" s="2"/>
      <c r="AY183" s="69"/>
    </row>
    <row r="184" spans="1:51">
      <c r="A184" s="2"/>
      <c r="AY184" s="69"/>
    </row>
    <row r="185" spans="1:51">
      <c r="A185" s="2"/>
      <c r="AY185" s="69"/>
    </row>
    <row r="186" spans="1:51">
      <c r="A186" s="2"/>
      <c r="AY186" s="69"/>
    </row>
    <row r="187" spans="1:51">
      <c r="A187" s="2"/>
      <c r="AY187" s="69"/>
    </row>
    <row r="188" spans="1:51">
      <c r="A188" s="2"/>
      <c r="AY188" s="69"/>
    </row>
    <row r="189" spans="1:51">
      <c r="A189" s="2"/>
      <c r="AY189" s="69"/>
    </row>
    <row r="190" spans="1:51">
      <c r="A190" s="2"/>
      <c r="AY190" s="69"/>
    </row>
    <row r="191" spans="1:51">
      <c r="A191" s="2"/>
      <c r="AY191" s="69"/>
    </row>
    <row r="192" spans="1:51">
      <c r="A192" s="2"/>
      <c r="AY192" s="69"/>
    </row>
    <row r="193" spans="1:51">
      <c r="A193" s="2"/>
      <c r="AY193" s="69"/>
    </row>
    <row r="194" spans="1:51">
      <c r="A194" s="2"/>
      <c r="AY194" s="69"/>
    </row>
    <row r="195" spans="1:51">
      <c r="A195" s="2"/>
      <c r="AY195" s="69"/>
    </row>
    <row r="196" spans="1:51">
      <c r="A196" s="2"/>
      <c r="AY196" s="69"/>
    </row>
    <row r="197" spans="1:51">
      <c r="A197" s="2"/>
      <c r="AY197" s="69"/>
    </row>
    <row r="198" spans="1:51">
      <c r="A198" s="2"/>
      <c r="AY198" s="69"/>
    </row>
    <row r="199" spans="1:51">
      <c r="A199" s="2"/>
      <c r="AY199" s="69"/>
    </row>
    <row r="200" spans="1:51">
      <c r="A200" s="2"/>
      <c r="AY200" s="69"/>
    </row>
    <row r="201" spans="1:51">
      <c r="A201" s="2"/>
      <c r="AY201" s="69"/>
    </row>
    <row r="202" spans="1:51">
      <c r="A202" s="2"/>
      <c r="AY202" s="69"/>
    </row>
    <row r="203" spans="1:51">
      <c r="A203" s="2"/>
      <c r="AY203" s="69"/>
    </row>
    <row r="204" spans="1:51">
      <c r="A204" s="2"/>
      <c r="AY204" s="69"/>
    </row>
    <row r="205" spans="1:51">
      <c r="A205" s="2"/>
      <c r="AY205" s="69"/>
    </row>
    <row r="206" spans="1:51">
      <c r="A206" s="2"/>
      <c r="AY206" s="69"/>
    </row>
    <row r="207" spans="1:51">
      <c r="A207" s="2"/>
      <c r="AY207" s="69"/>
    </row>
    <row r="208" spans="1:51">
      <c r="A208" s="2"/>
      <c r="AY208" s="69"/>
    </row>
    <row r="209" spans="1:51">
      <c r="A209" s="2"/>
      <c r="AY209" s="69"/>
    </row>
    <row r="210" spans="1:51">
      <c r="A210" s="2"/>
      <c r="AY210" s="69"/>
    </row>
    <row r="211" spans="1:51">
      <c r="A211" s="2"/>
      <c r="AY211" s="69"/>
    </row>
    <row r="212" spans="1:51">
      <c r="A212" s="2"/>
      <c r="AY212" s="69"/>
    </row>
    <row r="213" spans="1:51">
      <c r="A213" s="2"/>
      <c r="AY213" s="69"/>
    </row>
    <row r="214" spans="1:51">
      <c r="A214" s="2"/>
      <c r="AY214" s="69"/>
    </row>
    <row r="215" spans="1:51">
      <c r="A215" s="2"/>
      <c r="AY215" s="69"/>
    </row>
    <row r="216" spans="1:51">
      <c r="A216" s="2"/>
      <c r="AY216" s="69"/>
    </row>
    <row r="217" spans="1:51">
      <c r="A217" s="2"/>
      <c r="AY217" s="69"/>
    </row>
    <row r="218" spans="1:51">
      <c r="A218" s="2"/>
      <c r="AY218" s="69"/>
    </row>
    <row r="219" spans="1:51">
      <c r="A219" s="2"/>
      <c r="AY219" s="69"/>
    </row>
    <row r="220" spans="1:51">
      <c r="A220" s="2"/>
      <c r="AY220" s="69"/>
    </row>
    <row r="221" spans="1:51">
      <c r="A221" s="2"/>
      <c r="AY221" s="69"/>
    </row>
    <row r="222" spans="1:51">
      <c r="A222" s="2"/>
      <c r="AY222" s="69"/>
    </row>
    <row r="223" spans="1:51">
      <c r="A223" s="2"/>
      <c r="AY223" s="69"/>
    </row>
    <row r="224" spans="1:51">
      <c r="A224" s="2"/>
      <c r="AY224" s="69"/>
    </row>
    <row r="225" spans="1:51">
      <c r="A225" s="2"/>
      <c r="AY225" s="69"/>
    </row>
    <row r="226" spans="1:51">
      <c r="A226" s="2"/>
      <c r="AY226" s="69"/>
    </row>
    <row r="227" spans="1:51">
      <c r="A227" s="2"/>
      <c r="AY227" s="69"/>
    </row>
    <row r="228" spans="1:51">
      <c r="A228" s="2"/>
      <c r="AY228" s="69"/>
    </row>
    <row r="229" spans="1:51">
      <c r="A229" s="2"/>
      <c r="AY229" s="69"/>
    </row>
    <row r="230" spans="1:51">
      <c r="A230" s="2"/>
      <c r="AY230" s="69"/>
    </row>
    <row r="231" spans="1:51">
      <c r="A231" s="2"/>
      <c r="AY231" s="69"/>
    </row>
    <row r="232" spans="1:51">
      <c r="A232" s="2"/>
      <c r="AY232" s="69"/>
    </row>
    <row r="233" spans="1:51">
      <c r="A233" s="2"/>
      <c r="AY233" s="69"/>
    </row>
    <row r="234" spans="1:51">
      <c r="A234" s="2"/>
      <c r="AY234" s="69"/>
    </row>
    <row r="235" spans="1:51">
      <c r="A235" s="2"/>
      <c r="AY235" s="69"/>
    </row>
    <row r="236" spans="1:51">
      <c r="A236" s="2"/>
      <c r="AY236" s="69"/>
    </row>
    <row r="237" spans="1:51">
      <c r="A237" s="2"/>
      <c r="AY237" s="69"/>
    </row>
    <row r="238" spans="1:51">
      <c r="A238" s="2"/>
      <c r="AY238" s="69"/>
    </row>
    <row r="239" spans="1:51">
      <c r="A239" s="2"/>
      <c r="AY239" s="69"/>
    </row>
    <row r="240" spans="1:51">
      <c r="A240" s="2"/>
      <c r="AY240" s="69"/>
    </row>
    <row r="241" spans="1:51">
      <c r="A241" s="2"/>
      <c r="AY241" s="69"/>
    </row>
    <row r="242" spans="1:51">
      <c r="A242" s="2"/>
      <c r="AY242" s="69"/>
    </row>
    <row r="243" spans="1:51">
      <c r="A243" s="2"/>
      <c r="AY243" s="69"/>
    </row>
    <row r="244" spans="1:51">
      <c r="A244" s="2"/>
      <c r="AY244" s="69"/>
    </row>
    <row r="245" spans="1:51">
      <c r="A245" s="2"/>
      <c r="AY245" s="69"/>
    </row>
    <row r="246" spans="1:51">
      <c r="A246" s="2"/>
      <c r="AY246" s="69"/>
    </row>
    <row r="247" spans="1:51">
      <c r="A247" s="2"/>
      <c r="AY247" s="69"/>
    </row>
    <row r="248" spans="1:51">
      <c r="A248" s="2"/>
      <c r="AY248" s="69"/>
    </row>
    <row r="249" spans="1:51">
      <c r="A249" s="2"/>
      <c r="AY249" s="69"/>
    </row>
    <row r="250" spans="1:51">
      <c r="A250" s="2"/>
      <c r="AY250" s="69"/>
    </row>
    <row r="251" spans="1:51">
      <c r="A251" s="2"/>
      <c r="AY251" s="69"/>
    </row>
    <row r="252" spans="1:51">
      <c r="A252" s="2"/>
      <c r="AY252" s="69"/>
    </row>
    <row r="253" spans="1:51">
      <c r="A253" s="2"/>
      <c r="AY253" s="69"/>
    </row>
    <row r="254" spans="1:51">
      <c r="A254" s="2"/>
      <c r="AY254" s="69"/>
    </row>
    <row r="255" spans="1:51">
      <c r="A255" s="2"/>
      <c r="AY255" s="69"/>
    </row>
    <row r="256" spans="1:51">
      <c r="A256" s="2"/>
      <c r="AY256" s="69"/>
    </row>
    <row r="257" spans="1:51">
      <c r="A257" s="2"/>
      <c r="AY257" s="69"/>
    </row>
    <row r="258" spans="1:51">
      <c r="A258" s="2"/>
      <c r="AY258" s="69"/>
    </row>
    <row r="259" spans="1:51">
      <c r="A259" s="2"/>
      <c r="AY259" s="69"/>
    </row>
    <row r="260" spans="1:51">
      <c r="A260" s="2"/>
      <c r="AY260" s="69"/>
    </row>
    <row r="261" spans="1:51">
      <c r="A261" s="2"/>
      <c r="AY261" s="69"/>
    </row>
    <row r="262" spans="1:51">
      <c r="A262" s="2"/>
      <c r="AY262" s="69"/>
    </row>
    <row r="263" spans="1:51">
      <c r="A263" s="2"/>
      <c r="AY263" s="69"/>
    </row>
    <row r="264" spans="1:51">
      <c r="A264" s="2"/>
      <c r="AY264" s="69"/>
    </row>
    <row r="265" spans="1:51">
      <c r="A265" s="2"/>
      <c r="AY265" s="69"/>
    </row>
    <row r="266" spans="1:51">
      <c r="A266" s="2"/>
      <c r="AY266" s="69"/>
    </row>
    <row r="267" spans="1:51">
      <c r="A267" s="2"/>
      <c r="AY267" s="69"/>
    </row>
    <row r="268" spans="1:51">
      <c r="A268" s="2"/>
      <c r="AY268" s="69"/>
    </row>
    <row r="269" spans="1:51">
      <c r="A269" s="2"/>
      <c r="AY269" s="69"/>
    </row>
    <row r="270" spans="1:51">
      <c r="A270" s="2"/>
      <c r="AY270" s="69"/>
    </row>
    <row r="271" spans="1:51">
      <c r="A271" s="2"/>
      <c r="AY271" s="69"/>
    </row>
    <row r="272" spans="1:51">
      <c r="A272" s="2"/>
      <c r="AY272" s="69"/>
    </row>
    <row r="273" spans="1:51">
      <c r="A273" s="2"/>
      <c r="AY273" s="69"/>
    </row>
    <row r="274" spans="1:51">
      <c r="A274" s="2"/>
      <c r="AY274" s="69"/>
    </row>
    <row r="275" spans="1:51">
      <c r="A275" s="2"/>
      <c r="AY275" s="69"/>
    </row>
    <row r="276" spans="1:51">
      <c r="A276" s="2"/>
      <c r="AY276" s="69"/>
    </row>
    <row r="277" spans="1:51">
      <c r="A277" s="2"/>
      <c r="AY277" s="69"/>
    </row>
    <row r="278" spans="1:51">
      <c r="A278" s="2"/>
      <c r="AY278" s="69"/>
    </row>
    <row r="279" spans="1:51">
      <c r="A279" s="2"/>
      <c r="AY279" s="69"/>
    </row>
    <row r="280" spans="1:51">
      <c r="A280" s="2"/>
      <c r="AY280" s="69"/>
    </row>
    <row r="281" spans="1:51">
      <c r="A281" s="2"/>
      <c r="AY281" s="69"/>
    </row>
    <row r="282" spans="1:51">
      <c r="A282" s="2"/>
      <c r="AY282" s="69"/>
    </row>
    <row r="283" spans="1:51">
      <c r="A283" s="2"/>
      <c r="AY283" s="69"/>
    </row>
    <row r="284" spans="1:51">
      <c r="A284" s="2"/>
      <c r="AY284" s="69"/>
    </row>
    <row r="285" spans="1:51">
      <c r="A285" s="2"/>
      <c r="AY285" s="69"/>
    </row>
    <row r="286" spans="1:51">
      <c r="A286" s="2"/>
      <c r="AY286" s="69"/>
    </row>
    <row r="287" spans="1:51">
      <c r="A287" s="2"/>
      <c r="AY287" s="69"/>
    </row>
    <row r="288" spans="1:51">
      <c r="A288" s="2"/>
      <c r="AY288" s="69"/>
    </row>
    <row r="289" spans="1:51">
      <c r="A289" s="2"/>
      <c r="AY289" s="69"/>
    </row>
    <row r="290" spans="1:51">
      <c r="A290" s="2"/>
      <c r="AY290" s="69"/>
    </row>
    <row r="291" spans="1:51">
      <c r="A291" s="2"/>
      <c r="AY291" s="69"/>
    </row>
    <row r="292" spans="1:51">
      <c r="A292" s="2"/>
      <c r="AY292" s="69"/>
    </row>
    <row r="293" spans="1:51">
      <c r="A293" s="2"/>
      <c r="AY293" s="69"/>
    </row>
    <row r="294" spans="1:51">
      <c r="A294" s="2"/>
      <c r="AY294" s="69"/>
    </row>
    <row r="295" spans="1:51">
      <c r="A295" s="2"/>
      <c r="AY295" s="69"/>
    </row>
    <row r="296" spans="1:51">
      <c r="A296" s="2"/>
      <c r="AY296" s="69"/>
    </row>
    <row r="297" spans="1:51">
      <c r="A297" s="2"/>
      <c r="AY297" s="69"/>
    </row>
    <row r="298" spans="1:51">
      <c r="A298" s="2"/>
      <c r="AY298" s="69"/>
    </row>
    <row r="299" spans="1:51">
      <c r="A299" s="2"/>
      <c r="AY299" s="69"/>
    </row>
    <row r="300" spans="1:51">
      <c r="A300" s="2"/>
      <c r="AY300" s="69"/>
    </row>
    <row r="301" spans="1:51">
      <c r="A301" s="2"/>
      <c r="AY301" s="69"/>
    </row>
    <row r="302" spans="1:51">
      <c r="A302" s="2"/>
      <c r="AY302" s="69"/>
    </row>
    <row r="303" spans="1:51">
      <c r="A303" s="2"/>
      <c r="AY303" s="69"/>
    </row>
    <row r="304" spans="1:51">
      <c r="A304" s="2"/>
      <c r="AY304" s="69"/>
    </row>
    <row r="305" spans="1:51">
      <c r="A305" s="2"/>
      <c r="AY305" s="69"/>
    </row>
    <row r="306" spans="1:51">
      <c r="A306" s="2"/>
      <c r="AY306" s="69"/>
    </row>
    <row r="307" spans="1:51">
      <c r="A307" s="2"/>
      <c r="AY307" s="69"/>
    </row>
    <row r="308" spans="1:51">
      <c r="A308" s="2"/>
      <c r="AY308" s="69"/>
    </row>
    <row r="309" spans="1:51">
      <c r="A309" s="2"/>
      <c r="AY309" s="69"/>
    </row>
    <row r="310" spans="1:51">
      <c r="A310" s="2"/>
      <c r="AY310" s="69"/>
    </row>
    <row r="311" spans="1:51">
      <c r="A311" s="2"/>
      <c r="AY311" s="69"/>
    </row>
    <row r="312" spans="1:51">
      <c r="A312" s="2"/>
      <c r="AY312" s="69"/>
    </row>
    <row r="313" spans="1:51">
      <c r="A313" s="2"/>
      <c r="AY313" s="69"/>
    </row>
    <row r="314" spans="1:51">
      <c r="A314" s="2"/>
      <c r="AY314" s="69"/>
    </row>
    <row r="315" spans="1:51">
      <c r="A315" s="2"/>
      <c r="AY315" s="69"/>
    </row>
    <row r="316" spans="1:51">
      <c r="A316" s="2"/>
      <c r="AY316" s="69"/>
    </row>
    <row r="317" spans="1:51">
      <c r="A317" s="2"/>
      <c r="AY317" s="69"/>
    </row>
    <row r="318" spans="1:51">
      <c r="A318" s="2"/>
      <c r="AY318" s="69"/>
    </row>
    <row r="319" spans="1:51">
      <c r="A319" s="2"/>
      <c r="AY319" s="69"/>
    </row>
    <row r="320" spans="1:51">
      <c r="A320" s="2"/>
      <c r="AY320" s="69"/>
    </row>
    <row r="321" spans="1:51">
      <c r="A321" s="2"/>
      <c r="AY321" s="69"/>
    </row>
    <row r="322" spans="1:51">
      <c r="A322" s="2"/>
      <c r="AY322" s="69"/>
    </row>
    <row r="323" spans="1:51">
      <c r="A323" s="2"/>
      <c r="AY323" s="69"/>
    </row>
    <row r="324" spans="1:51">
      <c r="A324" s="2"/>
      <c r="AY324" s="69"/>
    </row>
    <row r="325" spans="1:51">
      <c r="A325" s="2"/>
      <c r="AY325" s="69"/>
    </row>
    <row r="326" spans="1:51">
      <c r="A326" s="2"/>
      <c r="AY326" s="69"/>
    </row>
    <row r="327" spans="1:51">
      <c r="A327" s="2"/>
      <c r="AY327" s="69"/>
    </row>
    <row r="328" spans="1:51">
      <c r="A328" s="2"/>
      <c r="AY328" s="69"/>
    </row>
    <row r="329" spans="1:51">
      <c r="A329" s="2"/>
      <c r="AY329" s="69"/>
    </row>
    <row r="330" spans="1:51">
      <c r="A330" s="2"/>
      <c r="AY330" s="69"/>
    </row>
    <row r="331" spans="1:51">
      <c r="A331" s="2"/>
      <c r="AY331" s="69"/>
    </row>
    <row r="332" spans="1:51">
      <c r="A332" s="2"/>
      <c r="AY332" s="69"/>
    </row>
    <row r="333" spans="1:51">
      <c r="A333" s="2"/>
      <c r="AY333" s="69"/>
    </row>
    <row r="334" spans="1:51">
      <c r="A334" s="2"/>
      <c r="AY334" s="69"/>
    </row>
    <row r="335" spans="1:51">
      <c r="A335" s="2"/>
      <c r="AY335" s="69"/>
    </row>
    <row r="336" spans="1:51">
      <c r="A336" s="2"/>
      <c r="AY336" s="69"/>
    </row>
    <row r="337" spans="1:51">
      <c r="A337" s="2"/>
      <c r="AY337" s="69"/>
    </row>
    <row r="338" spans="1:51">
      <c r="A338" s="2"/>
      <c r="AY338" s="69"/>
    </row>
    <row r="339" spans="1:51">
      <c r="A339" s="2"/>
      <c r="AY339" s="69"/>
    </row>
    <row r="340" spans="1:51">
      <c r="A340" s="2"/>
      <c r="AY340" s="69"/>
    </row>
    <row r="341" spans="1:51">
      <c r="A341" s="2"/>
      <c r="AY341" s="69"/>
    </row>
    <row r="342" spans="1:51">
      <c r="A342" s="2"/>
      <c r="AY342" s="69"/>
    </row>
    <row r="343" spans="1:51">
      <c r="A343" s="2"/>
      <c r="AY343" s="69"/>
    </row>
    <row r="344" spans="1:51">
      <c r="A344" s="2"/>
      <c r="AY344" s="69"/>
    </row>
    <row r="345" spans="1:51">
      <c r="A345" s="2"/>
      <c r="AY345" s="69"/>
    </row>
    <row r="346" spans="1:51">
      <c r="A346" s="2"/>
      <c r="AY346" s="69"/>
    </row>
    <row r="347" spans="1:51">
      <c r="A347" s="2"/>
      <c r="AY347" s="69"/>
    </row>
    <row r="348" spans="1:51">
      <c r="A348" s="2"/>
      <c r="AY348" s="69"/>
    </row>
    <row r="349" spans="1:51">
      <c r="A349" s="2"/>
      <c r="AY349" s="69"/>
    </row>
    <row r="350" spans="1:51">
      <c r="A350" s="2"/>
      <c r="AY350" s="69"/>
    </row>
    <row r="351" spans="1:51">
      <c r="A351" s="2"/>
      <c r="AY351" s="69"/>
    </row>
    <row r="352" spans="1:51">
      <c r="A352" s="2"/>
      <c r="AY352" s="69"/>
    </row>
    <row r="353" spans="1:51">
      <c r="A353" s="2"/>
      <c r="AY353" s="69"/>
    </row>
    <row r="354" spans="1:51">
      <c r="A354" s="2"/>
      <c r="AY354" s="69"/>
    </row>
    <row r="355" spans="1:51">
      <c r="A355" s="2"/>
      <c r="AY355" s="69"/>
    </row>
    <row r="356" spans="1:51">
      <c r="A356" s="2"/>
      <c r="AY356" s="69"/>
    </row>
    <row r="357" spans="1:51">
      <c r="A357" s="2"/>
      <c r="AY357" s="69"/>
    </row>
    <row r="358" spans="1:51">
      <c r="A358" s="2"/>
      <c r="AY358" s="69"/>
    </row>
    <row r="359" spans="1:51">
      <c r="A359" s="2"/>
      <c r="AY359" s="69"/>
    </row>
    <row r="360" spans="1:51">
      <c r="A360" s="2"/>
      <c r="AY360" s="69"/>
    </row>
    <row r="361" spans="1:51">
      <c r="A361" s="2"/>
      <c r="AY361" s="69"/>
    </row>
    <row r="362" spans="1:51">
      <c r="A362" s="2"/>
      <c r="AY362" s="69"/>
    </row>
    <row r="363" spans="1:51">
      <c r="A363" s="2"/>
      <c r="AY363" s="69"/>
    </row>
    <row r="364" spans="1:51">
      <c r="A364" s="2"/>
      <c r="AY364" s="69"/>
    </row>
    <row r="365" spans="1:51">
      <c r="A365" s="2"/>
      <c r="AY365" s="69"/>
    </row>
    <row r="366" spans="1:51">
      <c r="A366" s="2"/>
      <c r="AY366" s="69"/>
    </row>
    <row r="367" spans="1:51">
      <c r="A367" s="2"/>
      <c r="AY367" s="69"/>
    </row>
    <row r="368" spans="1:51">
      <c r="A368" s="2"/>
      <c r="AY368" s="69"/>
    </row>
    <row r="369" spans="1:51">
      <c r="A369" s="2"/>
      <c r="AY369" s="69"/>
    </row>
    <row r="370" spans="1:51">
      <c r="A370" s="2"/>
      <c r="AY370" s="69"/>
    </row>
    <row r="371" spans="1:51">
      <c r="A371" s="2"/>
      <c r="AY371" s="69"/>
    </row>
    <row r="372" spans="1:51">
      <c r="A372" s="2"/>
      <c r="AY372" s="69"/>
    </row>
    <row r="373" spans="1:51">
      <c r="A373" s="2"/>
      <c r="AY373" s="69"/>
    </row>
    <row r="374" spans="1:51">
      <c r="A374" s="2"/>
      <c r="AY374" s="69"/>
    </row>
    <row r="375" spans="1:51">
      <c r="A375" s="2"/>
      <c r="AY375" s="69"/>
    </row>
    <row r="376" spans="1:51">
      <c r="A376" s="2"/>
      <c r="AY376" s="69"/>
    </row>
    <row r="377" spans="1:51">
      <c r="A377" s="2"/>
      <c r="AY377" s="69"/>
    </row>
    <row r="378" spans="1:51">
      <c r="A378" s="2"/>
      <c r="AY378" s="69"/>
    </row>
    <row r="379" spans="1:51">
      <c r="A379" s="2"/>
      <c r="AY379" s="69"/>
    </row>
    <row r="380" spans="1:51">
      <c r="A380" s="2"/>
      <c r="AY380" s="69"/>
    </row>
    <row r="381" spans="1:51">
      <c r="A381" s="2"/>
      <c r="AY381" s="69"/>
    </row>
    <row r="382" spans="1:51">
      <c r="A382" s="2"/>
      <c r="AY382" s="69"/>
    </row>
    <row r="383" spans="1:51">
      <c r="A383" s="2"/>
      <c r="AY383" s="69"/>
    </row>
    <row r="384" spans="1:51">
      <c r="A384" s="2"/>
      <c r="AY384" s="69"/>
    </row>
    <row r="385" spans="1:51">
      <c r="A385" s="2"/>
      <c r="AY385" s="69"/>
    </row>
    <row r="386" spans="1:51">
      <c r="A386" s="2"/>
      <c r="AY386" s="69"/>
    </row>
    <row r="387" spans="1:51">
      <c r="A387" s="2"/>
      <c r="AY387" s="69"/>
    </row>
    <row r="388" spans="1:51">
      <c r="A388" s="2"/>
      <c r="AY388" s="69"/>
    </row>
    <row r="389" spans="1:51">
      <c r="A389" s="2"/>
      <c r="AY389" s="69"/>
    </row>
    <row r="390" spans="1:51">
      <c r="A390" s="2"/>
      <c r="AY390" s="69"/>
    </row>
    <row r="391" spans="1:51">
      <c r="A391" s="2"/>
      <c r="AY391" s="69"/>
    </row>
    <row r="392" spans="1:51">
      <c r="A392" s="2"/>
      <c r="AY392" s="69"/>
    </row>
    <row r="393" spans="1:51">
      <c r="A393" s="2"/>
      <c r="AY393" s="69"/>
    </row>
    <row r="394" spans="1:51">
      <c r="A394" s="2"/>
      <c r="AY394" s="69"/>
    </row>
    <row r="395" spans="1:51">
      <c r="A395" s="2"/>
      <c r="AY395" s="69"/>
    </row>
    <row r="396" spans="1:51">
      <c r="A396" s="2"/>
      <c r="AY396" s="69"/>
    </row>
    <row r="397" spans="1:51">
      <c r="A397" s="2"/>
      <c r="AY397" s="69"/>
    </row>
    <row r="398" spans="1:51">
      <c r="A398" s="2"/>
      <c r="AY398" s="69"/>
    </row>
    <row r="399" spans="1:51">
      <c r="A399" s="2"/>
      <c r="AY399" s="69"/>
    </row>
    <row r="400" spans="1:51">
      <c r="A400" s="2"/>
      <c r="AY400" s="69"/>
    </row>
    <row r="401" spans="1:51">
      <c r="A401" s="2"/>
      <c r="AY401" s="69"/>
    </row>
    <row r="402" spans="1:51">
      <c r="A402" s="2"/>
      <c r="AY402" s="69"/>
    </row>
    <row r="403" spans="1:51">
      <c r="A403" s="2"/>
      <c r="AY403" s="69"/>
    </row>
    <row r="404" spans="1:51">
      <c r="A404" s="2"/>
      <c r="AY404" s="69"/>
    </row>
    <row r="405" spans="1:51">
      <c r="A405" s="2"/>
      <c r="AY405" s="69"/>
    </row>
    <row r="406" spans="1:51">
      <c r="A406" s="2"/>
      <c r="AY406" s="69"/>
    </row>
    <row r="407" spans="1:51">
      <c r="A407" s="2"/>
      <c r="AY407" s="69"/>
    </row>
    <row r="408" spans="1:51">
      <c r="A408" s="2"/>
      <c r="AY408" s="69"/>
    </row>
    <row r="409" spans="1:51">
      <c r="A409" s="2"/>
      <c r="AY409" s="69"/>
    </row>
    <row r="410" spans="1:51">
      <c r="A410" s="2"/>
      <c r="AY410" s="69"/>
    </row>
    <row r="411" spans="1:51">
      <c r="A411" s="2"/>
      <c r="AY411" s="69"/>
    </row>
    <row r="412" spans="1:51">
      <c r="A412" s="2"/>
      <c r="AY412" s="69"/>
    </row>
    <row r="413" spans="1:51">
      <c r="A413" s="2"/>
      <c r="AY413" s="69"/>
    </row>
    <row r="414" spans="1:51">
      <c r="A414" s="2"/>
      <c r="AY414" s="69"/>
    </row>
    <row r="415" spans="1:51">
      <c r="A415" s="2"/>
      <c r="AY415" s="69"/>
    </row>
    <row r="416" spans="1:51">
      <c r="A416" s="2"/>
      <c r="AY416" s="69"/>
    </row>
    <row r="417" spans="1:51">
      <c r="A417" s="2"/>
      <c r="AY417" s="69"/>
    </row>
    <row r="418" spans="1:51">
      <c r="A418" s="2"/>
      <c r="AY418" s="69"/>
    </row>
    <row r="419" spans="1:51">
      <c r="A419" s="2"/>
      <c r="AY419" s="69"/>
    </row>
    <row r="420" spans="1:51">
      <c r="A420" s="2"/>
      <c r="AY420" s="69"/>
    </row>
    <row r="421" spans="1:51">
      <c r="A421" s="2"/>
      <c r="AY421" s="69"/>
    </row>
    <row r="422" spans="1:51">
      <c r="A422" s="2"/>
      <c r="AY422" s="69"/>
    </row>
    <row r="423" spans="1:51">
      <c r="A423" s="2"/>
      <c r="AY423" s="69"/>
    </row>
    <row r="424" spans="1:51">
      <c r="A424" s="2"/>
      <c r="AY424" s="69"/>
    </row>
    <row r="425" spans="1:51">
      <c r="A425" s="2"/>
      <c r="AY425" s="69"/>
    </row>
    <row r="426" spans="1:51">
      <c r="A426" s="2"/>
      <c r="AY426" s="69"/>
    </row>
    <row r="427" spans="1:51">
      <c r="A427" s="2"/>
      <c r="AY427" s="69"/>
    </row>
    <row r="428" spans="1:51">
      <c r="A428" s="2"/>
      <c r="AY428" s="69"/>
    </row>
    <row r="429" spans="1:51">
      <c r="A429" s="2"/>
      <c r="AY429" s="69"/>
    </row>
    <row r="430" spans="1:51">
      <c r="A430" s="2"/>
      <c r="AY430" s="69"/>
    </row>
    <row r="431" spans="1:51">
      <c r="A431" s="2"/>
      <c r="AY431" s="69"/>
    </row>
    <row r="432" spans="1:51">
      <c r="A432" s="2"/>
      <c r="AY432" s="69"/>
    </row>
    <row r="433" spans="1:51">
      <c r="A433" s="2"/>
      <c r="AY433" s="69"/>
    </row>
    <row r="434" spans="1:51">
      <c r="A434" s="2"/>
      <c r="AY434" s="69"/>
    </row>
    <row r="435" spans="1:51">
      <c r="A435" s="2"/>
      <c r="AY435" s="69"/>
    </row>
    <row r="436" spans="1:51">
      <c r="A436" s="2"/>
      <c r="AY436" s="69"/>
    </row>
    <row r="437" spans="1:51">
      <c r="A437" s="2"/>
      <c r="AY437" s="69"/>
    </row>
    <row r="438" spans="1:51">
      <c r="A438" s="2"/>
      <c r="AY438" s="69"/>
    </row>
    <row r="439" spans="1:51">
      <c r="A439" s="2"/>
      <c r="AY439" s="69"/>
    </row>
    <row r="440" spans="1:51">
      <c r="A440" s="2"/>
      <c r="AY440" s="69"/>
    </row>
    <row r="441" spans="1:51">
      <c r="A441" s="2"/>
      <c r="AY441" s="69"/>
    </row>
    <row r="442" spans="1:51">
      <c r="A442" s="2"/>
      <c r="AY442" s="69"/>
    </row>
    <row r="443" spans="1:51">
      <c r="A443" s="2"/>
      <c r="AY443" s="69"/>
    </row>
    <row r="444" spans="1:51">
      <c r="A444" s="2"/>
      <c r="AY444" s="69"/>
    </row>
    <row r="445" spans="1:51">
      <c r="A445" s="2"/>
      <c r="AY445" s="69"/>
    </row>
    <row r="446" spans="1:51">
      <c r="A446" s="2"/>
      <c r="AY446" s="69"/>
    </row>
    <row r="447" spans="1:51">
      <c r="A447" s="2"/>
      <c r="AY447" s="69"/>
    </row>
    <row r="448" spans="1:51">
      <c r="A448" s="2"/>
      <c r="AY448" s="69"/>
    </row>
    <row r="449" spans="1:51">
      <c r="A449" s="2"/>
      <c r="AY449" s="69"/>
    </row>
    <row r="450" spans="1:51">
      <c r="A450" s="2"/>
      <c r="AY450" s="69"/>
    </row>
    <row r="451" spans="1:51">
      <c r="A451" s="2"/>
      <c r="AY451" s="69"/>
    </row>
    <row r="452" spans="1:51">
      <c r="A452" s="2"/>
      <c r="AY452" s="69"/>
    </row>
    <row r="453" spans="1:51">
      <c r="A453" s="2"/>
      <c r="AY453" s="69"/>
    </row>
    <row r="454" spans="1:51">
      <c r="A454" s="2"/>
      <c r="AY454" s="69"/>
    </row>
    <row r="455" spans="1:51">
      <c r="A455" s="2"/>
      <c r="AY455" s="69"/>
    </row>
    <row r="456" spans="1:51">
      <c r="A456" s="2"/>
      <c r="AY456" s="69"/>
    </row>
    <row r="457" spans="1:51">
      <c r="A457" s="2"/>
      <c r="AY457" s="69"/>
    </row>
    <row r="458" spans="1:51">
      <c r="A458" s="2"/>
      <c r="AY458" s="69"/>
    </row>
    <row r="459" spans="1:51">
      <c r="A459" s="2"/>
      <c r="AY459" s="69"/>
    </row>
    <row r="460" spans="1:51">
      <c r="A460" s="2"/>
      <c r="AY460" s="69"/>
    </row>
    <row r="461" spans="1:51">
      <c r="A461" s="2"/>
      <c r="AY461" s="69"/>
    </row>
    <row r="462" spans="1:51">
      <c r="A462" s="2"/>
      <c r="AY462" s="69"/>
    </row>
    <row r="463" spans="1:51">
      <c r="A463" s="2"/>
      <c r="AY463" s="69"/>
    </row>
    <row r="464" spans="1:51">
      <c r="A464" s="2"/>
      <c r="AY464" s="69"/>
    </row>
    <row r="465" spans="1:51">
      <c r="A465" s="2"/>
      <c r="AY465" s="69"/>
    </row>
    <row r="466" spans="1:51">
      <c r="A466" s="2"/>
      <c r="AY466" s="69"/>
    </row>
    <row r="467" spans="1:51">
      <c r="A467" s="2"/>
      <c r="AY467" s="69"/>
    </row>
    <row r="468" spans="1:51">
      <c r="A468" s="2"/>
      <c r="AY468" s="69"/>
    </row>
    <row r="469" spans="1:51">
      <c r="A469" s="2"/>
      <c r="AY469" s="69"/>
    </row>
    <row r="470" spans="1:51">
      <c r="A470" s="2"/>
      <c r="AY470" s="69"/>
    </row>
    <row r="471" spans="1:51">
      <c r="A471" s="2"/>
      <c r="AY471" s="69"/>
    </row>
    <row r="472" spans="1:51">
      <c r="A472" s="2"/>
      <c r="AY472" s="69"/>
    </row>
    <row r="473" spans="1:51">
      <c r="A473" s="2"/>
      <c r="AY473" s="69"/>
    </row>
    <row r="474" spans="1:51">
      <c r="A474" s="2"/>
      <c r="AY474" s="69"/>
    </row>
    <row r="475" spans="1:51">
      <c r="A475" s="2"/>
      <c r="AY475" s="69"/>
    </row>
    <row r="476" spans="1:51">
      <c r="A476" s="2"/>
      <c r="AY476" s="69"/>
    </row>
    <row r="477" spans="1:51">
      <c r="A477" s="2"/>
      <c r="AY477" s="69"/>
    </row>
    <row r="478" spans="1:51">
      <c r="A478" s="2"/>
      <c r="AY478" s="69"/>
    </row>
    <row r="479" spans="1:51">
      <c r="A479" s="2"/>
      <c r="AY479" s="69"/>
    </row>
    <row r="480" spans="1:51">
      <c r="A480" s="2"/>
      <c r="AY480" s="69"/>
    </row>
    <row r="481" spans="1:51">
      <c r="A481" s="2"/>
      <c r="AY481" s="69"/>
    </row>
    <row r="482" spans="1:51">
      <c r="A482" s="2"/>
      <c r="AY482" s="69"/>
    </row>
    <row r="483" spans="1:51">
      <c r="A483" s="2"/>
      <c r="AY483" s="69"/>
    </row>
    <row r="484" spans="1:51">
      <c r="A484" s="2"/>
      <c r="AY484" s="69"/>
    </row>
    <row r="485" spans="1:51">
      <c r="A485" s="2"/>
      <c r="AY485" s="69"/>
    </row>
    <row r="486" spans="1:51">
      <c r="A486" s="2"/>
      <c r="AY486" s="69"/>
    </row>
    <row r="487" spans="1:51">
      <c r="A487" s="2"/>
      <c r="AY487" s="69"/>
    </row>
    <row r="488" spans="1:51">
      <c r="A488" s="2"/>
      <c r="AY488" s="69"/>
    </row>
    <row r="489" spans="1:51">
      <c r="A489" s="2"/>
      <c r="AY489" s="69"/>
    </row>
    <row r="490" spans="1:51">
      <c r="A490" s="2"/>
      <c r="AY490" s="69"/>
    </row>
    <row r="491" spans="1:51">
      <c r="A491" s="2"/>
      <c r="AY491" s="69"/>
    </row>
    <row r="492" spans="1:51">
      <c r="A492" s="2"/>
      <c r="AY492" s="69"/>
    </row>
    <row r="493" spans="1:51">
      <c r="A493" s="2"/>
      <c r="AY493" s="69"/>
    </row>
    <row r="494" spans="1:51">
      <c r="A494" s="2"/>
      <c r="AY494" s="69"/>
    </row>
    <row r="495" spans="1:51">
      <c r="A495" s="2"/>
      <c r="AY495" s="69"/>
    </row>
    <row r="496" spans="1:51">
      <c r="A496" s="2"/>
      <c r="AY496" s="69"/>
    </row>
    <row r="497" spans="1:51">
      <c r="A497" s="2"/>
      <c r="AY497" s="69"/>
    </row>
    <row r="498" spans="1:51">
      <c r="A498" s="2"/>
      <c r="AY498" s="69"/>
    </row>
    <row r="499" spans="1:51">
      <c r="A499" s="2"/>
      <c r="AY499" s="69"/>
    </row>
    <row r="500" spans="1:51">
      <c r="A500" s="2"/>
      <c r="AY500" s="69"/>
    </row>
    <row r="501" spans="1:51">
      <c r="A501" s="2"/>
      <c r="AY501" s="69"/>
    </row>
    <row r="502" spans="1:51">
      <c r="A502" s="2"/>
      <c r="AY502" s="69"/>
    </row>
    <row r="503" spans="1:51">
      <c r="A503" s="2"/>
      <c r="AY503" s="69"/>
    </row>
    <row r="504" spans="1:51">
      <c r="A504" s="2"/>
      <c r="AY504" s="69"/>
    </row>
    <row r="505" spans="1:51">
      <c r="A505" s="2"/>
      <c r="AY505" s="69"/>
    </row>
    <row r="506" spans="1:51">
      <c r="A506" s="2"/>
      <c r="AY506" s="69"/>
    </row>
    <row r="507" spans="1:51">
      <c r="A507" s="2"/>
      <c r="AY507" s="69"/>
    </row>
    <row r="508" spans="1:51">
      <c r="A508" s="2"/>
      <c r="AY508" s="69"/>
    </row>
    <row r="509" spans="1:51">
      <c r="A509" s="2"/>
      <c r="AY509" s="69"/>
    </row>
    <row r="510" spans="1:51">
      <c r="A510" s="2"/>
      <c r="AY510" s="69"/>
    </row>
    <row r="511" spans="1:51">
      <c r="A511" s="2"/>
      <c r="AY511" s="69"/>
    </row>
    <row r="512" spans="1:51">
      <c r="A512" s="2"/>
      <c r="AY512" s="69"/>
    </row>
    <row r="513" spans="1:51">
      <c r="A513" s="2"/>
      <c r="AY513" s="69"/>
    </row>
    <row r="514" spans="1:51">
      <c r="A514" s="2"/>
      <c r="AY514" s="69"/>
    </row>
    <row r="515" spans="1:51">
      <c r="A515" s="2"/>
      <c r="AY515" s="69"/>
    </row>
    <row r="516" spans="1:51">
      <c r="A516" s="2"/>
      <c r="AY516" s="69"/>
    </row>
    <row r="517" spans="1:51">
      <c r="A517" s="2"/>
      <c r="AY517" s="69"/>
    </row>
    <row r="518" spans="1:51">
      <c r="A518" s="2"/>
      <c r="AY518" s="69"/>
    </row>
    <row r="519" spans="1:51">
      <c r="A519" s="2"/>
      <c r="AY519" s="69"/>
    </row>
    <row r="520" spans="1:51">
      <c r="A520" s="2"/>
      <c r="AY520" s="69"/>
    </row>
    <row r="521" spans="1:51">
      <c r="A521" s="2"/>
      <c r="AY521" s="69"/>
    </row>
    <row r="522" spans="1:51">
      <c r="A522" s="2"/>
      <c r="AY522" s="69"/>
    </row>
    <row r="523" spans="1:51">
      <c r="A523" s="2"/>
      <c r="AY523" s="69"/>
    </row>
    <row r="524" spans="1:51">
      <c r="A524" s="2"/>
      <c r="AY524" s="69"/>
    </row>
    <row r="525" spans="1:51">
      <c r="A525" s="2"/>
      <c r="AY525" s="69"/>
    </row>
    <row r="526" spans="1:51">
      <c r="A526" s="2"/>
      <c r="AY526" s="69"/>
    </row>
    <row r="527" spans="1:51">
      <c r="A527" s="2"/>
      <c r="AY527" s="69"/>
    </row>
    <row r="528" spans="1:51">
      <c r="A528" s="2"/>
      <c r="AY528" s="69"/>
    </row>
    <row r="529" spans="1:51">
      <c r="A529" s="2"/>
      <c r="AY529" s="69"/>
    </row>
    <row r="530" spans="1:51">
      <c r="A530" s="2"/>
      <c r="AY530" s="69"/>
    </row>
    <row r="531" spans="1:51">
      <c r="A531" s="2"/>
      <c r="AY531" s="69"/>
    </row>
    <row r="532" spans="1:51">
      <c r="A532" s="2"/>
      <c r="AY532" s="69"/>
    </row>
    <row r="533" spans="1:51">
      <c r="A533" s="2"/>
      <c r="AY533" s="69"/>
    </row>
    <row r="534" spans="1:51">
      <c r="A534" s="2"/>
      <c r="AY534" s="69"/>
    </row>
    <row r="535" spans="1:51">
      <c r="A535" s="2"/>
      <c r="AY535" s="69"/>
    </row>
    <row r="536" spans="1:51">
      <c r="A536" s="2"/>
      <c r="AY536" s="69"/>
    </row>
    <row r="537" spans="1:51">
      <c r="A537" s="2"/>
      <c r="AY537" s="69"/>
    </row>
    <row r="538" spans="1:51">
      <c r="A538" s="2"/>
      <c r="AY538" s="69"/>
    </row>
    <row r="539" spans="1:51">
      <c r="A539" s="2"/>
      <c r="AY539" s="69"/>
    </row>
    <row r="540" spans="1:51">
      <c r="A540" s="2"/>
      <c r="AY540" s="69"/>
    </row>
    <row r="541" spans="1:51">
      <c r="A541" s="2"/>
      <c r="AY541" s="69"/>
    </row>
    <row r="542" spans="1:51">
      <c r="A542" s="2"/>
      <c r="AY542" s="69"/>
    </row>
    <row r="543" spans="1:51">
      <c r="A543" s="2"/>
      <c r="AY543" s="69"/>
    </row>
    <row r="544" spans="1:51">
      <c r="A544" s="2"/>
      <c r="AY544" s="69"/>
    </row>
    <row r="545" spans="1:51">
      <c r="A545" s="2"/>
      <c r="AY545" s="69"/>
    </row>
    <row r="546" spans="1:51">
      <c r="A546" s="2"/>
      <c r="AY546" s="69"/>
    </row>
    <row r="547" spans="1:51">
      <c r="A547" s="2"/>
      <c r="AY547" s="69"/>
    </row>
    <row r="548" spans="1:51">
      <c r="A548" s="2"/>
      <c r="AY548" s="69"/>
    </row>
    <row r="549" spans="1:51">
      <c r="A549" s="2"/>
      <c r="AY549" s="69"/>
    </row>
    <row r="550" spans="1:51">
      <c r="A550" s="2"/>
      <c r="AY550" s="69"/>
    </row>
    <row r="551" spans="1:51">
      <c r="A551" s="2"/>
      <c r="AY551" s="69"/>
    </row>
    <row r="552" spans="1:51">
      <c r="A552" s="2"/>
      <c r="AY552" s="69"/>
    </row>
    <row r="553" spans="1:51">
      <c r="A553" s="2"/>
      <c r="AY553" s="69"/>
    </row>
    <row r="554" spans="1:51">
      <c r="A554" s="2"/>
      <c r="AY554" s="69"/>
    </row>
    <row r="555" spans="1:51">
      <c r="A555" s="2"/>
      <c r="AY555" s="69"/>
    </row>
    <row r="556" spans="1:51">
      <c r="A556" s="2"/>
      <c r="AY556" s="69"/>
    </row>
    <row r="557" spans="1:51">
      <c r="A557" s="2"/>
      <c r="AY557" s="69"/>
    </row>
    <row r="558" spans="1:51">
      <c r="A558" s="2"/>
      <c r="AY558" s="69"/>
    </row>
    <row r="559" spans="1:51">
      <c r="A559" s="2"/>
      <c r="AY559" s="69"/>
    </row>
    <row r="560" spans="1:51">
      <c r="A560" s="2"/>
      <c r="AY560" s="69"/>
    </row>
    <row r="561" spans="1:51">
      <c r="A561" s="2"/>
      <c r="AY561" s="69"/>
    </row>
    <row r="562" spans="1:51">
      <c r="A562" s="2"/>
      <c r="AY562" s="69"/>
    </row>
    <row r="563" spans="1:51">
      <c r="A563" s="2"/>
      <c r="AY563" s="69"/>
    </row>
    <row r="564" spans="1:51">
      <c r="A564" s="2"/>
      <c r="AY564" s="69"/>
    </row>
    <row r="565" spans="1:51">
      <c r="A565" s="2"/>
      <c r="AY565" s="69"/>
    </row>
    <row r="566" spans="1:51">
      <c r="A566" s="2"/>
      <c r="AY566" s="69"/>
    </row>
    <row r="567" spans="1:51">
      <c r="A567" s="2"/>
      <c r="AY567" s="69"/>
    </row>
    <row r="568" spans="1:51">
      <c r="A568" s="2"/>
      <c r="AY568" s="69"/>
    </row>
    <row r="569" spans="1:51">
      <c r="A569" s="2"/>
      <c r="AY569" s="69"/>
    </row>
    <row r="570" spans="1:51">
      <c r="A570" s="2"/>
      <c r="AY570" s="69"/>
    </row>
    <row r="571" spans="1:51">
      <c r="A571" s="2"/>
      <c r="AY571" s="69"/>
    </row>
    <row r="572" spans="1:51">
      <c r="A572" s="2"/>
      <c r="AY572" s="69"/>
    </row>
    <row r="573" spans="1:51">
      <c r="A573" s="2"/>
      <c r="AY573" s="69"/>
    </row>
    <row r="574" spans="1:51">
      <c r="A574" s="2"/>
      <c r="AY574" s="69"/>
    </row>
    <row r="575" spans="1:51">
      <c r="A575" s="2"/>
      <c r="AY575" s="69"/>
    </row>
    <row r="576" spans="1:51">
      <c r="A576" s="2"/>
      <c r="AY576" s="69"/>
    </row>
    <row r="577" spans="1:51">
      <c r="A577" s="2"/>
      <c r="AY577" s="69"/>
    </row>
    <row r="578" spans="1:51">
      <c r="A578" s="2"/>
      <c r="AY578" s="69"/>
    </row>
    <row r="579" spans="1:51">
      <c r="A579" s="2"/>
      <c r="AY579" s="69"/>
    </row>
    <row r="580" spans="1:51">
      <c r="A580" s="2"/>
      <c r="AY580" s="69"/>
    </row>
    <row r="581" spans="1:51">
      <c r="A581" s="2"/>
      <c r="AY581" s="69"/>
    </row>
    <row r="582" spans="1:51">
      <c r="A582" s="2"/>
      <c r="AY582" s="69"/>
    </row>
    <row r="583" spans="1:51">
      <c r="A583" s="2"/>
      <c r="AY583" s="69"/>
    </row>
    <row r="584" spans="1:51">
      <c r="A584" s="2"/>
      <c r="AY584" s="69"/>
    </row>
    <row r="585" spans="1:51">
      <c r="A585" s="2"/>
      <c r="AY585" s="69"/>
    </row>
    <row r="586" spans="1:51">
      <c r="A586" s="2"/>
      <c r="AY586" s="69"/>
    </row>
    <row r="587" spans="1:51">
      <c r="A587" s="2"/>
      <c r="AY587" s="69"/>
    </row>
    <row r="588" spans="1:51">
      <c r="A588" s="2"/>
      <c r="AY588" s="69"/>
    </row>
    <row r="589" spans="1:51">
      <c r="A589" s="2"/>
      <c r="AY589" s="69"/>
    </row>
    <row r="590" spans="1:51">
      <c r="A590" s="2"/>
      <c r="AY590" s="69"/>
    </row>
    <row r="591" spans="1:51">
      <c r="A591" s="2"/>
      <c r="AY591" s="69"/>
    </row>
    <row r="592" spans="1:51">
      <c r="A592" s="2"/>
      <c r="AY592" s="69"/>
    </row>
    <row r="593" spans="1:51">
      <c r="A593" s="2"/>
      <c r="AY593" s="69"/>
    </row>
    <row r="594" spans="1:51">
      <c r="A594" s="2"/>
      <c r="AY594" s="69"/>
    </row>
    <row r="595" spans="1:51">
      <c r="A595" s="2"/>
      <c r="AY595" s="69"/>
    </row>
    <row r="596" spans="1:51">
      <c r="A596" s="2"/>
      <c r="AY596" s="69"/>
    </row>
    <row r="597" spans="1:51">
      <c r="A597" s="2"/>
      <c r="AY597" s="69"/>
    </row>
    <row r="598" spans="1:51">
      <c r="A598" s="2"/>
      <c r="AY598" s="69"/>
    </row>
    <row r="599" spans="1:51">
      <c r="A599" s="2"/>
      <c r="AY599" s="69"/>
    </row>
    <row r="600" spans="1:51">
      <c r="A600" s="2"/>
      <c r="AY600" s="69"/>
    </row>
    <row r="601" spans="1:51">
      <c r="A601" s="2"/>
      <c r="AY601" s="69"/>
    </row>
    <row r="602" spans="1:51">
      <c r="A602" s="2"/>
      <c r="AY602" s="69"/>
    </row>
    <row r="603" spans="1:51">
      <c r="A603" s="2"/>
      <c r="AY603" s="69"/>
    </row>
    <row r="604" spans="1:51">
      <c r="A604" s="2"/>
      <c r="AY604" s="69"/>
    </row>
    <row r="605" spans="1:51">
      <c r="A605" s="2"/>
      <c r="AY605" s="69"/>
    </row>
    <row r="606" spans="1:51">
      <c r="A606" s="2"/>
      <c r="AY606" s="69"/>
    </row>
    <row r="607" spans="1:51">
      <c r="A607" s="2"/>
      <c r="AY607" s="69"/>
    </row>
    <row r="608" spans="1:51">
      <c r="A608" s="2"/>
      <c r="AY608" s="69"/>
    </row>
    <row r="609" spans="1:51">
      <c r="A609" s="2"/>
      <c r="AY609" s="69"/>
    </row>
    <row r="610" spans="1:51">
      <c r="A610" s="2"/>
      <c r="AY610" s="69"/>
    </row>
    <row r="611" spans="1:51">
      <c r="A611" s="2"/>
      <c r="AY611" s="69"/>
    </row>
    <row r="612" spans="1:51">
      <c r="A612" s="2"/>
      <c r="AY612" s="69"/>
    </row>
    <row r="613" spans="1:51">
      <c r="A613" s="2"/>
      <c r="AY613" s="69"/>
    </row>
    <row r="614" spans="1:51">
      <c r="A614" s="2"/>
      <c r="AY614" s="69"/>
    </row>
    <row r="615" spans="1:51">
      <c r="A615" s="2"/>
      <c r="AY615" s="69"/>
    </row>
    <row r="616" spans="1:51">
      <c r="A616" s="2"/>
      <c r="AY616" s="69"/>
    </row>
    <row r="617" spans="1:51">
      <c r="A617" s="2"/>
      <c r="AY617" s="69"/>
    </row>
    <row r="618" spans="1:51">
      <c r="A618" s="2"/>
      <c r="AY618" s="69"/>
    </row>
    <row r="619" spans="1:51">
      <c r="A619" s="2"/>
      <c r="AY619" s="69"/>
    </row>
    <row r="620" spans="1:51">
      <c r="A620" s="2"/>
      <c r="AY620" s="69"/>
    </row>
    <row r="621" spans="1:51">
      <c r="A621" s="2"/>
      <c r="AY621" s="69"/>
    </row>
    <row r="622" spans="1:51">
      <c r="A622" s="2"/>
      <c r="AY622" s="69"/>
    </row>
    <row r="623" spans="1:51">
      <c r="A623" s="2"/>
      <c r="AY623" s="69"/>
    </row>
    <row r="624" spans="1:51">
      <c r="A624" s="2"/>
      <c r="AY624" s="69"/>
    </row>
    <row r="625" spans="1:51">
      <c r="A625" s="2"/>
      <c r="AY625" s="69"/>
    </row>
    <row r="626" spans="1:51">
      <c r="A626" s="2"/>
      <c r="AY626" s="69"/>
    </row>
    <row r="627" spans="1:51">
      <c r="A627" s="2"/>
      <c r="AY627" s="69"/>
    </row>
    <row r="628" spans="1:51">
      <c r="A628" s="2"/>
      <c r="AY628" s="69"/>
    </row>
    <row r="629" spans="1:51">
      <c r="A629" s="2"/>
      <c r="AY629" s="69"/>
    </row>
    <row r="630" spans="1:51">
      <c r="A630" s="2"/>
      <c r="AY630" s="69"/>
    </row>
    <row r="631" spans="1:51">
      <c r="A631" s="2"/>
      <c r="AY631" s="69"/>
    </row>
    <row r="632" spans="1:51">
      <c r="A632" s="2"/>
      <c r="AY632" s="69"/>
    </row>
    <row r="633" spans="1:51">
      <c r="A633" s="2"/>
      <c r="AY633" s="69"/>
    </row>
    <row r="634" spans="1:51">
      <c r="A634" s="2"/>
      <c r="AY634" s="69"/>
    </row>
    <row r="635" spans="1:51">
      <c r="A635" s="2"/>
      <c r="AY635" s="69"/>
    </row>
    <row r="636" spans="1:51">
      <c r="A636" s="2"/>
      <c r="AY636" s="69"/>
    </row>
    <row r="637" spans="1:51">
      <c r="A637" s="2"/>
      <c r="AY637" s="69"/>
    </row>
    <row r="638" spans="1:51">
      <c r="A638" s="2"/>
      <c r="AY638" s="69"/>
    </row>
    <row r="639" spans="1:51">
      <c r="A639" s="2"/>
      <c r="AY639" s="69"/>
    </row>
    <row r="640" spans="1:51">
      <c r="A640" s="2"/>
      <c r="AY640" s="69"/>
    </row>
    <row r="641" spans="1:51">
      <c r="A641" s="2"/>
      <c r="AY641" s="69"/>
    </row>
    <row r="642" spans="1:51">
      <c r="A642" s="2"/>
      <c r="AY642" s="69"/>
    </row>
    <row r="643" spans="1:51">
      <c r="A643" s="2"/>
      <c r="AY643" s="69"/>
    </row>
    <row r="644" spans="1:51">
      <c r="A644" s="2"/>
      <c r="AY644" s="69"/>
    </row>
    <row r="645" spans="1:51">
      <c r="A645" s="2"/>
      <c r="AY645" s="69"/>
    </row>
    <row r="646" spans="1:51">
      <c r="A646" s="2"/>
      <c r="AY646" s="69"/>
    </row>
    <row r="647" spans="1:51">
      <c r="A647" s="2"/>
      <c r="AY647" s="69"/>
    </row>
    <row r="648" spans="1:51">
      <c r="A648" s="2"/>
      <c r="AY648" s="69"/>
    </row>
    <row r="649" spans="1:51">
      <c r="A649" s="2"/>
      <c r="AY649" s="69"/>
    </row>
    <row r="650" spans="1:51">
      <c r="A650" s="2"/>
      <c r="AY650" s="69"/>
    </row>
    <row r="651" spans="1:51">
      <c r="A651" s="2"/>
      <c r="AY651" s="69"/>
    </row>
    <row r="652" spans="1:51">
      <c r="A652" s="2"/>
      <c r="AY652" s="69"/>
    </row>
    <row r="653" spans="1:51">
      <c r="A653" s="2"/>
      <c r="AY653" s="69"/>
    </row>
    <row r="654" spans="1:51">
      <c r="A654" s="2"/>
      <c r="AY654" s="69"/>
    </row>
    <row r="655" spans="1:51">
      <c r="A655" s="2"/>
      <c r="AY655" s="69"/>
    </row>
    <row r="656" spans="1:51">
      <c r="A656" s="2"/>
      <c r="AY656" s="69"/>
    </row>
    <row r="657" spans="1:51">
      <c r="A657" s="2"/>
      <c r="AY657" s="69"/>
    </row>
    <row r="658" spans="1:51">
      <c r="A658" s="2"/>
      <c r="AY658" s="69"/>
    </row>
    <row r="659" spans="1:51">
      <c r="A659" s="2"/>
      <c r="AY659" s="69"/>
    </row>
    <row r="660" spans="1:51">
      <c r="A660" s="2"/>
      <c r="AY660" s="69"/>
    </row>
    <row r="661" spans="1:51">
      <c r="A661" s="2"/>
      <c r="AY661" s="69"/>
    </row>
    <row r="662" spans="1:51">
      <c r="A662" s="2"/>
      <c r="AY662" s="69"/>
    </row>
    <row r="663" spans="1:51">
      <c r="A663" s="2"/>
      <c r="AY663" s="69"/>
    </row>
    <row r="664" spans="1:51">
      <c r="A664" s="2"/>
      <c r="AY664" s="69"/>
    </row>
    <row r="665" spans="1:51">
      <c r="A665" s="2"/>
      <c r="AY665" s="69"/>
    </row>
    <row r="666" spans="1:51">
      <c r="A666" s="2"/>
      <c r="AY666" s="69"/>
    </row>
    <row r="667" spans="1:51">
      <c r="A667" s="2"/>
      <c r="AY667" s="69"/>
    </row>
    <row r="668" spans="1:51">
      <c r="A668" s="2"/>
      <c r="AY668" s="69"/>
    </row>
    <row r="669" spans="1:51">
      <c r="A669" s="2"/>
      <c r="AY669" s="69"/>
    </row>
    <row r="670" spans="1:51">
      <c r="A670" s="2"/>
      <c r="AY670" s="69"/>
    </row>
    <row r="671" spans="1:51">
      <c r="A671" s="2"/>
      <c r="AY671" s="69"/>
    </row>
    <row r="672" spans="1:51">
      <c r="A672" s="2"/>
      <c r="AY672" s="69"/>
    </row>
    <row r="673" spans="1:51">
      <c r="A673" s="2"/>
      <c r="AY673" s="69"/>
    </row>
    <row r="674" spans="1:51">
      <c r="A674" s="2"/>
      <c r="AY674" s="69"/>
    </row>
    <row r="675" spans="1:51">
      <c r="A675" s="2"/>
      <c r="AY675" s="69"/>
    </row>
    <row r="676" spans="1:51">
      <c r="A676" s="2"/>
      <c r="AY676" s="69"/>
    </row>
    <row r="677" spans="1:51">
      <c r="A677" s="2"/>
      <c r="AY677" s="69"/>
    </row>
    <row r="678" spans="1:51">
      <c r="A678" s="2"/>
      <c r="AY678" s="69"/>
    </row>
    <row r="679" spans="1:51">
      <c r="A679" s="2"/>
      <c r="AY679" s="69"/>
    </row>
    <row r="680" spans="1:51">
      <c r="A680" s="2"/>
      <c r="AY680" s="69"/>
    </row>
    <row r="681" spans="1:51">
      <c r="A681" s="2"/>
      <c r="AY681" s="69"/>
    </row>
    <row r="682" spans="1:51">
      <c r="A682" s="2"/>
      <c r="AY682" s="69"/>
    </row>
    <row r="683" spans="1:51">
      <c r="A683" s="2"/>
      <c r="AY683" s="69"/>
    </row>
    <row r="684" spans="1:51">
      <c r="A684" s="2"/>
      <c r="AY684" s="69"/>
    </row>
    <row r="685" spans="1:51">
      <c r="A685" s="2"/>
      <c r="AY685" s="69"/>
    </row>
    <row r="686" spans="1:51">
      <c r="A686" s="2"/>
      <c r="AY686" s="69"/>
    </row>
    <row r="687" spans="1:51">
      <c r="A687" s="2"/>
      <c r="AY687" s="69"/>
    </row>
    <row r="688" spans="1:51">
      <c r="A688" s="2"/>
      <c r="AY688" s="69"/>
    </row>
    <row r="689" spans="1:51">
      <c r="A689" s="2"/>
      <c r="AY689" s="69"/>
    </row>
    <row r="690" spans="1:51">
      <c r="A690" s="2"/>
      <c r="AY690" s="69"/>
    </row>
    <row r="691" spans="1:51">
      <c r="A691" s="2"/>
      <c r="AY691" s="69"/>
    </row>
    <row r="692" spans="1:51">
      <c r="A692" s="2"/>
      <c r="AY692" s="69"/>
    </row>
    <row r="693" spans="1:51">
      <c r="A693" s="2"/>
      <c r="AY693" s="69"/>
    </row>
    <row r="694" spans="1:51">
      <c r="A694" s="2"/>
      <c r="AY694" s="69"/>
    </row>
    <row r="695" spans="1:51">
      <c r="A695" s="2"/>
      <c r="AY695" s="69"/>
    </row>
    <row r="696" spans="1:51">
      <c r="A696" s="2"/>
      <c r="AY696" s="69"/>
    </row>
    <row r="697" spans="1:51">
      <c r="A697" s="2"/>
      <c r="AY697" s="69"/>
    </row>
    <row r="698" spans="1:51">
      <c r="A698" s="2"/>
      <c r="AY698" s="69"/>
    </row>
    <row r="699" spans="1:51">
      <c r="A699" s="2"/>
      <c r="AY699" s="69"/>
    </row>
    <row r="700" spans="1:51">
      <c r="A700" s="2"/>
      <c r="AY700" s="69"/>
    </row>
    <row r="701" spans="1:51">
      <c r="A701" s="2"/>
      <c r="AY701" s="69"/>
    </row>
    <row r="702" spans="1:51">
      <c r="A702" s="2"/>
      <c r="AY702" s="69"/>
    </row>
    <row r="703" spans="1:51">
      <c r="A703" s="2"/>
      <c r="AY703" s="69"/>
    </row>
    <row r="704" spans="1:51">
      <c r="A704" s="2"/>
      <c r="AY704" s="69"/>
    </row>
    <row r="705" spans="1:51">
      <c r="A705" s="2"/>
      <c r="AY705" s="69"/>
    </row>
    <row r="706" spans="1:51">
      <c r="A706" s="2"/>
      <c r="AY706" s="69"/>
    </row>
    <row r="707" spans="1:51">
      <c r="A707" s="2"/>
      <c r="AY707" s="69"/>
    </row>
    <row r="708" spans="1:51">
      <c r="A708" s="2"/>
      <c r="AY708" s="69"/>
    </row>
    <row r="709" spans="1:51">
      <c r="A709" s="2"/>
      <c r="AY709" s="69"/>
    </row>
    <row r="710" spans="1:51">
      <c r="A710" s="2"/>
      <c r="AY710" s="69"/>
    </row>
    <row r="711" spans="1:51">
      <c r="A711" s="2"/>
      <c r="AY711" s="69"/>
    </row>
    <row r="712" spans="1:51">
      <c r="A712" s="2"/>
      <c r="AY712" s="69"/>
    </row>
    <row r="713" spans="1:51">
      <c r="A713" s="2"/>
      <c r="AY713" s="69"/>
    </row>
    <row r="714" spans="1:51">
      <c r="A714" s="2"/>
      <c r="AY714" s="69"/>
    </row>
    <row r="715" spans="1:51">
      <c r="A715" s="2"/>
      <c r="AY715" s="69"/>
    </row>
    <row r="716" spans="1:51">
      <c r="A716" s="2"/>
      <c r="AY716" s="69"/>
    </row>
    <row r="717" spans="1:51">
      <c r="A717" s="2"/>
      <c r="AY717" s="69"/>
    </row>
    <row r="718" spans="1:51">
      <c r="A718" s="2"/>
      <c r="AY718" s="69"/>
    </row>
    <row r="719" spans="1:51">
      <c r="A719" s="2"/>
      <c r="AY719" s="69"/>
    </row>
    <row r="720" spans="1:51">
      <c r="A720" s="2"/>
      <c r="AY720" s="69"/>
    </row>
    <row r="721" spans="1:51">
      <c r="A721" s="2"/>
      <c r="AY721" s="69"/>
    </row>
    <row r="722" spans="1:51">
      <c r="A722" s="2"/>
      <c r="AY722" s="69"/>
    </row>
    <row r="723" spans="1:51">
      <c r="A723" s="2"/>
      <c r="AY723" s="69"/>
    </row>
    <row r="724" spans="1:51">
      <c r="A724" s="2"/>
      <c r="AY724" s="69"/>
    </row>
    <row r="725" spans="1:51">
      <c r="A725" s="2"/>
      <c r="AY725" s="69"/>
    </row>
    <row r="726" spans="1:51">
      <c r="A726" s="2"/>
      <c r="AY726" s="69"/>
    </row>
    <row r="727" spans="1:51">
      <c r="A727" s="2"/>
      <c r="AY727" s="69"/>
    </row>
    <row r="728" spans="1:51">
      <c r="A728" s="2"/>
      <c r="AY728" s="69"/>
    </row>
    <row r="729" spans="1:51">
      <c r="A729" s="2"/>
      <c r="AY729" s="69"/>
    </row>
    <row r="730" spans="1:51">
      <c r="A730" s="2"/>
      <c r="AY730" s="69"/>
    </row>
    <row r="731" spans="1:51">
      <c r="A731" s="2"/>
      <c r="AY731" s="69"/>
    </row>
    <row r="732" spans="1:51">
      <c r="A732" s="2"/>
      <c r="AY732" s="69"/>
    </row>
    <row r="733" spans="1:51">
      <c r="A733" s="2"/>
      <c r="AY733" s="69"/>
    </row>
    <row r="734" spans="1:51">
      <c r="A734" s="2"/>
      <c r="AY734" s="69"/>
    </row>
    <row r="735" spans="1:51">
      <c r="A735" s="2"/>
      <c r="AY735" s="69"/>
    </row>
    <row r="736" spans="1:51">
      <c r="A736" s="2"/>
      <c r="AY736" s="69"/>
    </row>
    <row r="737" spans="1:51">
      <c r="A737" s="2"/>
      <c r="AY737" s="69"/>
    </row>
    <row r="738" spans="1:51">
      <c r="A738" s="2"/>
      <c r="AY738" s="69"/>
    </row>
    <row r="739" spans="1:51">
      <c r="A739" s="2"/>
      <c r="AY739" s="69"/>
    </row>
    <row r="740" spans="1:51">
      <c r="A740" s="2"/>
      <c r="AY740" s="69"/>
    </row>
    <row r="741" spans="1:51">
      <c r="A741" s="2"/>
      <c r="AY741" s="69"/>
    </row>
    <row r="742" spans="1:51">
      <c r="A742" s="2"/>
      <c r="AY742" s="69"/>
    </row>
    <row r="743" spans="1:51">
      <c r="A743" s="2"/>
      <c r="AY743" s="69"/>
    </row>
    <row r="744" spans="1:51">
      <c r="A744" s="2"/>
      <c r="AY744" s="69"/>
    </row>
    <row r="745" spans="1:51">
      <c r="A745" s="2"/>
      <c r="AY745" s="69"/>
    </row>
    <row r="746" spans="1:51">
      <c r="A746" s="2"/>
      <c r="AY746" s="69"/>
    </row>
    <row r="747" spans="1:51">
      <c r="A747" s="2"/>
      <c r="AY747" s="69"/>
    </row>
    <row r="748" spans="1:51">
      <c r="A748" s="2"/>
      <c r="AY748" s="69"/>
    </row>
    <row r="749" spans="1:51">
      <c r="A749" s="2"/>
      <c r="AY749" s="69"/>
    </row>
    <row r="750" spans="1:51">
      <c r="A750" s="2"/>
      <c r="AY750" s="69"/>
    </row>
    <row r="751" spans="1:51">
      <c r="A751" s="2"/>
      <c r="AY751" s="69"/>
    </row>
    <row r="752" spans="1:51">
      <c r="A752" s="2"/>
      <c r="AY752" s="69"/>
    </row>
    <row r="753" spans="1:51">
      <c r="A753" s="2"/>
      <c r="AY753" s="69"/>
    </row>
    <row r="754" spans="1:51">
      <c r="A754" s="2"/>
      <c r="AY754" s="69"/>
    </row>
    <row r="755" spans="1:51">
      <c r="A755" s="2"/>
      <c r="AY755" s="69"/>
    </row>
    <row r="756" spans="1:51">
      <c r="A756" s="2"/>
      <c r="AY756" s="69"/>
    </row>
    <row r="757" spans="1:51">
      <c r="A757" s="2"/>
      <c r="AY757" s="69"/>
    </row>
    <row r="758" spans="1:51">
      <c r="A758" s="2"/>
      <c r="AY758" s="69"/>
    </row>
    <row r="759" spans="1:51">
      <c r="A759" s="2"/>
      <c r="AY759" s="69"/>
    </row>
    <row r="760" spans="1:51">
      <c r="A760" s="2"/>
      <c r="AY760" s="69"/>
    </row>
    <row r="761" spans="1:51">
      <c r="A761" s="2"/>
      <c r="AY761" s="69"/>
    </row>
    <row r="762" spans="1:51">
      <c r="A762" s="2"/>
      <c r="AY762" s="69"/>
    </row>
    <row r="763" spans="1:51">
      <c r="A763" s="2"/>
      <c r="AY763" s="69"/>
    </row>
    <row r="764" spans="1:51">
      <c r="A764" s="2"/>
      <c r="AY764" s="69"/>
    </row>
    <row r="765" spans="1:51">
      <c r="A765" s="2"/>
      <c r="AY765" s="69"/>
    </row>
    <row r="766" spans="1:51">
      <c r="A766" s="2"/>
      <c r="AY766" s="69"/>
    </row>
    <row r="767" spans="1:51">
      <c r="A767" s="2"/>
      <c r="AY767" s="69"/>
    </row>
    <row r="768" spans="1:51">
      <c r="A768" s="2"/>
      <c r="AY768" s="69"/>
    </row>
    <row r="769" spans="1:51">
      <c r="A769" s="2"/>
      <c r="AY769" s="69"/>
    </row>
    <row r="770" spans="1:51">
      <c r="A770" s="2"/>
      <c r="AY770" s="69"/>
    </row>
    <row r="771" spans="1:51">
      <c r="A771" s="2"/>
      <c r="AY771" s="69"/>
    </row>
    <row r="772" spans="1:51">
      <c r="A772" s="2"/>
      <c r="AY772" s="69"/>
    </row>
    <row r="773" spans="1:51">
      <c r="A773" s="2"/>
      <c r="AY773" s="69"/>
    </row>
    <row r="774" spans="1:51">
      <c r="A774" s="2"/>
      <c r="AY774" s="69"/>
    </row>
    <row r="775" spans="1:51">
      <c r="A775" s="2"/>
      <c r="AY775" s="69"/>
    </row>
    <row r="776" spans="1:51">
      <c r="A776" s="2"/>
      <c r="AY776" s="69"/>
    </row>
    <row r="777" spans="1:51">
      <c r="A777" s="2"/>
      <c r="AY777" s="69"/>
    </row>
    <row r="778" spans="1:51">
      <c r="A778" s="2"/>
      <c r="AY778" s="69"/>
    </row>
    <row r="779" spans="1:51">
      <c r="A779" s="2"/>
      <c r="AY779" s="69"/>
    </row>
    <row r="780" spans="1:51">
      <c r="A780" s="2"/>
      <c r="AY780" s="69"/>
    </row>
    <row r="781" spans="1:51">
      <c r="A781" s="2"/>
      <c r="AY781" s="69"/>
    </row>
    <row r="782" spans="1:51">
      <c r="A782" s="2"/>
      <c r="AY782" s="69"/>
    </row>
    <row r="783" spans="1:51">
      <c r="A783" s="2"/>
      <c r="AY783" s="69"/>
    </row>
    <row r="784" spans="1:51">
      <c r="A784" s="2"/>
      <c r="AY784" s="69"/>
    </row>
    <row r="785" spans="1:51">
      <c r="A785" s="2"/>
      <c r="AY785" s="69"/>
    </row>
    <row r="786" spans="1:51">
      <c r="A786" s="2"/>
      <c r="AY786" s="69"/>
    </row>
    <row r="787" spans="1:51">
      <c r="A787" s="2"/>
      <c r="AY787" s="69"/>
    </row>
    <row r="788" spans="1:51">
      <c r="A788" s="2"/>
      <c r="AY788" s="69"/>
    </row>
    <row r="789" spans="1:51">
      <c r="A789" s="2"/>
      <c r="AY789" s="69"/>
    </row>
    <row r="790" spans="1:51">
      <c r="A790" s="2"/>
      <c r="AY790" s="69"/>
    </row>
    <row r="791" spans="1:51">
      <c r="A791" s="2"/>
      <c r="AY791" s="69"/>
    </row>
    <row r="792" spans="1:51">
      <c r="A792" s="2"/>
      <c r="AY792" s="69"/>
    </row>
    <row r="793" spans="1:51">
      <c r="A793" s="2"/>
      <c r="AY793" s="69"/>
    </row>
    <row r="794" spans="1:51">
      <c r="A794" s="2"/>
      <c r="AY794" s="69"/>
    </row>
    <row r="795" spans="1:51">
      <c r="A795" s="2"/>
      <c r="AY795" s="69"/>
    </row>
    <row r="796" spans="1:51">
      <c r="A796" s="2"/>
      <c r="AY796" s="69"/>
    </row>
    <row r="797" spans="1:51">
      <c r="A797" s="2"/>
      <c r="AY797" s="69"/>
    </row>
    <row r="798" spans="1:51">
      <c r="A798" s="2"/>
      <c r="AY798" s="69"/>
    </row>
    <row r="799" spans="1:51">
      <c r="A799" s="2"/>
      <c r="AY799" s="69"/>
    </row>
    <row r="800" spans="1:51">
      <c r="A800" s="2"/>
      <c r="AY800" s="69"/>
    </row>
    <row r="801" spans="1:51">
      <c r="A801" s="2"/>
      <c r="AY801" s="69"/>
    </row>
    <row r="802" spans="1:51">
      <c r="A802" s="2"/>
      <c r="AY802" s="69"/>
    </row>
    <row r="803" spans="1:51">
      <c r="A803" s="2"/>
      <c r="AY803" s="69"/>
    </row>
    <row r="804" spans="1:51">
      <c r="A804" s="2"/>
      <c r="AY804" s="69"/>
    </row>
    <row r="805" spans="1:51">
      <c r="A805" s="2"/>
      <c r="AY805" s="69"/>
    </row>
    <row r="806" spans="1:51">
      <c r="A806" s="2"/>
      <c r="AY806" s="69"/>
    </row>
    <row r="807" spans="1:51">
      <c r="A807" s="2"/>
      <c r="AY807" s="69"/>
    </row>
    <row r="808" spans="1:51">
      <c r="A808" s="2"/>
      <c r="AY808" s="69"/>
    </row>
    <row r="809" spans="1:51">
      <c r="A809" s="2"/>
      <c r="AY809" s="69"/>
    </row>
    <row r="810" spans="1:51">
      <c r="A810" s="2"/>
      <c r="AY810" s="69"/>
    </row>
    <row r="811" spans="1:51">
      <c r="A811" s="2"/>
      <c r="AY811" s="69"/>
    </row>
    <row r="812" spans="1:51">
      <c r="A812" s="2"/>
      <c r="AY812" s="69"/>
    </row>
    <row r="813" spans="1:51">
      <c r="A813" s="2"/>
      <c r="AY813" s="69"/>
    </row>
    <row r="814" spans="1:51">
      <c r="A814" s="2"/>
      <c r="AY814" s="69"/>
    </row>
    <row r="815" spans="1:51">
      <c r="A815" s="2"/>
      <c r="AY815" s="69"/>
    </row>
    <row r="816" spans="1:51">
      <c r="A816" s="2"/>
      <c r="AY816" s="69"/>
    </row>
    <row r="817" spans="1:51">
      <c r="A817" s="2"/>
      <c r="AY817" s="69"/>
    </row>
    <row r="818" spans="1:51">
      <c r="A818" s="2"/>
      <c r="AY818" s="69"/>
    </row>
    <row r="819" spans="1:51">
      <c r="A819" s="2"/>
      <c r="AY819" s="69"/>
    </row>
    <row r="820" spans="1:51">
      <c r="A820" s="2"/>
      <c r="AY820" s="69"/>
    </row>
    <row r="821" spans="1:51">
      <c r="A821" s="2"/>
      <c r="AY821" s="69"/>
    </row>
    <row r="822" spans="1:51">
      <c r="A822" s="2"/>
      <c r="AY822" s="69"/>
    </row>
    <row r="823" spans="1:51">
      <c r="A823" s="2"/>
      <c r="AY823" s="69"/>
    </row>
    <row r="824" spans="1:51">
      <c r="A824" s="2"/>
      <c r="AY824" s="69"/>
    </row>
    <row r="825" spans="1:51">
      <c r="A825" s="2"/>
      <c r="AY825" s="69"/>
    </row>
    <row r="826" spans="1:51">
      <c r="A826" s="2"/>
      <c r="AY826" s="69"/>
    </row>
    <row r="827" spans="1:51">
      <c r="A827" s="2"/>
      <c r="AY827" s="69"/>
    </row>
    <row r="828" spans="1:51">
      <c r="A828" s="2"/>
      <c r="AY828" s="69"/>
    </row>
    <row r="829" spans="1:51">
      <c r="A829" s="2"/>
      <c r="AY829" s="69"/>
    </row>
    <row r="830" spans="1:51">
      <c r="A830" s="2"/>
      <c r="AY830" s="69"/>
    </row>
    <row r="831" spans="1:51">
      <c r="A831" s="2"/>
      <c r="AY831" s="69"/>
    </row>
    <row r="832" spans="1:51">
      <c r="A832" s="2"/>
      <c r="AY832" s="69"/>
    </row>
    <row r="833" spans="1:51">
      <c r="A833" s="2"/>
      <c r="AY833" s="69"/>
    </row>
    <row r="834" spans="1:51">
      <c r="A834" s="2"/>
      <c r="AY834" s="69"/>
    </row>
    <row r="835" spans="1:51">
      <c r="A835" s="2"/>
      <c r="AY835" s="69"/>
    </row>
    <row r="836" spans="1:51">
      <c r="A836" s="2"/>
      <c r="AY836" s="69"/>
    </row>
    <row r="837" spans="1:51">
      <c r="A837" s="2"/>
      <c r="AY837" s="69"/>
    </row>
    <row r="838" spans="1:51">
      <c r="A838" s="2"/>
      <c r="AY838" s="69"/>
    </row>
    <row r="839" spans="1:51">
      <c r="A839" s="2"/>
      <c r="AY839" s="69"/>
    </row>
    <row r="840" spans="1:51">
      <c r="A840" s="2"/>
      <c r="AY840" s="69"/>
    </row>
    <row r="841" spans="1:51">
      <c r="A841" s="2"/>
      <c r="AY841" s="69"/>
    </row>
    <row r="842" spans="1:51">
      <c r="A842" s="2"/>
      <c r="AY842" s="69"/>
    </row>
    <row r="843" spans="1:51">
      <c r="A843" s="2"/>
      <c r="AY843" s="69"/>
    </row>
    <row r="844" spans="1:51">
      <c r="A844" s="2"/>
      <c r="AY844" s="69"/>
    </row>
    <row r="845" spans="1:51">
      <c r="A845" s="2"/>
      <c r="AY845" s="69"/>
    </row>
    <row r="846" spans="1:51">
      <c r="A846" s="2"/>
      <c r="AY846" s="69"/>
    </row>
    <row r="847" spans="1:51">
      <c r="A847" s="2"/>
      <c r="AY847" s="69"/>
    </row>
    <row r="848" spans="1:51">
      <c r="A848" s="2"/>
      <c r="AY848" s="69"/>
    </row>
    <row r="849" spans="1:51">
      <c r="A849" s="2"/>
      <c r="AY849" s="69"/>
    </row>
    <row r="850" spans="1:51">
      <c r="A850" s="2"/>
      <c r="AY850" s="69"/>
    </row>
    <row r="851" spans="1:51">
      <c r="A851" s="2"/>
      <c r="AY851" s="69"/>
    </row>
    <row r="852" spans="1:51">
      <c r="A852" s="2"/>
      <c r="AY852" s="69"/>
    </row>
    <row r="853" spans="1:51">
      <c r="A853" s="2"/>
      <c r="AY853" s="69"/>
    </row>
    <row r="854" spans="1:51">
      <c r="A854" s="2"/>
      <c r="AY854" s="69"/>
    </row>
    <row r="855" spans="1:51">
      <c r="A855" s="2"/>
      <c r="AY855" s="69"/>
    </row>
    <row r="856" spans="1:51">
      <c r="A856" s="2"/>
      <c r="AY856" s="69"/>
    </row>
    <row r="857" spans="1:51">
      <c r="A857" s="2"/>
      <c r="AY857" s="69"/>
    </row>
    <row r="858" spans="1:51">
      <c r="A858" s="2"/>
      <c r="AY858" s="69"/>
    </row>
    <row r="859" spans="1:51">
      <c r="A859" s="2"/>
      <c r="AY859" s="69"/>
    </row>
    <row r="860" spans="1:51">
      <c r="A860" s="2"/>
      <c r="AY860" s="69"/>
    </row>
    <row r="861" spans="1:51">
      <c r="A861" s="2"/>
      <c r="AY861" s="69"/>
    </row>
    <row r="862" spans="1:51">
      <c r="A862" s="2"/>
      <c r="AY862" s="69"/>
    </row>
    <row r="863" spans="1:51">
      <c r="A863" s="2"/>
      <c r="AY863" s="69"/>
    </row>
    <row r="864" spans="1:51">
      <c r="A864" s="2"/>
      <c r="AY864" s="69"/>
    </row>
    <row r="865" spans="1:51">
      <c r="A865" s="2"/>
      <c r="AY865" s="69"/>
    </row>
    <row r="866" spans="1:51">
      <c r="A866" s="2"/>
      <c r="AY866" s="69"/>
    </row>
    <row r="867" spans="1:51">
      <c r="A867" s="2"/>
      <c r="AY867" s="69"/>
    </row>
    <row r="868" spans="1:51">
      <c r="A868" s="2"/>
      <c r="AY868" s="69"/>
    </row>
    <row r="869" spans="1:51">
      <c r="A869" s="2"/>
      <c r="AY869" s="69"/>
    </row>
    <row r="870" spans="1:51">
      <c r="A870" s="2"/>
      <c r="AY870" s="69"/>
    </row>
    <row r="871" spans="1:51">
      <c r="A871" s="2"/>
      <c r="AY871" s="69"/>
    </row>
    <row r="872" spans="1:51">
      <c r="A872" s="2"/>
      <c r="AY872" s="69"/>
    </row>
    <row r="873" spans="1:51">
      <c r="A873" s="2"/>
      <c r="AY873" s="69"/>
    </row>
    <row r="874" spans="1:51">
      <c r="A874" s="2"/>
      <c r="AY874" s="69"/>
    </row>
    <row r="875" spans="1:51">
      <c r="A875" s="2"/>
      <c r="AY875" s="69"/>
    </row>
    <row r="876" spans="1:51">
      <c r="A876" s="2"/>
      <c r="AY876" s="69"/>
    </row>
    <row r="877" spans="1:51">
      <c r="A877" s="2"/>
      <c r="AY877" s="69"/>
    </row>
    <row r="878" spans="1:51">
      <c r="A878" s="2"/>
      <c r="AY878" s="69"/>
    </row>
    <row r="879" spans="1:51">
      <c r="A879" s="2"/>
      <c r="AY879" s="69"/>
    </row>
    <row r="880" spans="1:51">
      <c r="A880" s="2"/>
      <c r="AY880" s="69"/>
    </row>
    <row r="881" spans="1:51">
      <c r="A881" s="2"/>
      <c r="AY881" s="69"/>
    </row>
    <row r="882" spans="1:51">
      <c r="A882" s="2"/>
      <c r="AY882" s="69"/>
    </row>
    <row r="883" spans="1:51">
      <c r="A883" s="2"/>
      <c r="AY883" s="69"/>
    </row>
    <row r="884" spans="1:51">
      <c r="A884" s="2"/>
      <c r="AY884" s="69"/>
    </row>
    <row r="885" spans="1:51">
      <c r="A885" s="2"/>
      <c r="AY885" s="69"/>
    </row>
    <row r="886" spans="1:51">
      <c r="A886" s="2"/>
      <c r="AY886" s="69"/>
    </row>
    <row r="887" spans="1:51">
      <c r="A887" s="2"/>
      <c r="AY887" s="69"/>
    </row>
    <row r="888" spans="1:51">
      <c r="A888" s="2"/>
      <c r="AY888" s="69"/>
    </row>
    <row r="889" spans="1:51">
      <c r="A889" s="2"/>
      <c r="AY889" s="69"/>
    </row>
    <row r="890" spans="1:51">
      <c r="A890" s="2"/>
      <c r="AY890" s="69"/>
    </row>
    <row r="891" spans="1:51">
      <c r="A891" s="2"/>
      <c r="AY891" s="69"/>
    </row>
    <row r="892" spans="1:51">
      <c r="A892" s="2"/>
      <c r="AY892" s="69"/>
    </row>
    <row r="893" spans="1:51">
      <c r="A893" s="2"/>
      <c r="AY893" s="69"/>
    </row>
    <row r="894" spans="1:51">
      <c r="A894" s="2"/>
      <c r="AY894" s="69"/>
    </row>
    <row r="895" spans="1:51">
      <c r="A895" s="2"/>
      <c r="AY895" s="69"/>
    </row>
    <row r="896" spans="1:51">
      <c r="A896" s="2"/>
      <c r="AY896" s="69"/>
    </row>
    <row r="897" spans="1:51">
      <c r="A897" s="2"/>
      <c r="AY897" s="69"/>
    </row>
    <row r="898" spans="1:51">
      <c r="A898" s="2"/>
      <c r="AY898" s="69"/>
    </row>
    <row r="899" spans="1:51">
      <c r="A899" s="2"/>
      <c r="AY899" s="69"/>
    </row>
    <row r="900" spans="1:51">
      <c r="A900" s="2"/>
      <c r="AY900" s="69"/>
    </row>
    <row r="901" spans="1:51">
      <c r="A901" s="2"/>
      <c r="AY901" s="69"/>
    </row>
    <row r="902" spans="1:51">
      <c r="A902" s="2"/>
      <c r="AY902" s="69"/>
    </row>
    <row r="903" spans="1:51">
      <c r="A903" s="2"/>
      <c r="AY903" s="69"/>
    </row>
    <row r="904" spans="1:51">
      <c r="A904" s="2"/>
      <c r="AY904" s="69"/>
    </row>
    <row r="905" spans="1:51">
      <c r="A905" s="2"/>
      <c r="AY905" s="69"/>
    </row>
    <row r="906" spans="1:51">
      <c r="A906" s="2"/>
      <c r="AY906" s="69"/>
    </row>
    <row r="907" spans="1:51">
      <c r="A907" s="2"/>
      <c r="AY907" s="69"/>
    </row>
    <row r="908" spans="1:51">
      <c r="A908" s="2"/>
      <c r="AY908" s="69"/>
    </row>
    <row r="909" spans="1:51">
      <c r="A909" s="2"/>
      <c r="AY909" s="69"/>
    </row>
    <row r="910" spans="1:51">
      <c r="A910" s="2"/>
      <c r="AY910" s="69"/>
    </row>
    <row r="911" spans="1:51">
      <c r="A911" s="2"/>
      <c r="AY911" s="69"/>
    </row>
    <row r="912" spans="1:51">
      <c r="A912" s="2"/>
      <c r="AY912" s="69"/>
    </row>
    <row r="913" spans="1:51">
      <c r="A913" s="2"/>
      <c r="AY913" s="69"/>
    </row>
    <row r="914" spans="1:51">
      <c r="A914" s="2"/>
      <c r="AY914" s="69"/>
    </row>
    <row r="915" spans="1:51">
      <c r="A915" s="2"/>
      <c r="AY915" s="69"/>
    </row>
    <row r="916" spans="1:51">
      <c r="A916" s="2"/>
      <c r="AY916" s="69"/>
    </row>
    <row r="917" spans="1:51">
      <c r="A917" s="2"/>
      <c r="AY917" s="69"/>
    </row>
    <row r="918" spans="1:51">
      <c r="A918" s="2"/>
      <c r="AY918" s="69"/>
    </row>
    <row r="919" spans="1:51">
      <c r="A919" s="2"/>
      <c r="AY919" s="69"/>
    </row>
    <row r="920" spans="1:51">
      <c r="A920" s="2"/>
      <c r="AY920" s="69"/>
    </row>
    <row r="921" spans="1:51">
      <c r="A921" s="2"/>
      <c r="AY921" s="69"/>
    </row>
    <row r="922" spans="1:51">
      <c r="A922" s="2"/>
      <c r="AY922" s="69"/>
    </row>
    <row r="923" spans="1:51">
      <c r="A923" s="2"/>
      <c r="AY923" s="69"/>
    </row>
    <row r="924" spans="1:51">
      <c r="A924" s="2"/>
      <c r="AY924" s="69"/>
    </row>
    <row r="925" spans="1:51">
      <c r="A925" s="2"/>
      <c r="AY925" s="69"/>
    </row>
    <row r="926" spans="1:51">
      <c r="A926" s="2"/>
      <c r="AY926" s="69"/>
    </row>
    <row r="927" spans="1:51">
      <c r="A927" s="2"/>
      <c r="AY927" s="69"/>
    </row>
    <row r="928" spans="1:51">
      <c r="A928" s="2"/>
      <c r="AY928" s="69"/>
    </row>
    <row r="929" spans="1:51">
      <c r="A929" s="2"/>
      <c r="AY929" s="69"/>
    </row>
    <row r="930" spans="1:51">
      <c r="A930" s="2"/>
      <c r="AY930" s="69"/>
    </row>
    <row r="931" spans="1:51">
      <c r="A931" s="2"/>
      <c r="AY931" s="69"/>
    </row>
    <row r="932" spans="1:51">
      <c r="A932" s="2"/>
      <c r="AY932" s="69"/>
    </row>
    <row r="933" spans="1:51">
      <c r="A933" s="2"/>
      <c r="AY933" s="69"/>
    </row>
    <row r="934" spans="1:51">
      <c r="A934" s="2"/>
      <c r="AY934" s="69"/>
    </row>
    <row r="935" spans="1:51">
      <c r="A935" s="2"/>
      <c r="AY935" s="69"/>
    </row>
    <row r="936" spans="1:51">
      <c r="A936" s="2"/>
      <c r="AY936" s="69"/>
    </row>
    <row r="937" spans="1:51">
      <c r="A937" s="2"/>
      <c r="AY937" s="69"/>
    </row>
    <row r="938" spans="1:51">
      <c r="A938" s="2"/>
      <c r="AY938" s="69"/>
    </row>
    <row r="939" spans="1:51">
      <c r="A939" s="2"/>
      <c r="AY939" s="69"/>
    </row>
    <row r="940" spans="1:51">
      <c r="A940" s="2"/>
      <c r="AY940" s="69"/>
    </row>
    <row r="941" spans="1:51">
      <c r="A941" s="2"/>
      <c r="AY941" s="69"/>
    </row>
    <row r="942" spans="1:51">
      <c r="A942" s="2"/>
      <c r="AY942" s="69"/>
    </row>
    <row r="943" spans="1:51">
      <c r="A943" s="2"/>
      <c r="AY943" s="69"/>
    </row>
    <row r="944" spans="1:51">
      <c r="A944" s="2"/>
      <c r="AY944" s="69"/>
    </row>
    <row r="945" spans="1:51">
      <c r="A945" s="2"/>
      <c r="AY945" s="69"/>
    </row>
    <row r="946" spans="1:51">
      <c r="A946" s="2"/>
      <c r="AY946" s="69"/>
    </row>
    <row r="947" spans="1:51">
      <c r="A947" s="2"/>
      <c r="AY947" s="69"/>
    </row>
    <row r="948" spans="1:51">
      <c r="A948" s="2"/>
      <c r="AY948" s="69"/>
    </row>
    <row r="949" spans="1:51">
      <c r="A949" s="2"/>
      <c r="AY949" s="69"/>
    </row>
    <row r="950" spans="1:51">
      <c r="A950" s="2"/>
      <c r="AY950" s="69"/>
    </row>
    <row r="951" spans="1:51">
      <c r="A951" s="2"/>
      <c r="AY951" s="69"/>
    </row>
    <row r="952" spans="1:51">
      <c r="A952" s="2"/>
      <c r="AY952" s="69"/>
    </row>
    <row r="953" spans="1:51">
      <c r="A953" s="2"/>
      <c r="AY953" s="69"/>
    </row>
    <row r="954" spans="1:51">
      <c r="A954" s="2"/>
      <c r="AY954" s="69"/>
    </row>
    <row r="955" spans="1:51">
      <c r="A955" s="2"/>
      <c r="AY955" s="69"/>
    </row>
    <row r="956" spans="1:51">
      <c r="A956" s="2"/>
      <c r="AY956" s="69"/>
    </row>
    <row r="957" spans="1:51">
      <c r="A957" s="2"/>
      <c r="AY957" s="69"/>
    </row>
    <row r="958" spans="1:51">
      <c r="A958" s="2"/>
      <c r="AY958" s="69"/>
    </row>
    <row r="959" spans="1:51">
      <c r="A959" s="2"/>
      <c r="AY959" s="69"/>
    </row>
    <row r="960" spans="1:51">
      <c r="A960" s="2"/>
      <c r="AY960" s="69"/>
    </row>
    <row r="961" spans="1:51">
      <c r="A961" s="2"/>
      <c r="AY961" s="69"/>
    </row>
    <row r="962" spans="1:51">
      <c r="A962" s="2"/>
      <c r="AY962" s="69"/>
    </row>
    <row r="963" spans="1:51">
      <c r="A963" s="2"/>
      <c r="AY963" s="69"/>
    </row>
    <row r="964" spans="1:51">
      <c r="A964" s="2"/>
      <c r="AY964" s="69"/>
    </row>
    <row r="965" spans="1:51">
      <c r="A965" s="2"/>
      <c r="AY965" s="69"/>
    </row>
    <row r="966" spans="1:51">
      <c r="A966" s="2"/>
      <c r="AY966" s="69"/>
    </row>
    <row r="967" spans="1:51">
      <c r="A967" s="2"/>
      <c r="AY967" s="69"/>
    </row>
    <row r="968" spans="1:51">
      <c r="A968" s="2"/>
      <c r="AY968" s="69"/>
    </row>
    <row r="969" spans="1:51">
      <c r="A969" s="2"/>
      <c r="AY969" s="69"/>
    </row>
    <row r="970" spans="1:51">
      <c r="A970" s="2"/>
      <c r="AY970" s="69"/>
    </row>
    <row r="971" spans="1:51">
      <c r="A971" s="2"/>
      <c r="AY971" s="69"/>
    </row>
    <row r="972" spans="1:51">
      <c r="A972" s="2"/>
      <c r="AY972" s="69"/>
    </row>
    <row r="973" spans="1:51">
      <c r="A973" s="2"/>
      <c r="AY973" s="69"/>
    </row>
    <row r="974" spans="1:51">
      <c r="A974" s="2"/>
      <c r="AY974" s="69"/>
    </row>
    <row r="975" spans="1:51">
      <c r="A975" s="2"/>
      <c r="AY975" s="69"/>
    </row>
    <row r="976" spans="1:51">
      <c r="A976" s="2"/>
      <c r="AY976" s="69"/>
    </row>
    <row r="977" spans="1:51">
      <c r="A977" s="2"/>
      <c r="AY977" s="69"/>
    </row>
    <row r="978" spans="1:51">
      <c r="A978" s="2"/>
      <c r="AY978" s="69"/>
    </row>
    <row r="979" spans="1:51">
      <c r="A979" s="2"/>
      <c r="AY979" s="69"/>
    </row>
    <row r="980" spans="1:51">
      <c r="A980" s="2"/>
      <c r="AY980" s="69"/>
    </row>
    <row r="981" spans="1:51">
      <c r="A981" s="2"/>
      <c r="AY981" s="69"/>
    </row>
    <row r="982" spans="1:51">
      <c r="A982" s="2"/>
      <c r="AY982" s="69"/>
    </row>
    <row r="983" spans="1:51">
      <c r="A983" s="2"/>
      <c r="AY983" s="69"/>
    </row>
    <row r="984" spans="1:51">
      <c r="A984" s="2"/>
      <c r="AY984" s="69"/>
    </row>
    <row r="985" spans="1:51">
      <c r="A985" s="2"/>
      <c r="AY985" s="69"/>
    </row>
    <row r="986" spans="1:51">
      <c r="A986" s="2"/>
      <c r="AY986" s="69"/>
    </row>
    <row r="987" spans="1:51">
      <c r="A987" s="2"/>
      <c r="AY987" s="69"/>
    </row>
    <row r="988" spans="1:51">
      <c r="A988" s="2"/>
      <c r="AY988" s="69"/>
    </row>
    <row r="989" spans="1:51">
      <c r="A989" s="2"/>
      <c r="AY989" s="69"/>
    </row>
    <row r="990" spans="1:51">
      <c r="A990" s="2"/>
      <c r="AY990" s="69"/>
    </row>
    <row r="991" spans="1:51">
      <c r="A991" s="2"/>
      <c r="AY991" s="69"/>
    </row>
    <row r="992" spans="1:51">
      <c r="A992" s="2"/>
      <c r="AY992" s="69"/>
    </row>
    <row r="993" spans="1:51">
      <c r="A993" s="2"/>
      <c r="AY993" s="69"/>
    </row>
    <row r="994" spans="1:51">
      <c r="A994" s="2"/>
      <c r="AY994" s="69"/>
    </row>
    <row r="995" spans="1:51">
      <c r="A995" s="2"/>
      <c r="AY995" s="69"/>
    </row>
    <row r="996" spans="1:51">
      <c r="A996" s="2"/>
      <c r="AY996" s="69"/>
    </row>
    <row r="997" spans="1:51">
      <c r="A997" s="2"/>
      <c r="AY997" s="69"/>
    </row>
    <row r="998" spans="1:51">
      <c r="A998" s="2"/>
      <c r="AY998" s="69"/>
    </row>
    <row r="999" spans="1:51">
      <c r="A999" s="2"/>
      <c r="AY999" s="69"/>
    </row>
    <row r="1000" spans="1:51">
      <c r="A1000" s="2"/>
      <c r="AY1000" s="69"/>
    </row>
    <row r="1001" spans="1:51">
      <c r="A1001" s="2"/>
      <c r="AY1001" s="69"/>
    </row>
    <row r="1002" spans="1:51">
      <c r="A1002" s="2"/>
      <c r="AY1002" s="69"/>
    </row>
    <row r="1003" spans="1:51">
      <c r="A1003" s="2"/>
      <c r="AY1003" s="69"/>
    </row>
    <row r="1004" spans="1:51">
      <c r="A1004" s="2"/>
      <c r="AY1004" s="69"/>
    </row>
    <row r="1005" spans="1:51">
      <c r="A1005" s="2"/>
      <c r="AY1005" s="69"/>
    </row>
    <row r="1006" spans="1:51">
      <c r="A1006" s="2"/>
      <c r="AY1006" s="69"/>
    </row>
    <row r="1007" spans="1:51">
      <c r="A1007" s="2"/>
      <c r="AY1007" s="69"/>
    </row>
    <row r="1008" spans="1:51">
      <c r="A1008" s="2"/>
      <c r="AY1008" s="69"/>
    </row>
    <row r="1009" spans="1:51">
      <c r="A1009" s="2"/>
      <c r="AY1009" s="69"/>
    </row>
    <row r="1010" spans="1:51">
      <c r="A1010" s="2"/>
      <c r="AY1010" s="69"/>
    </row>
    <row r="1011" spans="1:51">
      <c r="A1011" s="2"/>
      <c r="AY1011" s="69"/>
    </row>
    <row r="1012" spans="1:51">
      <c r="A1012" s="2"/>
      <c r="AY1012" s="69"/>
    </row>
    <row r="1013" spans="1:51">
      <c r="A1013" s="2"/>
      <c r="AY1013" s="69"/>
    </row>
    <row r="1014" spans="1:51">
      <c r="A1014" s="2"/>
      <c r="AY1014" s="69"/>
    </row>
    <row r="1015" spans="1:51">
      <c r="A1015" s="2"/>
      <c r="AY1015" s="69"/>
    </row>
    <row r="1016" spans="1:51">
      <c r="A1016" s="2"/>
      <c r="AY1016" s="69"/>
    </row>
    <row r="1017" spans="1:51">
      <c r="A1017" s="2"/>
      <c r="AY1017" s="69"/>
    </row>
    <row r="1018" spans="1:51">
      <c r="A1018" s="2"/>
      <c r="AY1018" s="69"/>
    </row>
    <row r="1019" spans="1:51">
      <c r="A1019" s="2"/>
      <c r="AY1019" s="69"/>
    </row>
    <row r="1020" spans="1:51">
      <c r="A1020" s="2"/>
      <c r="AY1020" s="69"/>
    </row>
    <row r="1021" spans="1:51">
      <c r="A1021" s="2"/>
      <c r="AY1021" s="69"/>
    </row>
    <row r="1022" spans="1:51">
      <c r="A1022" s="2"/>
      <c r="AY1022" s="69"/>
    </row>
    <row r="1023" spans="1:51">
      <c r="A1023" s="2"/>
      <c r="AY1023" s="69"/>
    </row>
    <row r="1024" spans="1:51">
      <c r="A1024" s="2"/>
      <c r="AY1024" s="69"/>
    </row>
    <row r="1025" spans="1:51">
      <c r="A1025" s="2"/>
      <c r="AY1025" s="69"/>
    </row>
    <row r="1026" spans="1:51">
      <c r="A1026" s="2"/>
      <c r="AY1026" s="69"/>
    </row>
    <row r="1027" spans="1:51">
      <c r="A1027" s="2"/>
      <c r="AY1027" s="69"/>
    </row>
    <row r="1028" spans="1:51">
      <c r="A1028" s="2"/>
      <c r="AY1028" s="69"/>
    </row>
    <row r="1029" spans="1:51">
      <c r="A1029" s="2"/>
      <c r="AY1029" s="69"/>
    </row>
    <row r="1030" spans="1:51">
      <c r="A1030" s="2"/>
      <c r="AY1030" s="69"/>
    </row>
    <row r="1031" spans="1:51">
      <c r="A1031" s="2"/>
      <c r="AY1031" s="69"/>
    </row>
    <row r="1032" spans="1:51">
      <c r="A1032" s="2"/>
      <c r="AY1032" s="69"/>
    </row>
    <row r="1033" spans="1:51">
      <c r="A1033" s="2"/>
      <c r="AY1033" s="69"/>
    </row>
    <row r="1034" spans="1:51">
      <c r="A1034" s="2"/>
      <c r="AY1034" s="69"/>
    </row>
    <row r="1035" spans="1:51">
      <c r="A1035" s="2"/>
      <c r="AY1035" s="69"/>
    </row>
    <row r="1036" spans="1:51">
      <c r="A1036" s="2"/>
      <c r="AY1036" s="69"/>
    </row>
    <row r="1037" spans="1:51">
      <c r="A1037" s="2"/>
      <c r="AY1037" s="69"/>
    </row>
    <row r="1038" spans="1:51">
      <c r="A1038" s="2"/>
      <c r="AY1038" s="69"/>
    </row>
    <row r="1039" spans="1:51">
      <c r="A1039" s="2"/>
      <c r="AY1039" s="69"/>
    </row>
    <row r="1040" spans="1:51">
      <c r="A1040" s="2"/>
      <c r="AY1040" s="69"/>
    </row>
    <row r="1041" spans="1:51">
      <c r="A1041" s="2"/>
      <c r="AY1041" s="69"/>
    </row>
    <row r="1042" spans="1:51">
      <c r="A1042" s="2"/>
      <c r="AY1042" s="69"/>
    </row>
    <row r="1043" spans="1:51">
      <c r="A1043" s="2"/>
      <c r="AY1043" s="6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7A74-FEE7-4F0E-8C7A-526ABFDBB621}">
  <sheetPr>
    <outlinePr summaryBelow="0" summaryRight="0"/>
  </sheetPr>
  <dimension ref="A1:BI1043"/>
  <sheetViews>
    <sheetView zoomScale="98" workbookViewId="0">
      <pane xSplit="2" ySplit="3" topLeftCell="C94" activePane="bottomRight" state="frozen"/>
      <selection pane="topRight" activeCell="C1" sqref="C1"/>
      <selection pane="bottomLeft" activeCell="A4" sqref="A4"/>
      <selection pane="bottomRight" activeCell="U3" sqref="U3"/>
    </sheetView>
  </sheetViews>
  <sheetFormatPr defaultColWidth="12.6640625" defaultRowHeight="15.75" customHeight="1"/>
  <cols>
    <col min="1" max="1" width="37" customWidth="1"/>
    <col min="2" max="2" width="58.88671875" customWidth="1"/>
  </cols>
  <sheetData>
    <row r="1" spans="1:6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67" t="s">
        <v>2</v>
      </c>
      <c r="T1" s="168" t="s">
        <v>3</v>
      </c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  <c r="BA1" s="161"/>
      <c r="BB1" s="159"/>
      <c r="BC1" s="159"/>
      <c r="BD1" s="159"/>
      <c r="BE1" s="159"/>
      <c r="BF1" s="159"/>
      <c r="BG1" s="159"/>
      <c r="BH1" s="159"/>
      <c r="BI1" s="159"/>
    </row>
    <row r="2" spans="1:61">
      <c r="A2" s="5" t="s">
        <v>4</v>
      </c>
      <c r="B2" s="74" t="s">
        <v>5</v>
      </c>
      <c r="C2" s="5">
        <v>20</v>
      </c>
      <c r="D2" s="5">
        <v>37</v>
      </c>
      <c r="E2" s="5">
        <v>29</v>
      </c>
      <c r="F2" s="5">
        <v>39</v>
      </c>
      <c r="G2" s="5">
        <v>32</v>
      </c>
      <c r="H2" s="5">
        <v>35</v>
      </c>
      <c r="I2" s="5">
        <v>33</v>
      </c>
      <c r="J2" s="5">
        <v>34</v>
      </c>
      <c r="K2" s="5">
        <v>44</v>
      </c>
      <c r="L2" s="5">
        <v>7</v>
      </c>
      <c r="M2" s="5">
        <v>22</v>
      </c>
      <c r="N2" s="5">
        <v>43</v>
      </c>
      <c r="O2" s="5">
        <v>15</v>
      </c>
      <c r="P2" s="5">
        <v>19</v>
      </c>
      <c r="Q2" s="5">
        <v>12</v>
      </c>
      <c r="R2" s="5">
        <v>14</v>
      </c>
      <c r="S2" s="169"/>
      <c r="T2" s="111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60"/>
      <c r="BB2" s="159"/>
      <c r="BC2" s="159"/>
      <c r="BD2" s="159"/>
      <c r="BE2" s="159"/>
      <c r="BF2" s="159"/>
      <c r="BG2" s="159"/>
      <c r="BH2" s="159"/>
      <c r="BI2" s="159"/>
    </row>
    <row r="3" spans="1:61">
      <c r="A3" s="5"/>
      <c r="B3" s="5" t="s">
        <v>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169"/>
      <c r="T3" s="111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60"/>
      <c r="BB3" s="159"/>
      <c r="BC3" s="159"/>
      <c r="BD3" s="159"/>
      <c r="BE3" s="159"/>
      <c r="BF3" s="159"/>
      <c r="BG3" s="159"/>
      <c r="BH3" s="159"/>
      <c r="BI3" s="159"/>
    </row>
    <row r="4" spans="1:61">
      <c r="A4" s="5"/>
      <c r="B4" s="5" t="s">
        <v>7</v>
      </c>
      <c r="C4" s="5">
        <v>56</v>
      </c>
      <c r="D4" s="5">
        <v>56</v>
      </c>
      <c r="E4" s="5">
        <v>60</v>
      </c>
      <c r="F4" s="5">
        <v>61</v>
      </c>
      <c r="G4" s="5">
        <v>62</v>
      </c>
      <c r="H4" s="5">
        <v>62</v>
      </c>
      <c r="I4" s="5">
        <v>63</v>
      </c>
      <c r="J4" s="5">
        <v>63</v>
      </c>
      <c r="K4" s="5">
        <v>66</v>
      </c>
      <c r="L4" s="5">
        <v>68</v>
      </c>
      <c r="M4" s="5">
        <v>68</v>
      </c>
      <c r="N4" s="5">
        <v>69</v>
      </c>
      <c r="O4" s="5">
        <v>72</v>
      </c>
      <c r="P4" s="5">
        <v>72</v>
      </c>
      <c r="Q4" s="5">
        <v>73</v>
      </c>
      <c r="R4" s="5">
        <v>73</v>
      </c>
      <c r="S4" s="169"/>
      <c r="T4" s="111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60"/>
      <c r="BB4" s="159"/>
      <c r="BC4" s="159"/>
      <c r="BD4" s="159"/>
      <c r="BE4" s="159"/>
      <c r="BF4" s="159"/>
      <c r="BG4" s="159"/>
      <c r="BH4" s="159"/>
      <c r="BI4" s="159"/>
    </row>
    <row r="5" spans="1:61">
      <c r="A5" s="5"/>
      <c r="B5" s="5" t="s">
        <v>8</v>
      </c>
      <c r="C5" s="5" t="s">
        <v>9</v>
      </c>
      <c r="D5" s="5" t="s">
        <v>9</v>
      </c>
      <c r="E5" s="5" t="s">
        <v>9</v>
      </c>
      <c r="F5" s="5" t="s">
        <v>10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10</v>
      </c>
      <c r="L5" s="5" t="s">
        <v>9</v>
      </c>
      <c r="M5" s="5" t="s">
        <v>9</v>
      </c>
      <c r="N5" s="5" t="s">
        <v>10</v>
      </c>
      <c r="O5" s="5" t="s">
        <v>10</v>
      </c>
      <c r="P5" s="5" t="s">
        <v>10</v>
      </c>
      <c r="Q5" s="5"/>
      <c r="R5" s="5" t="s">
        <v>9</v>
      </c>
      <c r="S5" s="169"/>
      <c r="T5" s="111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60"/>
      <c r="BB5" s="159"/>
      <c r="BC5" s="159"/>
      <c r="BD5" s="159"/>
      <c r="BE5" s="159"/>
      <c r="BF5" s="159"/>
      <c r="BG5" s="159"/>
      <c r="BH5" s="159"/>
      <c r="BI5" s="159"/>
    </row>
    <row r="6" spans="1:61">
      <c r="A6" s="5"/>
      <c r="B6" s="5" t="s">
        <v>11</v>
      </c>
      <c r="C6" s="5"/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/>
      <c r="S6" s="169"/>
      <c r="T6" s="111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60"/>
      <c r="BB6" s="159"/>
      <c r="BC6" s="159"/>
      <c r="BD6" s="159"/>
      <c r="BE6" s="159"/>
      <c r="BF6" s="159"/>
      <c r="BG6" s="159"/>
      <c r="BH6" s="159"/>
      <c r="BI6" s="159"/>
    </row>
    <row r="7" spans="1:61">
      <c r="A7" s="5"/>
      <c r="B7" s="5" t="s">
        <v>13</v>
      </c>
      <c r="C7" s="5" t="s">
        <v>15</v>
      </c>
      <c r="D7" s="5"/>
      <c r="E7" s="5"/>
      <c r="F7" s="5" t="s">
        <v>15</v>
      </c>
      <c r="G7" s="5" t="s">
        <v>16</v>
      </c>
      <c r="H7" s="7"/>
      <c r="I7" s="5" t="s">
        <v>15</v>
      </c>
      <c r="J7" s="5" t="s">
        <v>16</v>
      </c>
      <c r="K7" s="5" t="s">
        <v>16</v>
      </c>
      <c r="L7" s="5" t="s">
        <v>15</v>
      </c>
      <c r="M7" s="5" t="s">
        <v>15</v>
      </c>
      <c r="N7" s="5" t="s">
        <v>15</v>
      </c>
      <c r="O7" s="5" t="s">
        <v>16</v>
      </c>
      <c r="P7" s="5" t="s">
        <v>16</v>
      </c>
      <c r="Q7" s="5"/>
      <c r="R7" s="5" t="s">
        <v>15</v>
      </c>
      <c r="S7" s="169"/>
      <c r="T7" s="111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1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60"/>
      <c r="BB7" s="159"/>
      <c r="BC7" s="159"/>
      <c r="BD7" s="159"/>
      <c r="BE7" s="159"/>
      <c r="BF7" s="159"/>
      <c r="BG7" s="159"/>
      <c r="BH7" s="159"/>
      <c r="BI7" s="159"/>
    </row>
    <row r="8" spans="1:61">
      <c r="A8" s="8" t="s">
        <v>18</v>
      </c>
      <c r="B8" s="83" t="s">
        <v>19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70"/>
      <c r="T8" s="113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61"/>
      <c r="BB8" s="159"/>
      <c r="BC8" s="159"/>
      <c r="BD8" s="159"/>
      <c r="BE8" s="159"/>
      <c r="BF8" s="159"/>
      <c r="BG8" s="159"/>
      <c r="BH8" s="159"/>
      <c r="BI8" s="159"/>
    </row>
    <row r="9" spans="1:61">
      <c r="A9" s="8" t="s">
        <v>20</v>
      </c>
      <c r="B9" s="75" t="s">
        <v>21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70"/>
      <c r="T9" s="113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61"/>
      <c r="BB9" s="159"/>
      <c r="BC9" s="159"/>
      <c r="BD9" s="159"/>
      <c r="BE9" s="159"/>
      <c r="BF9" s="159"/>
      <c r="BG9" s="159"/>
      <c r="BH9" s="159"/>
      <c r="BI9" s="159"/>
    </row>
    <row r="10" spans="1:61">
      <c r="A10" s="8" t="s">
        <v>22</v>
      </c>
      <c r="B10" s="12" t="s">
        <v>23</v>
      </c>
      <c r="C10" s="75">
        <v>1.5</v>
      </c>
      <c r="D10" s="75">
        <v>1</v>
      </c>
      <c r="E10" s="75">
        <v>2</v>
      </c>
      <c r="F10" s="75">
        <v>1.6</v>
      </c>
      <c r="G10" s="75">
        <v>1</v>
      </c>
      <c r="H10" s="75">
        <v>1.5</v>
      </c>
      <c r="I10" s="75">
        <v>2</v>
      </c>
      <c r="J10" s="75">
        <v>2</v>
      </c>
      <c r="K10" s="75">
        <v>1</v>
      </c>
      <c r="L10" s="75">
        <v>2</v>
      </c>
      <c r="M10" s="75">
        <v>1</v>
      </c>
      <c r="N10" s="75">
        <v>1</v>
      </c>
      <c r="O10" s="75">
        <v>2</v>
      </c>
      <c r="P10" s="75">
        <v>1</v>
      </c>
      <c r="Q10" s="75">
        <v>1</v>
      </c>
      <c r="R10" s="75">
        <v>2</v>
      </c>
      <c r="S10" s="171" cm="1">
        <f t="array" ref="S10">SUM(IF(C10:R10&gt;20, 0, 20-ROUND(C10:R10,0)))</f>
        <v>295</v>
      </c>
      <c r="T10" s="114">
        <f t="shared" ref="T10:T26" si="0">0.454*(S10/COLUMNS(C10:R10))</f>
        <v>8.3706250000000004</v>
      </c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60"/>
      <c r="BB10" s="159"/>
      <c r="BC10" s="159"/>
      <c r="BD10" s="159"/>
      <c r="BE10" s="159"/>
      <c r="BF10" s="159"/>
      <c r="BG10" s="159"/>
      <c r="BH10" s="159"/>
      <c r="BI10" s="159"/>
    </row>
    <row r="11" spans="1:61">
      <c r="A11" s="8"/>
      <c r="B11" s="12" t="s">
        <v>24</v>
      </c>
      <c r="C11" s="75">
        <v>7</v>
      </c>
      <c r="D11" s="75">
        <v>7</v>
      </c>
      <c r="E11" s="75">
        <v>3</v>
      </c>
      <c r="F11" s="75">
        <v>7</v>
      </c>
      <c r="G11" s="75"/>
      <c r="H11" s="75">
        <v>7</v>
      </c>
      <c r="I11" s="75">
        <v>7</v>
      </c>
      <c r="J11" s="75">
        <v>7</v>
      </c>
      <c r="K11" s="75">
        <v>7</v>
      </c>
      <c r="L11" s="75">
        <v>7</v>
      </c>
      <c r="M11" s="75">
        <v>7</v>
      </c>
      <c r="N11" s="75">
        <v>4</v>
      </c>
      <c r="O11" s="75">
        <v>12</v>
      </c>
      <c r="P11" s="75">
        <v>5</v>
      </c>
      <c r="Q11" s="75">
        <v>18</v>
      </c>
      <c r="R11" s="75">
        <v>7</v>
      </c>
      <c r="S11" s="171" cm="1">
        <f t="array" ref="S11">SUM(IF(C11:R11&gt;20, 0, 20-ROUND(C11:R11,0)))</f>
        <v>208</v>
      </c>
      <c r="T11" s="114">
        <f t="shared" si="0"/>
        <v>5.9020000000000001</v>
      </c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60"/>
      <c r="BB11" s="159"/>
      <c r="BC11" s="159"/>
      <c r="BD11" s="159"/>
      <c r="BE11" s="159"/>
      <c r="BF11" s="159"/>
      <c r="BG11" s="159"/>
      <c r="BH11" s="159"/>
      <c r="BI11" s="159"/>
    </row>
    <row r="12" spans="1:61">
      <c r="A12" s="8" t="s">
        <v>20</v>
      </c>
      <c r="B12" s="75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71"/>
      <c r="T12" s="114">
        <f t="shared" si="0"/>
        <v>0</v>
      </c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61"/>
      <c r="BB12" s="159"/>
      <c r="BC12" s="159"/>
      <c r="BD12" s="159"/>
      <c r="BE12" s="159"/>
      <c r="BF12" s="159"/>
      <c r="BG12" s="159"/>
      <c r="BH12" s="159"/>
      <c r="BI12" s="159"/>
    </row>
    <row r="13" spans="1:61">
      <c r="A13" s="8" t="s">
        <v>22</v>
      </c>
      <c r="B13" s="12" t="s">
        <v>23</v>
      </c>
      <c r="C13" s="75">
        <v>4</v>
      </c>
      <c r="D13" s="75">
        <v>1</v>
      </c>
      <c r="E13" s="75">
        <v>3</v>
      </c>
      <c r="F13" s="75">
        <v>1</v>
      </c>
      <c r="G13" s="75">
        <v>1</v>
      </c>
      <c r="H13" s="75">
        <v>2</v>
      </c>
      <c r="I13" s="75">
        <v>3</v>
      </c>
      <c r="J13" s="75">
        <v>3</v>
      </c>
      <c r="K13" s="75">
        <v>3.5</v>
      </c>
      <c r="L13" s="75">
        <v>3</v>
      </c>
      <c r="M13" s="75">
        <v>2</v>
      </c>
      <c r="N13" s="75">
        <v>7</v>
      </c>
      <c r="O13" s="75">
        <v>7</v>
      </c>
      <c r="P13" s="75">
        <v>3</v>
      </c>
      <c r="Q13" s="75">
        <v>1</v>
      </c>
      <c r="R13" s="75">
        <v>4</v>
      </c>
      <c r="S13" s="171" cm="1">
        <f t="array" ref="S13">SUM(IF(C13:R13&gt;20, 0, 20-ROUND(C13:R13,0)))</f>
        <v>271</v>
      </c>
      <c r="T13" s="114">
        <f t="shared" si="0"/>
        <v>7.6896250000000004</v>
      </c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60"/>
      <c r="BB13" s="159"/>
      <c r="BC13" s="159"/>
      <c r="BD13" s="159"/>
      <c r="BE13" s="159"/>
      <c r="BF13" s="159"/>
      <c r="BG13" s="159"/>
      <c r="BH13" s="159"/>
      <c r="BI13" s="159"/>
    </row>
    <row r="14" spans="1:61">
      <c r="A14" s="8"/>
      <c r="B14" s="12" t="s">
        <v>24</v>
      </c>
      <c r="C14" s="75">
        <v>7</v>
      </c>
      <c r="D14" s="75">
        <v>12</v>
      </c>
      <c r="E14" s="75">
        <v>4</v>
      </c>
      <c r="F14" s="75">
        <v>8</v>
      </c>
      <c r="G14" s="75">
        <v>7</v>
      </c>
      <c r="H14" s="75">
        <v>10</v>
      </c>
      <c r="I14" s="75">
        <v>10</v>
      </c>
      <c r="J14" s="75">
        <v>10</v>
      </c>
      <c r="K14" s="75">
        <v>11</v>
      </c>
      <c r="L14" s="75">
        <v>10</v>
      </c>
      <c r="M14" s="75">
        <v>7</v>
      </c>
      <c r="N14" s="75">
        <v>7</v>
      </c>
      <c r="O14" s="75">
        <v>12</v>
      </c>
      <c r="P14" s="75">
        <v>5</v>
      </c>
      <c r="Q14" s="75">
        <v>20</v>
      </c>
      <c r="R14" s="75">
        <v>10</v>
      </c>
      <c r="S14" s="171" cm="1">
        <f t="array" ref="S14">SUM(IF(C14:R14&gt;20, 0, 20-ROUND(C14:R14,0)))</f>
        <v>170</v>
      </c>
      <c r="T14" s="114">
        <f t="shared" si="0"/>
        <v>4.8237500000000004</v>
      </c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60"/>
      <c r="BB14" s="159"/>
      <c r="BC14" s="159"/>
      <c r="BD14" s="159"/>
      <c r="BE14" s="159"/>
      <c r="BF14" s="159"/>
      <c r="BG14" s="159"/>
      <c r="BH14" s="159"/>
      <c r="BI14" s="159"/>
    </row>
    <row r="15" spans="1:61">
      <c r="A15" s="8" t="s">
        <v>26</v>
      </c>
      <c r="B15" s="75" t="s">
        <v>27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70"/>
      <c r="T15" s="114">
        <f t="shared" si="0"/>
        <v>0</v>
      </c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61"/>
      <c r="BB15" s="159"/>
      <c r="BC15" s="159"/>
      <c r="BD15" s="159"/>
      <c r="BE15" s="159"/>
      <c r="BF15" s="159"/>
      <c r="BG15" s="159"/>
      <c r="BH15" s="159"/>
      <c r="BI15" s="159"/>
    </row>
    <row r="16" spans="1:61">
      <c r="A16" s="8"/>
      <c r="B16" s="12" t="s">
        <v>23</v>
      </c>
      <c r="C16" s="75">
        <v>10</v>
      </c>
      <c r="D16" s="75">
        <v>10</v>
      </c>
      <c r="E16" s="75"/>
      <c r="F16" s="75">
        <v>8</v>
      </c>
      <c r="G16" s="75">
        <v>15</v>
      </c>
      <c r="H16" s="75">
        <v>15</v>
      </c>
      <c r="I16" s="75">
        <v>11</v>
      </c>
      <c r="J16" s="75">
        <v>15</v>
      </c>
      <c r="K16" s="75">
        <v>0</v>
      </c>
      <c r="L16" s="9"/>
      <c r="M16" s="75">
        <v>12</v>
      </c>
      <c r="N16" s="75">
        <v>0</v>
      </c>
      <c r="O16" s="75"/>
      <c r="P16" s="75">
        <v>18</v>
      </c>
      <c r="Q16" s="75">
        <v>10</v>
      </c>
      <c r="R16" s="75">
        <v>10</v>
      </c>
      <c r="S16" s="171">
        <f>SUM(C16:R16)</f>
        <v>134</v>
      </c>
      <c r="T16" s="114">
        <f t="shared" si="0"/>
        <v>3.8022499999999999</v>
      </c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60"/>
      <c r="BB16" s="159"/>
      <c r="BC16" s="159"/>
      <c r="BD16" s="159"/>
      <c r="BE16" s="159"/>
      <c r="BF16" s="159"/>
      <c r="BG16" s="159"/>
      <c r="BH16" s="159"/>
      <c r="BI16" s="159"/>
    </row>
    <row r="17" spans="1:61">
      <c r="A17" s="8"/>
      <c r="B17" s="12" t="s">
        <v>24</v>
      </c>
      <c r="C17" s="75">
        <v>10</v>
      </c>
      <c r="D17" s="75">
        <v>16</v>
      </c>
      <c r="E17" s="75"/>
      <c r="F17" s="75">
        <v>8</v>
      </c>
      <c r="G17" s="75">
        <v>15</v>
      </c>
      <c r="H17" s="75">
        <v>15</v>
      </c>
      <c r="I17" s="75">
        <v>11</v>
      </c>
      <c r="J17" s="75">
        <v>15</v>
      </c>
      <c r="K17" s="75">
        <v>10</v>
      </c>
      <c r="L17" s="75">
        <v>2.5</v>
      </c>
      <c r="M17" s="75">
        <v>12</v>
      </c>
      <c r="N17" s="75">
        <v>15</v>
      </c>
      <c r="O17" s="75">
        <v>16</v>
      </c>
      <c r="P17" s="75">
        <v>18</v>
      </c>
      <c r="Q17" s="75">
        <v>10</v>
      </c>
      <c r="R17" s="75">
        <v>13</v>
      </c>
      <c r="S17" s="171">
        <f>SUM(C17:R17)</f>
        <v>186.5</v>
      </c>
      <c r="T17" s="114">
        <f t="shared" si="0"/>
        <v>5.2919375000000004</v>
      </c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60"/>
      <c r="BB17" s="159"/>
      <c r="BC17" s="159"/>
      <c r="BD17" s="159"/>
      <c r="BE17" s="159"/>
      <c r="BF17" s="159"/>
      <c r="BG17" s="159"/>
      <c r="BH17" s="159"/>
      <c r="BI17" s="159"/>
    </row>
    <row r="18" spans="1:61">
      <c r="A18" s="8" t="s">
        <v>26</v>
      </c>
      <c r="B18" s="75" t="s">
        <v>28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70"/>
      <c r="T18" s="114">
        <f t="shared" si="0"/>
        <v>0</v>
      </c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61"/>
      <c r="BB18" s="159"/>
      <c r="BC18" s="159"/>
      <c r="BD18" s="159"/>
      <c r="BE18" s="159"/>
      <c r="BF18" s="159"/>
      <c r="BG18" s="159"/>
      <c r="BH18" s="159"/>
      <c r="BI18" s="159"/>
    </row>
    <row r="19" spans="1:61">
      <c r="A19" s="8" t="s">
        <v>29</v>
      </c>
      <c r="B19" s="12" t="s">
        <v>23</v>
      </c>
      <c r="C19" s="75">
        <v>56</v>
      </c>
      <c r="D19" s="75">
        <v>56</v>
      </c>
      <c r="E19" s="75">
        <v>40</v>
      </c>
      <c r="F19" s="75">
        <v>61</v>
      </c>
      <c r="G19" s="75">
        <v>62</v>
      </c>
      <c r="H19" s="75">
        <v>62</v>
      </c>
      <c r="I19" s="75">
        <v>63</v>
      </c>
      <c r="J19" s="75">
        <v>63</v>
      </c>
      <c r="K19" s="75">
        <v>66</v>
      </c>
      <c r="L19" s="75">
        <v>66</v>
      </c>
      <c r="M19" s="75">
        <v>68</v>
      </c>
      <c r="N19" s="75">
        <v>69</v>
      </c>
      <c r="O19" s="75">
        <v>60</v>
      </c>
      <c r="P19" s="75">
        <v>68</v>
      </c>
      <c r="Q19" s="75">
        <v>70</v>
      </c>
      <c r="R19" s="75">
        <v>73</v>
      </c>
      <c r="S19" s="171" cm="1">
        <f t="array" ref="S19">SUM(IF(C19:R19&gt;20, 20, C19:R19))</f>
        <v>320</v>
      </c>
      <c r="T19" s="114">
        <f t="shared" si="0"/>
        <v>9.08</v>
      </c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60"/>
      <c r="BB19" s="159"/>
      <c r="BC19" s="159"/>
      <c r="BD19" s="159"/>
      <c r="BE19" s="159"/>
      <c r="BF19" s="159"/>
      <c r="BG19" s="159"/>
      <c r="BH19" s="159"/>
      <c r="BI19" s="159"/>
    </row>
    <row r="20" spans="1:61">
      <c r="A20" s="8"/>
      <c r="B20" s="12" t="s">
        <v>24</v>
      </c>
      <c r="C20" s="75">
        <v>56</v>
      </c>
      <c r="D20" s="75">
        <v>56</v>
      </c>
      <c r="E20" s="75">
        <v>40</v>
      </c>
      <c r="F20" s="75">
        <v>61</v>
      </c>
      <c r="G20" s="75">
        <v>62</v>
      </c>
      <c r="H20" s="75">
        <v>62</v>
      </c>
      <c r="I20" s="75">
        <v>63</v>
      </c>
      <c r="J20" s="75">
        <v>63</v>
      </c>
      <c r="K20" s="75">
        <v>66</v>
      </c>
      <c r="L20" s="75">
        <v>66</v>
      </c>
      <c r="M20" s="75">
        <v>68</v>
      </c>
      <c r="N20" s="75">
        <v>69</v>
      </c>
      <c r="O20" s="75">
        <v>72</v>
      </c>
      <c r="P20" s="75">
        <v>68</v>
      </c>
      <c r="Q20" s="75">
        <v>70</v>
      </c>
      <c r="R20" s="75">
        <v>73</v>
      </c>
      <c r="S20" s="171" cm="1">
        <f t="array" ref="S20">SUM(IF(C20:R20&gt;20, 20, C20:R20))</f>
        <v>320</v>
      </c>
      <c r="T20" s="114">
        <f t="shared" si="0"/>
        <v>9.08</v>
      </c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60"/>
      <c r="BB20" s="159"/>
      <c r="BC20" s="159"/>
      <c r="BD20" s="159"/>
      <c r="BE20" s="159"/>
      <c r="BF20" s="159"/>
      <c r="BG20" s="159"/>
      <c r="BH20" s="159"/>
      <c r="BI20" s="159"/>
    </row>
    <row r="21" spans="1:61">
      <c r="A21" s="8" t="s">
        <v>26</v>
      </c>
      <c r="B21" s="75" t="s">
        <v>30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75"/>
      <c r="P21" s="9"/>
      <c r="Q21" s="9"/>
      <c r="R21" s="9"/>
      <c r="S21" s="171" cm="1">
        <f t="array" ref="S21">SUM(IF(C21:R21&gt;20, 20, C21:R21))</f>
        <v>0</v>
      </c>
      <c r="T21" s="114">
        <f t="shared" si="0"/>
        <v>0</v>
      </c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61"/>
      <c r="BB21" s="159"/>
      <c r="BC21" s="159"/>
      <c r="BD21" s="159"/>
      <c r="BE21" s="159"/>
      <c r="BF21" s="159"/>
      <c r="BG21" s="159"/>
      <c r="BH21" s="159"/>
      <c r="BI21" s="159"/>
    </row>
    <row r="22" spans="1:61">
      <c r="A22" s="8" t="s">
        <v>29</v>
      </c>
      <c r="B22" s="12" t="s">
        <v>23</v>
      </c>
      <c r="C22" s="75">
        <v>56</v>
      </c>
      <c r="D22" s="75">
        <v>56</v>
      </c>
      <c r="E22" s="75">
        <v>60</v>
      </c>
      <c r="F22" s="75">
        <v>61</v>
      </c>
      <c r="G22" s="75">
        <v>62</v>
      </c>
      <c r="H22" s="75">
        <v>62</v>
      </c>
      <c r="I22" s="75">
        <v>63</v>
      </c>
      <c r="J22" s="75">
        <v>63</v>
      </c>
      <c r="K22" s="75">
        <v>66</v>
      </c>
      <c r="L22" s="75">
        <v>68</v>
      </c>
      <c r="M22" s="75">
        <v>68</v>
      </c>
      <c r="N22" s="75">
        <v>69</v>
      </c>
      <c r="O22" s="75">
        <v>72</v>
      </c>
      <c r="P22" s="75">
        <v>72</v>
      </c>
      <c r="Q22" s="75">
        <v>73</v>
      </c>
      <c r="R22" s="75">
        <v>73</v>
      </c>
      <c r="S22" s="171" cm="1">
        <f t="array" ref="S22">SUM(IF(C22:R22&gt;20, 20, C22:R22))</f>
        <v>320</v>
      </c>
      <c r="T22" s="114">
        <f t="shared" si="0"/>
        <v>9.08</v>
      </c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60"/>
      <c r="BB22" s="159"/>
      <c r="BC22" s="159"/>
      <c r="BD22" s="159"/>
      <c r="BE22" s="159"/>
      <c r="BF22" s="159"/>
      <c r="BG22" s="159"/>
      <c r="BH22" s="159"/>
      <c r="BI22" s="159"/>
    </row>
    <row r="23" spans="1:61">
      <c r="A23" s="8"/>
      <c r="B23" s="12" t="s">
        <v>24</v>
      </c>
      <c r="C23" s="75">
        <v>56</v>
      </c>
      <c r="D23" s="75"/>
      <c r="E23" s="75">
        <v>60</v>
      </c>
      <c r="F23" s="75">
        <v>61</v>
      </c>
      <c r="G23" s="75"/>
      <c r="H23" s="75">
        <v>0</v>
      </c>
      <c r="I23" s="75">
        <v>63</v>
      </c>
      <c r="J23" s="75">
        <v>63</v>
      </c>
      <c r="K23" s="75">
        <v>66</v>
      </c>
      <c r="L23" s="75">
        <v>68</v>
      </c>
      <c r="M23" s="75">
        <v>68</v>
      </c>
      <c r="N23" s="75">
        <v>69</v>
      </c>
      <c r="O23" s="75">
        <v>0</v>
      </c>
      <c r="P23" s="75">
        <v>72</v>
      </c>
      <c r="Q23" s="75">
        <v>48</v>
      </c>
      <c r="R23" s="75">
        <v>0</v>
      </c>
      <c r="S23" s="171" cm="1">
        <f t="array" ref="S23">SUM(IF(C23:R23&gt;20, 20, C23:R23))</f>
        <v>220</v>
      </c>
      <c r="T23" s="114">
        <f t="shared" si="0"/>
        <v>6.2425000000000006</v>
      </c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60"/>
      <c r="BB23" s="159"/>
      <c r="BC23" s="159"/>
      <c r="BD23" s="159"/>
      <c r="BE23" s="159"/>
      <c r="BF23" s="159"/>
      <c r="BG23" s="159"/>
      <c r="BH23" s="159"/>
      <c r="BI23" s="159"/>
    </row>
    <row r="24" spans="1:61">
      <c r="A24" s="8" t="s">
        <v>26</v>
      </c>
      <c r="B24" s="75" t="s">
        <v>31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71" cm="1">
        <f t="array" ref="S24">SUM(IF(C24:R24&gt;20, 20, C24:R24))</f>
        <v>0</v>
      </c>
      <c r="T24" s="114">
        <f t="shared" si="0"/>
        <v>0</v>
      </c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61"/>
      <c r="BB24" s="159"/>
      <c r="BC24" s="159"/>
      <c r="BD24" s="159"/>
      <c r="BE24" s="159"/>
      <c r="BF24" s="159"/>
      <c r="BG24" s="159"/>
      <c r="BH24" s="159"/>
      <c r="BI24" s="159"/>
    </row>
    <row r="25" spans="1:61">
      <c r="A25" s="8" t="s">
        <v>29</v>
      </c>
      <c r="B25" s="12" t="s">
        <v>23</v>
      </c>
      <c r="C25" s="75">
        <v>16</v>
      </c>
      <c r="D25" s="75">
        <v>28</v>
      </c>
      <c r="E25" s="75">
        <v>30</v>
      </c>
      <c r="F25" s="75">
        <v>40</v>
      </c>
      <c r="G25" s="75">
        <v>40</v>
      </c>
      <c r="H25" s="75">
        <v>35</v>
      </c>
      <c r="I25" s="75">
        <v>29</v>
      </c>
      <c r="J25" s="75"/>
      <c r="K25" s="75">
        <v>10</v>
      </c>
      <c r="L25" s="75">
        <v>20</v>
      </c>
      <c r="M25" s="75">
        <v>68</v>
      </c>
      <c r="N25" s="75">
        <v>47</v>
      </c>
      <c r="O25" s="75">
        <v>35</v>
      </c>
      <c r="P25" s="75">
        <v>53</v>
      </c>
      <c r="Q25" s="75">
        <v>73</v>
      </c>
      <c r="R25" s="75">
        <v>0</v>
      </c>
      <c r="S25" s="171" cm="1">
        <f t="array" ref="S25">SUM(IF(C25:R25&gt;20, 20, C25:R25))</f>
        <v>266</v>
      </c>
      <c r="T25" s="114">
        <f t="shared" si="0"/>
        <v>7.5477500000000006</v>
      </c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60"/>
      <c r="BB25" s="159"/>
      <c r="BC25" s="159"/>
      <c r="BD25" s="159"/>
      <c r="BE25" s="159"/>
      <c r="BF25" s="159"/>
      <c r="BG25" s="159"/>
      <c r="BH25" s="159"/>
      <c r="BI25" s="159"/>
    </row>
    <row r="26" spans="1:61">
      <c r="A26" s="12"/>
      <c r="B26" s="12" t="s">
        <v>24</v>
      </c>
      <c r="C26" s="75">
        <v>16</v>
      </c>
      <c r="D26" s="75">
        <v>28</v>
      </c>
      <c r="E26" s="75">
        <v>30</v>
      </c>
      <c r="F26" s="75">
        <v>40</v>
      </c>
      <c r="G26" s="75"/>
      <c r="H26" s="75">
        <v>35</v>
      </c>
      <c r="I26" s="75">
        <v>29</v>
      </c>
      <c r="J26" s="75"/>
      <c r="K26" s="75">
        <v>20</v>
      </c>
      <c r="L26" s="75">
        <v>2</v>
      </c>
      <c r="M26" s="75">
        <v>68</v>
      </c>
      <c r="N26" s="75">
        <v>47</v>
      </c>
      <c r="O26" s="75">
        <v>20</v>
      </c>
      <c r="P26" s="75">
        <v>53</v>
      </c>
      <c r="Q26" s="75">
        <v>50</v>
      </c>
      <c r="R26" s="75">
        <v>14</v>
      </c>
      <c r="S26" s="171" cm="1">
        <f t="array" ref="S26">SUM(IF(C26:R26&gt;20, 20, C26:R26))</f>
        <v>252</v>
      </c>
      <c r="T26" s="114">
        <f t="shared" si="0"/>
        <v>7.1505000000000001</v>
      </c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60"/>
      <c r="BB26" s="159"/>
      <c r="BC26" s="159"/>
      <c r="BD26" s="159"/>
      <c r="BE26" s="159"/>
      <c r="BF26" s="159"/>
      <c r="BG26" s="159"/>
      <c r="BH26" s="159"/>
      <c r="BI26" s="159"/>
    </row>
    <row r="27" spans="1:61">
      <c r="A27" s="14"/>
      <c r="B27" s="14" t="s">
        <v>32</v>
      </c>
      <c r="C27" s="15">
        <f t="shared" ref="C27:R27" si="1">0.454*(IF(C10&gt;20, 0, 20-ROUND(C10,0)) + IF(C13&gt;20, 0, 20-ROUND(C13,0)) + C16 + IF(C19&gt;20, 20, C19) + IF(C22&gt;20, 20, C22) + IF(C25&gt;20, 20, C25))</f>
        <v>45.4</v>
      </c>
      <c r="D27" s="15">
        <f t="shared" si="1"/>
        <v>49.032000000000004</v>
      </c>
      <c r="E27" s="15">
        <f t="shared" si="1"/>
        <v>43.13</v>
      </c>
      <c r="F27" s="15">
        <f t="shared" si="1"/>
        <v>47.67</v>
      </c>
      <c r="G27" s="15">
        <f t="shared" si="1"/>
        <v>51.302</v>
      </c>
      <c r="H27" s="15">
        <f t="shared" si="1"/>
        <v>50.393999999999998</v>
      </c>
      <c r="I27" s="15">
        <f t="shared" si="1"/>
        <v>48.124000000000002</v>
      </c>
      <c r="J27" s="15">
        <f t="shared" si="1"/>
        <v>40.86</v>
      </c>
      <c r="K27" s="15">
        <f t="shared" si="1"/>
        <v>38.590000000000003</v>
      </c>
      <c r="L27" s="15">
        <f t="shared" si="1"/>
        <v>43.13</v>
      </c>
      <c r="M27" s="15">
        <f t="shared" si="1"/>
        <v>49.486000000000004</v>
      </c>
      <c r="N27" s="15">
        <f t="shared" si="1"/>
        <v>41.768000000000001</v>
      </c>
      <c r="O27" s="15">
        <f t="shared" si="1"/>
        <v>41.314</v>
      </c>
      <c r="P27" s="15">
        <f t="shared" si="1"/>
        <v>51.756</v>
      </c>
      <c r="Q27" s="15">
        <f t="shared" si="1"/>
        <v>49.032000000000004</v>
      </c>
      <c r="R27" s="15">
        <f t="shared" si="1"/>
        <v>38.136000000000003</v>
      </c>
      <c r="S27" s="172">
        <f>AVERAGE(C27:R27)</f>
        <v>45.570250000000001</v>
      </c>
      <c r="T27" s="15">
        <f t="shared" ref="T27:T28" si="2">T10+T13+T16+T19+T22+T25</f>
        <v>45.570250000000001</v>
      </c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60"/>
      <c r="BB27" s="159"/>
      <c r="BC27" s="159"/>
      <c r="BD27" s="159"/>
      <c r="BE27" s="159"/>
      <c r="BF27" s="159"/>
      <c r="BG27" s="159"/>
      <c r="BH27" s="159"/>
      <c r="BI27" s="159"/>
    </row>
    <row r="28" spans="1:61">
      <c r="A28" s="12"/>
      <c r="B28" s="12" t="s">
        <v>33</v>
      </c>
      <c r="C28" s="75">
        <f t="shared" ref="C28:R28" si="3">0.454*(IF(C11&gt;20, 0, 20-ROUND(C11,0)) + IF(C14&gt;20, 0, 20-ROUND(C14,0)) + C17 + IF(C20&gt;20, 20, C20) + IF(C23&gt;20, 20, C23) + IF(C26&gt;20, 20, C26))</f>
        <v>41.768000000000001</v>
      </c>
      <c r="D28" s="75">
        <f t="shared" si="3"/>
        <v>34.957999999999998</v>
      </c>
      <c r="E28" s="75">
        <f t="shared" si="3"/>
        <v>42.222000000000001</v>
      </c>
      <c r="F28" s="75">
        <f t="shared" si="3"/>
        <v>42.222000000000001</v>
      </c>
      <c r="G28" s="75">
        <f t="shared" si="3"/>
        <v>30.872</v>
      </c>
      <c r="H28" s="75">
        <f t="shared" si="3"/>
        <v>35.411999999999999</v>
      </c>
      <c r="I28" s="75">
        <f t="shared" si="3"/>
        <v>42.676000000000002</v>
      </c>
      <c r="J28" s="75">
        <f t="shared" si="3"/>
        <v>35.411999999999999</v>
      </c>
      <c r="K28" s="75">
        <f t="shared" si="3"/>
        <v>41.768000000000001</v>
      </c>
      <c r="L28" s="75">
        <f t="shared" si="3"/>
        <v>30.645</v>
      </c>
      <c r="M28" s="75">
        <f t="shared" si="3"/>
        <v>44.492000000000004</v>
      </c>
      <c r="N28" s="75">
        <f t="shared" si="3"/>
        <v>47.216000000000001</v>
      </c>
      <c r="O28" s="75">
        <f t="shared" si="3"/>
        <v>32.688000000000002</v>
      </c>
      <c r="P28" s="75">
        <f t="shared" si="3"/>
        <v>49.032000000000004</v>
      </c>
      <c r="Q28" s="75">
        <f t="shared" si="3"/>
        <v>32.688000000000002</v>
      </c>
      <c r="R28" s="75">
        <f t="shared" si="3"/>
        <v>31.78</v>
      </c>
      <c r="S28" s="171">
        <f>AVERAGE(C28:R28)</f>
        <v>38.4906875</v>
      </c>
      <c r="T28" s="114">
        <f t="shared" si="2"/>
        <v>38.4906875</v>
      </c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60"/>
      <c r="BB28" s="159"/>
      <c r="BC28" s="159"/>
      <c r="BD28" s="159"/>
      <c r="BE28" s="159"/>
      <c r="BF28" s="159"/>
      <c r="BG28" s="159"/>
      <c r="BH28" s="159"/>
      <c r="BI28" s="159"/>
    </row>
    <row r="29" spans="1:61">
      <c r="A29" s="19"/>
      <c r="B29" s="19" t="s">
        <v>34</v>
      </c>
      <c r="C29" s="20">
        <f t="shared" ref="C29:R29" si="4">C27-C28</f>
        <v>3.6319999999999979</v>
      </c>
      <c r="D29" s="20">
        <f t="shared" si="4"/>
        <v>14.074000000000005</v>
      </c>
      <c r="E29" s="20">
        <f t="shared" si="4"/>
        <v>0.90800000000000125</v>
      </c>
      <c r="F29" s="20">
        <f t="shared" si="4"/>
        <v>5.4480000000000004</v>
      </c>
      <c r="G29" s="20">
        <f t="shared" si="4"/>
        <v>20.43</v>
      </c>
      <c r="H29" s="20">
        <f t="shared" si="4"/>
        <v>14.981999999999999</v>
      </c>
      <c r="I29" s="20">
        <f t="shared" si="4"/>
        <v>5.4480000000000004</v>
      </c>
      <c r="J29" s="20">
        <f t="shared" si="4"/>
        <v>5.4480000000000004</v>
      </c>
      <c r="K29" s="20">
        <f t="shared" si="4"/>
        <v>-3.1779999999999973</v>
      </c>
      <c r="L29" s="20">
        <f t="shared" si="4"/>
        <v>12.485000000000003</v>
      </c>
      <c r="M29" s="20">
        <f t="shared" si="4"/>
        <v>4.9939999999999998</v>
      </c>
      <c r="N29" s="20">
        <f t="shared" si="4"/>
        <v>-5.4480000000000004</v>
      </c>
      <c r="O29" s="20">
        <f t="shared" si="4"/>
        <v>8.6259999999999977</v>
      </c>
      <c r="P29" s="20">
        <f t="shared" si="4"/>
        <v>2.7239999999999966</v>
      </c>
      <c r="Q29" s="20">
        <f t="shared" si="4"/>
        <v>16.344000000000001</v>
      </c>
      <c r="R29" s="20">
        <f t="shared" si="4"/>
        <v>6.3560000000000016</v>
      </c>
      <c r="S29" s="173">
        <f>AVERAGE(C29:R29)</f>
        <v>7.0795624999999998</v>
      </c>
      <c r="T29" s="20">
        <f>T27-T28</f>
        <v>7.0795625000000015</v>
      </c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60"/>
      <c r="BB29" s="159"/>
      <c r="BC29" s="159"/>
      <c r="BD29" s="159"/>
      <c r="BE29" s="159"/>
      <c r="BF29" s="159"/>
      <c r="BG29" s="159"/>
      <c r="BH29" s="159"/>
      <c r="BI29" s="159"/>
    </row>
    <row r="30" spans="1:61">
      <c r="A30" s="23" t="s">
        <v>35</v>
      </c>
      <c r="B30" s="85" t="s">
        <v>36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129"/>
      <c r="T30" s="115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61"/>
      <c r="BB30" s="159"/>
      <c r="BC30" s="159"/>
      <c r="BD30" s="159"/>
      <c r="BE30" s="159"/>
      <c r="BF30" s="159"/>
      <c r="BG30" s="159"/>
      <c r="BH30" s="159"/>
      <c r="BI30" s="159"/>
    </row>
    <row r="31" spans="1:61">
      <c r="A31" s="76"/>
      <c r="B31" s="76" t="s">
        <v>37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129"/>
      <c r="T31" s="115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61"/>
      <c r="BB31" s="159"/>
      <c r="BC31" s="159"/>
      <c r="BD31" s="159"/>
      <c r="BE31" s="159"/>
      <c r="BF31" s="159"/>
      <c r="BG31" s="159"/>
      <c r="BH31" s="159"/>
      <c r="BI31" s="159"/>
    </row>
    <row r="32" spans="1:61">
      <c r="A32" s="27"/>
      <c r="B32" s="27" t="s">
        <v>23</v>
      </c>
      <c r="C32" s="76">
        <v>90</v>
      </c>
      <c r="D32" s="76">
        <v>90</v>
      </c>
      <c r="E32" s="76">
        <v>83</v>
      </c>
      <c r="F32" s="76">
        <v>90</v>
      </c>
      <c r="G32" s="76">
        <v>100</v>
      </c>
      <c r="H32" s="76">
        <v>90</v>
      </c>
      <c r="I32" s="76">
        <v>56</v>
      </c>
      <c r="J32" s="76">
        <v>80</v>
      </c>
      <c r="K32" s="76">
        <v>100</v>
      </c>
      <c r="L32" s="76">
        <v>50</v>
      </c>
      <c r="M32" s="76">
        <v>80</v>
      </c>
      <c r="N32" s="76">
        <v>95</v>
      </c>
      <c r="O32" s="76">
        <v>100</v>
      </c>
      <c r="P32" s="76">
        <v>50</v>
      </c>
      <c r="Q32" s="76">
        <v>65</v>
      </c>
      <c r="R32" s="76">
        <v>90</v>
      </c>
      <c r="S32" s="174">
        <f t="shared" ref="S32:S50" si="5">SUM(C32:R32)</f>
        <v>1309</v>
      </c>
      <c r="T32" s="116">
        <f t="shared" ref="T32:T50" si="6">0.109*(S32/COLUMNS(C32:R32))</f>
        <v>8.9175625000000007</v>
      </c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60"/>
      <c r="BB32" s="159"/>
      <c r="BC32" s="159"/>
      <c r="BD32" s="159"/>
      <c r="BE32" s="159"/>
      <c r="BF32" s="159"/>
      <c r="BG32" s="159"/>
      <c r="BH32" s="159"/>
      <c r="BI32" s="159"/>
    </row>
    <row r="33" spans="1:61">
      <c r="A33" s="27"/>
      <c r="B33" s="27" t="s">
        <v>24</v>
      </c>
      <c r="C33" s="76">
        <v>10</v>
      </c>
      <c r="D33" s="76">
        <v>10</v>
      </c>
      <c r="E33" s="76">
        <v>17</v>
      </c>
      <c r="F33" s="76">
        <v>10</v>
      </c>
      <c r="G33" s="76"/>
      <c r="H33" s="76">
        <v>10</v>
      </c>
      <c r="I33" s="76">
        <v>44</v>
      </c>
      <c r="J33" s="76">
        <v>20</v>
      </c>
      <c r="K33" s="76"/>
      <c r="L33" s="76">
        <v>50</v>
      </c>
      <c r="M33" s="76">
        <v>20</v>
      </c>
      <c r="N33" s="76">
        <v>5</v>
      </c>
      <c r="O33" s="76"/>
      <c r="P33" s="76">
        <v>50</v>
      </c>
      <c r="Q33" s="76">
        <v>35</v>
      </c>
      <c r="R33" s="76">
        <v>10</v>
      </c>
      <c r="S33" s="174">
        <f t="shared" si="5"/>
        <v>291</v>
      </c>
      <c r="T33" s="116">
        <f t="shared" si="6"/>
        <v>1.9824375000000001</v>
      </c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60"/>
      <c r="BB33" s="159"/>
      <c r="BC33" s="159"/>
      <c r="BD33" s="159"/>
      <c r="BE33" s="159"/>
      <c r="BF33" s="159"/>
      <c r="BG33" s="159"/>
      <c r="BH33" s="159"/>
      <c r="BI33" s="159"/>
    </row>
    <row r="34" spans="1:61">
      <c r="A34" s="27"/>
      <c r="B34" s="27" t="s">
        <v>38</v>
      </c>
      <c r="C34" s="24"/>
      <c r="D34" s="76"/>
      <c r="E34" s="76"/>
      <c r="F34" s="76"/>
      <c r="G34" s="76"/>
      <c r="H34" s="76"/>
      <c r="I34" s="76"/>
      <c r="J34" s="76"/>
      <c r="K34" s="76"/>
      <c r="L34" s="24"/>
      <c r="M34" s="24"/>
      <c r="N34" s="76"/>
      <c r="O34" s="76"/>
      <c r="P34" s="24"/>
      <c r="Q34" s="24"/>
      <c r="R34" s="24"/>
      <c r="S34" s="174">
        <f t="shared" si="5"/>
        <v>0</v>
      </c>
      <c r="T34" s="116">
        <f t="shared" si="6"/>
        <v>0</v>
      </c>
      <c r="U34" s="160"/>
      <c r="V34" s="161"/>
      <c r="W34" s="160"/>
      <c r="X34" s="160"/>
      <c r="Y34" s="160"/>
      <c r="Z34" s="161"/>
      <c r="AA34" s="161"/>
      <c r="AB34" s="160"/>
      <c r="AC34" s="160"/>
      <c r="AD34" s="160"/>
      <c r="AE34" s="161"/>
      <c r="AF34" s="160"/>
      <c r="AG34" s="161"/>
      <c r="AH34" s="161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60"/>
      <c r="BB34" s="159"/>
      <c r="BC34" s="159"/>
      <c r="BD34" s="159"/>
      <c r="BE34" s="159"/>
      <c r="BF34" s="159"/>
      <c r="BG34" s="159"/>
      <c r="BH34" s="159"/>
      <c r="BI34" s="159"/>
    </row>
    <row r="35" spans="1:61">
      <c r="A35" s="76"/>
      <c r="B35" s="76" t="s">
        <v>39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174">
        <f t="shared" si="5"/>
        <v>0</v>
      </c>
      <c r="T35" s="116">
        <f t="shared" si="6"/>
        <v>0</v>
      </c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61"/>
      <c r="BB35" s="159"/>
      <c r="BC35" s="159"/>
      <c r="BD35" s="159"/>
      <c r="BE35" s="159"/>
      <c r="BF35" s="159"/>
      <c r="BG35" s="159"/>
      <c r="BH35" s="159"/>
      <c r="BI35" s="159"/>
    </row>
    <row r="36" spans="1:61">
      <c r="A36" s="27"/>
      <c r="B36" s="27" t="s">
        <v>23</v>
      </c>
      <c r="C36" s="76">
        <v>90</v>
      </c>
      <c r="D36" s="76">
        <v>100</v>
      </c>
      <c r="E36" s="76">
        <v>83</v>
      </c>
      <c r="F36" s="76">
        <v>90</v>
      </c>
      <c r="G36" s="76">
        <v>100</v>
      </c>
      <c r="H36" s="76">
        <v>90</v>
      </c>
      <c r="I36" s="76">
        <v>59</v>
      </c>
      <c r="J36" s="76">
        <v>90</v>
      </c>
      <c r="K36" s="76">
        <v>100</v>
      </c>
      <c r="L36" s="76">
        <v>90</v>
      </c>
      <c r="M36" s="76">
        <v>80</v>
      </c>
      <c r="N36" s="76">
        <v>100</v>
      </c>
      <c r="O36" s="76">
        <v>100</v>
      </c>
      <c r="P36" s="76">
        <v>90</v>
      </c>
      <c r="Q36" s="76">
        <v>83</v>
      </c>
      <c r="R36" s="76">
        <v>100</v>
      </c>
      <c r="S36" s="174">
        <f t="shared" si="5"/>
        <v>1445</v>
      </c>
      <c r="T36" s="116">
        <f t="shared" si="6"/>
        <v>9.8440624999999997</v>
      </c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60"/>
      <c r="BB36" s="159"/>
      <c r="BC36" s="159"/>
      <c r="BD36" s="159"/>
      <c r="BE36" s="159"/>
      <c r="BF36" s="159"/>
      <c r="BG36" s="159"/>
      <c r="BH36" s="159"/>
      <c r="BI36" s="159"/>
    </row>
    <row r="37" spans="1:61">
      <c r="A37" s="27"/>
      <c r="B37" s="27" t="s">
        <v>24</v>
      </c>
      <c r="C37" s="76">
        <v>10</v>
      </c>
      <c r="D37" s="76"/>
      <c r="E37" s="76">
        <v>17</v>
      </c>
      <c r="F37" s="76">
        <v>10</v>
      </c>
      <c r="G37" s="76"/>
      <c r="H37" s="76">
        <v>10</v>
      </c>
      <c r="I37" s="76">
        <v>41</v>
      </c>
      <c r="J37" s="76">
        <v>10</v>
      </c>
      <c r="K37" s="76"/>
      <c r="L37" s="76">
        <v>10</v>
      </c>
      <c r="M37" s="76">
        <v>20</v>
      </c>
      <c r="N37" s="76"/>
      <c r="O37" s="76"/>
      <c r="P37" s="76">
        <v>10</v>
      </c>
      <c r="Q37" s="76">
        <v>17</v>
      </c>
      <c r="R37" s="76"/>
      <c r="S37" s="174">
        <f t="shared" si="5"/>
        <v>155</v>
      </c>
      <c r="T37" s="116">
        <f t="shared" si="6"/>
        <v>1.0559375</v>
      </c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60"/>
      <c r="BB37" s="159"/>
      <c r="BC37" s="159"/>
      <c r="BD37" s="159"/>
      <c r="BE37" s="159"/>
      <c r="BF37" s="159"/>
      <c r="BG37" s="159"/>
      <c r="BH37" s="159"/>
      <c r="BI37" s="159"/>
    </row>
    <row r="38" spans="1:61">
      <c r="A38" s="27"/>
      <c r="B38" s="27" t="s">
        <v>38</v>
      </c>
      <c r="C38" s="24"/>
      <c r="D38" s="76"/>
      <c r="E38" s="76"/>
      <c r="F38" s="76"/>
      <c r="G38" s="76"/>
      <c r="H38" s="76"/>
      <c r="I38" s="76"/>
      <c r="J38" s="76"/>
      <c r="K38" s="76"/>
      <c r="L38" s="24"/>
      <c r="M38" s="24"/>
      <c r="N38" s="76"/>
      <c r="O38" s="24"/>
      <c r="P38" s="24"/>
      <c r="Q38" s="24"/>
      <c r="R38" s="24"/>
      <c r="S38" s="174">
        <f t="shared" si="5"/>
        <v>0</v>
      </c>
      <c r="T38" s="116">
        <f t="shared" si="6"/>
        <v>0</v>
      </c>
      <c r="U38" s="161"/>
      <c r="V38" s="161"/>
      <c r="W38" s="160"/>
      <c r="X38" s="160"/>
      <c r="Y38" s="160"/>
      <c r="Z38" s="161"/>
      <c r="AA38" s="161"/>
      <c r="AB38" s="160"/>
      <c r="AC38" s="160"/>
      <c r="AD38" s="160"/>
      <c r="AE38" s="161"/>
      <c r="AF38" s="160"/>
      <c r="AG38" s="161"/>
      <c r="AH38" s="161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60"/>
      <c r="BB38" s="159"/>
      <c r="BC38" s="159"/>
      <c r="BD38" s="159"/>
      <c r="BE38" s="159"/>
      <c r="BF38" s="159"/>
      <c r="BG38" s="159"/>
      <c r="BH38" s="159"/>
      <c r="BI38" s="159"/>
    </row>
    <row r="39" spans="1:61">
      <c r="A39" s="76"/>
      <c r="B39" s="76" t="s">
        <v>40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174">
        <f t="shared" si="5"/>
        <v>0</v>
      </c>
      <c r="T39" s="116">
        <f t="shared" si="6"/>
        <v>0</v>
      </c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61"/>
      <c r="BB39" s="159"/>
      <c r="BC39" s="159"/>
      <c r="BD39" s="159"/>
      <c r="BE39" s="159"/>
      <c r="BF39" s="159"/>
      <c r="BG39" s="159"/>
      <c r="BH39" s="159"/>
      <c r="BI39" s="159"/>
    </row>
    <row r="40" spans="1:61">
      <c r="A40" s="27"/>
      <c r="B40" s="27" t="s">
        <v>23</v>
      </c>
      <c r="C40" s="76">
        <v>90</v>
      </c>
      <c r="D40" s="76">
        <v>50</v>
      </c>
      <c r="E40" s="76">
        <v>83</v>
      </c>
      <c r="F40" s="76">
        <v>90</v>
      </c>
      <c r="G40" s="76">
        <v>50</v>
      </c>
      <c r="H40" s="76">
        <v>50</v>
      </c>
      <c r="I40" s="76">
        <v>67</v>
      </c>
      <c r="J40" s="76">
        <v>50</v>
      </c>
      <c r="K40" s="76"/>
      <c r="L40" s="76">
        <v>50</v>
      </c>
      <c r="M40" s="76">
        <v>80</v>
      </c>
      <c r="N40" s="76">
        <v>90</v>
      </c>
      <c r="O40" s="76">
        <v>100</v>
      </c>
      <c r="P40" s="76">
        <v>50</v>
      </c>
      <c r="Q40" s="76">
        <v>90</v>
      </c>
      <c r="R40" s="76"/>
      <c r="S40" s="174">
        <f t="shared" si="5"/>
        <v>990</v>
      </c>
      <c r="T40" s="116">
        <f t="shared" si="6"/>
        <v>6.7443749999999998</v>
      </c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60"/>
      <c r="BB40" s="159"/>
      <c r="BC40" s="159"/>
      <c r="BD40" s="159"/>
      <c r="BE40" s="159"/>
      <c r="BF40" s="159"/>
      <c r="BG40" s="159"/>
      <c r="BH40" s="159"/>
      <c r="BI40" s="159"/>
    </row>
    <row r="41" spans="1:61">
      <c r="A41" s="27"/>
      <c r="B41" s="27" t="s">
        <v>24</v>
      </c>
      <c r="C41" s="76">
        <v>10</v>
      </c>
      <c r="D41" s="76">
        <v>50</v>
      </c>
      <c r="E41" s="76">
        <v>17</v>
      </c>
      <c r="F41" s="76">
        <v>10</v>
      </c>
      <c r="G41" s="76">
        <v>50</v>
      </c>
      <c r="H41" s="76">
        <v>50</v>
      </c>
      <c r="I41" s="76">
        <v>33</v>
      </c>
      <c r="J41" s="76">
        <v>50</v>
      </c>
      <c r="K41" s="76"/>
      <c r="L41" s="76">
        <v>50</v>
      </c>
      <c r="M41" s="76">
        <v>20</v>
      </c>
      <c r="N41" s="76">
        <v>10</v>
      </c>
      <c r="O41" s="76"/>
      <c r="P41" s="76">
        <v>50</v>
      </c>
      <c r="Q41" s="76">
        <v>10</v>
      </c>
      <c r="R41" s="76"/>
      <c r="S41" s="174">
        <f t="shared" si="5"/>
        <v>410</v>
      </c>
      <c r="T41" s="116">
        <f t="shared" si="6"/>
        <v>2.7931249999999999</v>
      </c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60"/>
      <c r="BB41" s="159"/>
      <c r="BC41" s="159"/>
      <c r="BD41" s="159"/>
      <c r="BE41" s="159"/>
      <c r="BF41" s="159"/>
      <c r="BG41" s="159"/>
      <c r="BH41" s="159"/>
      <c r="BI41" s="159"/>
    </row>
    <row r="42" spans="1:61">
      <c r="A42" s="27"/>
      <c r="B42" s="27" t="s">
        <v>38</v>
      </c>
      <c r="C42" s="24"/>
      <c r="D42" s="76"/>
      <c r="E42" s="76"/>
      <c r="F42" s="76"/>
      <c r="G42" s="76"/>
      <c r="H42" s="76"/>
      <c r="I42" s="76"/>
      <c r="J42" s="76"/>
      <c r="K42" s="76"/>
      <c r="L42" s="24"/>
      <c r="M42" s="24"/>
      <c r="N42" s="76"/>
      <c r="O42" s="24"/>
      <c r="P42" s="24"/>
      <c r="Q42" s="24"/>
      <c r="R42" s="24"/>
      <c r="S42" s="174">
        <f t="shared" si="5"/>
        <v>0</v>
      </c>
      <c r="T42" s="116">
        <f t="shared" si="6"/>
        <v>0</v>
      </c>
      <c r="U42" s="160"/>
      <c r="V42" s="161"/>
      <c r="W42" s="160"/>
      <c r="X42" s="160"/>
      <c r="Y42" s="160"/>
      <c r="Z42" s="161"/>
      <c r="AA42" s="161"/>
      <c r="AB42" s="160"/>
      <c r="AC42" s="160"/>
      <c r="AD42" s="160"/>
      <c r="AE42" s="161"/>
      <c r="AF42" s="160"/>
      <c r="AG42" s="161"/>
      <c r="AH42" s="161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60"/>
      <c r="BB42" s="159"/>
      <c r="BC42" s="159"/>
      <c r="BD42" s="159"/>
      <c r="BE42" s="159"/>
      <c r="BF42" s="159"/>
      <c r="BG42" s="159"/>
      <c r="BH42" s="159"/>
      <c r="BI42" s="159"/>
    </row>
    <row r="43" spans="1:61">
      <c r="A43" s="76"/>
      <c r="B43" s="76" t="s">
        <v>41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174">
        <f t="shared" si="5"/>
        <v>0</v>
      </c>
      <c r="T43" s="116">
        <f t="shared" si="6"/>
        <v>0</v>
      </c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61"/>
      <c r="BB43" s="159"/>
      <c r="BC43" s="159"/>
      <c r="BD43" s="159"/>
      <c r="BE43" s="159"/>
      <c r="BF43" s="159"/>
      <c r="BG43" s="159"/>
      <c r="BH43" s="159"/>
      <c r="BI43" s="159"/>
    </row>
    <row r="44" spans="1:61">
      <c r="A44" s="27"/>
      <c r="B44" s="27" t="s">
        <v>23</v>
      </c>
      <c r="C44" s="76">
        <v>100</v>
      </c>
      <c r="D44" s="76">
        <v>80</v>
      </c>
      <c r="E44" s="76">
        <v>83</v>
      </c>
      <c r="F44" s="76">
        <v>100</v>
      </c>
      <c r="G44" s="76">
        <v>100</v>
      </c>
      <c r="H44" s="76">
        <v>100</v>
      </c>
      <c r="I44" s="76">
        <v>100</v>
      </c>
      <c r="J44" s="76">
        <v>100</v>
      </c>
      <c r="K44" s="76">
        <v>50</v>
      </c>
      <c r="L44" s="76">
        <v>100</v>
      </c>
      <c r="M44" s="76">
        <v>80</v>
      </c>
      <c r="N44" s="76">
        <v>80</v>
      </c>
      <c r="O44" s="76">
        <v>20</v>
      </c>
      <c r="P44" s="76">
        <v>70</v>
      </c>
      <c r="Q44" s="76">
        <v>90</v>
      </c>
      <c r="R44" s="76">
        <v>50</v>
      </c>
      <c r="S44" s="174">
        <f t="shared" si="5"/>
        <v>1303</v>
      </c>
      <c r="T44" s="116">
        <f t="shared" si="6"/>
        <v>8.8766874999999992</v>
      </c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60"/>
      <c r="BB44" s="159"/>
      <c r="BC44" s="159"/>
      <c r="BD44" s="159"/>
      <c r="BE44" s="159"/>
      <c r="BF44" s="159"/>
      <c r="BG44" s="159"/>
      <c r="BH44" s="159"/>
      <c r="BI44" s="159"/>
    </row>
    <row r="45" spans="1:61">
      <c r="A45" s="27"/>
      <c r="B45" s="27" t="s">
        <v>24</v>
      </c>
      <c r="C45" s="76"/>
      <c r="D45" s="76">
        <v>20</v>
      </c>
      <c r="E45" s="76">
        <v>17</v>
      </c>
      <c r="F45" s="76"/>
      <c r="G45" s="76"/>
      <c r="H45" s="76"/>
      <c r="I45" s="76"/>
      <c r="J45" s="76"/>
      <c r="K45" s="76">
        <v>50</v>
      </c>
      <c r="L45" s="24"/>
      <c r="M45" s="76">
        <v>20</v>
      </c>
      <c r="N45" s="76">
        <v>20</v>
      </c>
      <c r="O45" s="76">
        <v>80</v>
      </c>
      <c r="P45" s="76">
        <v>30</v>
      </c>
      <c r="Q45" s="76">
        <v>10</v>
      </c>
      <c r="R45" s="76">
        <v>50</v>
      </c>
      <c r="S45" s="174">
        <f t="shared" si="5"/>
        <v>297</v>
      </c>
      <c r="T45" s="116">
        <f t="shared" si="6"/>
        <v>2.0233124999999998</v>
      </c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60"/>
      <c r="BB45" s="159"/>
      <c r="BC45" s="159"/>
      <c r="BD45" s="159"/>
      <c r="BE45" s="159"/>
      <c r="BF45" s="159"/>
      <c r="BG45" s="159"/>
      <c r="BH45" s="159"/>
      <c r="BI45" s="159"/>
    </row>
    <row r="46" spans="1:61">
      <c r="A46" s="27"/>
      <c r="B46" s="27" t="s">
        <v>38</v>
      </c>
      <c r="C46" s="24"/>
      <c r="D46" s="76"/>
      <c r="E46" s="76"/>
      <c r="F46" s="76"/>
      <c r="G46" s="76"/>
      <c r="H46" s="76"/>
      <c r="I46" s="76"/>
      <c r="J46" s="76"/>
      <c r="K46" s="76"/>
      <c r="L46" s="24"/>
      <c r="M46" s="24"/>
      <c r="N46" s="76"/>
      <c r="O46" s="24"/>
      <c r="P46" s="24"/>
      <c r="Q46" s="24"/>
      <c r="R46" s="24"/>
      <c r="S46" s="174">
        <f t="shared" si="5"/>
        <v>0</v>
      </c>
      <c r="T46" s="116">
        <f t="shared" si="6"/>
        <v>0</v>
      </c>
      <c r="U46" s="161"/>
      <c r="V46" s="161"/>
      <c r="W46" s="160"/>
      <c r="X46" s="160"/>
      <c r="Y46" s="160"/>
      <c r="Z46" s="161"/>
      <c r="AA46" s="161"/>
      <c r="AB46" s="160"/>
      <c r="AC46" s="160"/>
      <c r="AD46" s="161"/>
      <c r="AE46" s="161"/>
      <c r="AF46" s="160"/>
      <c r="AG46" s="161"/>
      <c r="AH46" s="161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60"/>
      <c r="BB46" s="159"/>
      <c r="BC46" s="159"/>
      <c r="BD46" s="159"/>
      <c r="BE46" s="159"/>
      <c r="BF46" s="159"/>
      <c r="BG46" s="159"/>
      <c r="BH46" s="159"/>
      <c r="BI46" s="159"/>
    </row>
    <row r="47" spans="1:61">
      <c r="A47" s="76"/>
      <c r="B47" s="76" t="s">
        <v>42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74">
        <f t="shared" si="5"/>
        <v>0</v>
      </c>
      <c r="T47" s="116">
        <f t="shared" si="6"/>
        <v>0</v>
      </c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61"/>
      <c r="BB47" s="159"/>
      <c r="BC47" s="159"/>
      <c r="BD47" s="159"/>
      <c r="BE47" s="159"/>
      <c r="BF47" s="159"/>
      <c r="BG47" s="159"/>
      <c r="BH47" s="159"/>
      <c r="BI47" s="159"/>
    </row>
    <row r="48" spans="1:61">
      <c r="A48" s="27"/>
      <c r="B48" s="27" t="s">
        <v>23</v>
      </c>
      <c r="C48" s="76">
        <v>100</v>
      </c>
      <c r="D48" s="76">
        <v>30</v>
      </c>
      <c r="E48" s="76">
        <v>67</v>
      </c>
      <c r="F48" s="76">
        <v>50</v>
      </c>
      <c r="G48" s="76">
        <v>100</v>
      </c>
      <c r="H48" s="76">
        <v>50</v>
      </c>
      <c r="I48" s="76">
        <v>67</v>
      </c>
      <c r="J48" s="76">
        <v>100</v>
      </c>
      <c r="K48" s="76">
        <v>10</v>
      </c>
      <c r="L48" s="76">
        <v>30</v>
      </c>
      <c r="M48" s="76">
        <v>80</v>
      </c>
      <c r="N48" s="76">
        <v>10</v>
      </c>
      <c r="O48" s="76">
        <v>20</v>
      </c>
      <c r="P48" s="76">
        <v>50</v>
      </c>
      <c r="Q48" s="76">
        <v>70</v>
      </c>
      <c r="R48" s="76">
        <v>50</v>
      </c>
      <c r="S48" s="174">
        <f t="shared" si="5"/>
        <v>884</v>
      </c>
      <c r="T48" s="116">
        <f t="shared" si="6"/>
        <v>6.0222499999999997</v>
      </c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60"/>
      <c r="BB48" s="159"/>
      <c r="BC48" s="159"/>
      <c r="BD48" s="159"/>
      <c r="BE48" s="159"/>
      <c r="BF48" s="159"/>
      <c r="BG48" s="159"/>
      <c r="BH48" s="159"/>
      <c r="BI48" s="159"/>
    </row>
    <row r="49" spans="1:61">
      <c r="A49" s="27"/>
      <c r="B49" s="27" t="s">
        <v>24</v>
      </c>
      <c r="C49" s="76"/>
      <c r="D49" s="76">
        <v>70</v>
      </c>
      <c r="E49" s="76">
        <v>33</v>
      </c>
      <c r="F49" s="76">
        <v>50</v>
      </c>
      <c r="G49" s="76"/>
      <c r="H49" s="76">
        <v>50</v>
      </c>
      <c r="I49" s="76">
        <v>33</v>
      </c>
      <c r="J49" s="76"/>
      <c r="K49" s="76">
        <v>90</v>
      </c>
      <c r="L49" s="76">
        <v>70</v>
      </c>
      <c r="M49" s="76">
        <v>20</v>
      </c>
      <c r="N49" s="76">
        <v>90</v>
      </c>
      <c r="O49" s="76">
        <v>80</v>
      </c>
      <c r="P49" s="76">
        <v>50</v>
      </c>
      <c r="Q49" s="76">
        <v>30</v>
      </c>
      <c r="R49" s="76">
        <v>50</v>
      </c>
      <c r="S49" s="174">
        <f t="shared" si="5"/>
        <v>716</v>
      </c>
      <c r="T49" s="116">
        <f t="shared" si="6"/>
        <v>4.8777499999999998</v>
      </c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60"/>
      <c r="BB49" s="159"/>
      <c r="BC49" s="159"/>
      <c r="BD49" s="159"/>
      <c r="BE49" s="159"/>
      <c r="BF49" s="159"/>
      <c r="BG49" s="159"/>
      <c r="BH49" s="159"/>
      <c r="BI49" s="159"/>
    </row>
    <row r="50" spans="1:61">
      <c r="A50" s="27"/>
      <c r="B50" s="27" t="s">
        <v>38</v>
      </c>
      <c r="C50" s="24"/>
      <c r="D50" s="76"/>
      <c r="E50" s="76"/>
      <c r="F50" s="76"/>
      <c r="G50" s="76"/>
      <c r="H50" s="76"/>
      <c r="I50" s="76"/>
      <c r="J50" s="76"/>
      <c r="K50" s="76"/>
      <c r="L50" s="24"/>
      <c r="M50" s="24"/>
      <c r="N50" s="76"/>
      <c r="O50" s="24"/>
      <c r="P50" s="24"/>
      <c r="Q50" s="24"/>
      <c r="R50" s="24"/>
      <c r="S50" s="174">
        <f t="shared" si="5"/>
        <v>0</v>
      </c>
      <c r="T50" s="116">
        <f t="shared" si="6"/>
        <v>0</v>
      </c>
      <c r="U50" s="161"/>
      <c r="V50" s="161"/>
      <c r="W50" s="160"/>
      <c r="X50" s="160"/>
      <c r="Y50" s="160"/>
      <c r="Z50" s="161"/>
      <c r="AA50" s="161"/>
      <c r="AB50" s="160"/>
      <c r="AC50" s="160"/>
      <c r="AD50" s="160"/>
      <c r="AE50" s="161"/>
      <c r="AF50" s="160"/>
      <c r="AG50" s="161"/>
      <c r="AH50" s="161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60"/>
      <c r="BB50" s="159"/>
      <c r="BC50" s="159"/>
      <c r="BD50" s="159"/>
      <c r="BE50" s="159"/>
      <c r="BF50" s="159"/>
      <c r="BG50" s="159"/>
      <c r="BH50" s="159"/>
      <c r="BI50" s="159"/>
    </row>
    <row r="51" spans="1:61">
      <c r="A51" s="29"/>
      <c r="B51" s="29" t="s">
        <v>32</v>
      </c>
      <c r="C51" s="30">
        <f t="shared" ref="C51:R51" si="7">0.109*(C32+C36+C40+C44+C48)</f>
        <v>51.23</v>
      </c>
      <c r="D51" s="30">
        <f t="shared" si="7"/>
        <v>38.15</v>
      </c>
      <c r="E51" s="30">
        <f t="shared" si="7"/>
        <v>43.491</v>
      </c>
      <c r="F51" s="30">
        <f t="shared" si="7"/>
        <v>45.78</v>
      </c>
      <c r="G51" s="30">
        <f t="shared" si="7"/>
        <v>49.05</v>
      </c>
      <c r="H51" s="30">
        <f t="shared" si="7"/>
        <v>41.42</v>
      </c>
      <c r="I51" s="30">
        <f t="shared" si="7"/>
        <v>38.040999999999997</v>
      </c>
      <c r="J51" s="30">
        <f t="shared" si="7"/>
        <v>45.78</v>
      </c>
      <c r="K51" s="30">
        <f t="shared" si="7"/>
        <v>28.34</v>
      </c>
      <c r="L51" s="30">
        <f t="shared" si="7"/>
        <v>34.880000000000003</v>
      </c>
      <c r="M51" s="30">
        <f t="shared" si="7"/>
        <v>43.6</v>
      </c>
      <c r="N51" s="30">
        <f t="shared" si="7"/>
        <v>40.875</v>
      </c>
      <c r="O51" s="30">
        <f t="shared" si="7"/>
        <v>37.06</v>
      </c>
      <c r="P51" s="30">
        <f t="shared" si="7"/>
        <v>33.79</v>
      </c>
      <c r="Q51" s="30">
        <f t="shared" si="7"/>
        <v>43.381999999999998</v>
      </c>
      <c r="R51" s="30">
        <f t="shared" si="7"/>
        <v>31.61</v>
      </c>
      <c r="S51" s="175">
        <f>AVERAGE(C51:R51)</f>
        <v>40.404937499999996</v>
      </c>
      <c r="T51" s="30">
        <f t="shared" ref="T51:T52" si="8">T32+T36+T40+T44+T48</f>
        <v>40.404937500000003</v>
      </c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61"/>
      <c r="BB51" s="159"/>
      <c r="BC51" s="159"/>
      <c r="BD51" s="159"/>
      <c r="BE51" s="159"/>
      <c r="BF51" s="159"/>
      <c r="BG51" s="159"/>
      <c r="BH51" s="159"/>
      <c r="BI51" s="159"/>
    </row>
    <row r="52" spans="1:61">
      <c r="A52" s="27"/>
      <c r="B52" s="27" t="s">
        <v>33</v>
      </c>
      <c r="C52" s="24">
        <f t="shared" ref="C52:R52" si="9">0.109*(C33+C37+C41+C45+C49)</f>
        <v>3.27</v>
      </c>
      <c r="D52" s="24">
        <f t="shared" si="9"/>
        <v>16.350000000000001</v>
      </c>
      <c r="E52" s="24">
        <f t="shared" si="9"/>
        <v>11.009</v>
      </c>
      <c r="F52" s="24">
        <f t="shared" si="9"/>
        <v>8.7200000000000006</v>
      </c>
      <c r="G52" s="24">
        <f t="shared" si="9"/>
        <v>5.45</v>
      </c>
      <c r="H52" s="24">
        <f t="shared" si="9"/>
        <v>13.08</v>
      </c>
      <c r="I52" s="24">
        <f t="shared" si="9"/>
        <v>16.459</v>
      </c>
      <c r="J52" s="24">
        <f t="shared" si="9"/>
        <v>8.7200000000000006</v>
      </c>
      <c r="K52" s="24">
        <f t="shared" si="9"/>
        <v>15.26</v>
      </c>
      <c r="L52" s="24">
        <f t="shared" si="9"/>
        <v>19.62</v>
      </c>
      <c r="M52" s="24">
        <f t="shared" si="9"/>
        <v>10.9</v>
      </c>
      <c r="N52" s="24">
        <f t="shared" si="9"/>
        <v>13.625</v>
      </c>
      <c r="O52" s="24">
        <f t="shared" si="9"/>
        <v>17.440000000000001</v>
      </c>
      <c r="P52" s="24">
        <f t="shared" si="9"/>
        <v>20.71</v>
      </c>
      <c r="Q52" s="24">
        <f t="shared" si="9"/>
        <v>11.118</v>
      </c>
      <c r="R52" s="24">
        <f t="shared" si="9"/>
        <v>11.99</v>
      </c>
      <c r="S52" s="129">
        <f>AVERAGE(C52:R52)</f>
        <v>12.732562500000002</v>
      </c>
      <c r="T52" s="115">
        <f t="shared" si="8"/>
        <v>12.7325625</v>
      </c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61"/>
      <c r="BB52" s="159"/>
      <c r="BC52" s="159"/>
      <c r="BD52" s="159"/>
      <c r="BE52" s="159"/>
      <c r="BF52" s="159"/>
      <c r="BG52" s="159"/>
      <c r="BH52" s="159"/>
      <c r="BI52" s="159"/>
    </row>
    <row r="53" spans="1:61">
      <c r="A53" s="34"/>
      <c r="B53" s="34" t="s">
        <v>34</v>
      </c>
      <c r="C53" s="35">
        <f t="shared" ref="C53:R53" si="10">C51-C52</f>
        <v>47.959999999999994</v>
      </c>
      <c r="D53" s="35">
        <f t="shared" si="10"/>
        <v>21.799999999999997</v>
      </c>
      <c r="E53" s="35">
        <f t="shared" si="10"/>
        <v>32.481999999999999</v>
      </c>
      <c r="F53" s="35">
        <f t="shared" si="10"/>
        <v>37.06</v>
      </c>
      <c r="G53" s="35">
        <f t="shared" si="10"/>
        <v>43.599999999999994</v>
      </c>
      <c r="H53" s="35">
        <f t="shared" si="10"/>
        <v>28.340000000000003</v>
      </c>
      <c r="I53" s="35">
        <f t="shared" si="10"/>
        <v>21.581999999999997</v>
      </c>
      <c r="J53" s="35">
        <f t="shared" si="10"/>
        <v>37.06</v>
      </c>
      <c r="K53" s="35">
        <f t="shared" si="10"/>
        <v>13.08</v>
      </c>
      <c r="L53" s="35">
        <f t="shared" si="10"/>
        <v>15.260000000000002</v>
      </c>
      <c r="M53" s="35">
        <f t="shared" si="10"/>
        <v>32.700000000000003</v>
      </c>
      <c r="N53" s="35">
        <f t="shared" si="10"/>
        <v>27.25</v>
      </c>
      <c r="O53" s="35">
        <f t="shared" si="10"/>
        <v>19.62</v>
      </c>
      <c r="P53" s="35">
        <f t="shared" si="10"/>
        <v>13.079999999999998</v>
      </c>
      <c r="Q53" s="35">
        <f t="shared" si="10"/>
        <v>32.263999999999996</v>
      </c>
      <c r="R53" s="35">
        <f t="shared" si="10"/>
        <v>19.619999999999997</v>
      </c>
      <c r="S53" s="176">
        <f>AVERAGE(C53:R53)</f>
        <v>27.672374999999999</v>
      </c>
      <c r="T53" s="35">
        <f>T51-T52</f>
        <v>27.672375000000002</v>
      </c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61"/>
      <c r="BB53" s="159"/>
      <c r="BC53" s="159"/>
      <c r="BD53" s="159"/>
      <c r="BE53" s="159"/>
      <c r="BF53" s="159"/>
      <c r="BG53" s="159"/>
      <c r="BH53" s="159"/>
      <c r="BI53" s="159"/>
    </row>
    <row r="54" spans="1:61">
      <c r="A54" s="38" t="s">
        <v>43</v>
      </c>
      <c r="B54" s="39" t="s">
        <v>44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177"/>
      <c r="T54" s="117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61"/>
      <c r="BB54" s="159"/>
      <c r="BC54" s="159"/>
      <c r="BD54" s="159"/>
      <c r="BE54" s="159"/>
      <c r="BF54" s="159"/>
      <c r="BG54" s="159"/>
      <c r="BH54" s="159"/>
      <c r="BI54" s="159"/>
    </row>
    <row r="55" spans="1:61">
      <c r="A55" s="38"/>
      <c r="B55" s="77" t="s">
        <v>45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177"/>
      <c r="T55" s="117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61"/>
      <c r="BB55" s="159"/>
      <c r="BC55" s="159"/>
      <c r="BD55" s="159"/>
      <c r="BE55" s="159"/>
      <c r="BF55" s="159"/>
      <c r="BG55" s="159"/>
      <c r="BH55" s="159"/>
      <c r="BI55" s="159"/>
    </row>
    <row r="56" spans="1:61">
      <c r="A56" s="43"/>
      <c r="B56" s="43" t="s">
        <v>23</v>
      </c>
      <c r="C56" s="77">
        <v>6</v>
      </c>
      <c r="D56" s="77">
        <v>6</v>
      </c>
      <c r="E56" s="77">
        <v>6</v>
      </c>
      <c r="F56" s="77">
        <v>6</v>
      </c>
      <c r="G56" s="77">
        <v>6</v>
      </c>
      <c r="H56" s="77">
        <v>6</v>
      </c>
      <c r="I56" s="77">
        <v>6</v>
      </c>
      <c r="J56" s="77">
        <v>6</v>
      </c>
      <c r="K56" s="77">
        <v>6</v>
      </c>
      <c r="L56" s="77">
        <v>6</v>
      </c>
      <c r="M56" s="77">
        <v>6</v>
      </c>
      <c r="N56" s="77">
        <v>6</v>
      </c>
      <c r="O56" s="77">
        <v>6</v>
      </c>
      <c r="P56" s="77">
        <v>6</v>
      </c>
      <c r="Q56" s="77">
        <v>6</v>
      </c>
      <c r="R56" s="77">
        <v>6</v>
      </c>
      <c r="S56" s="177">
        <f t="shared" ref="S56:S66" si="11">SUM(C56:R56)</f>
        <v>96</v>
      </c>
      <c r="T56" s="118">
        <f t="shared" ref="T56:T66" si="12">2.27*(S56/COLUMNS(C56:R56))</f>
        <v>13.620000000000001</v>
      </c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60"/>
      <c r="BB56" s="159"/>
      <c r="BC56" s="159"/>
      <c r="BD56" s="159"/>
      <c r="BE56" s="159"/>
      <c r="BF56" s="159"/>
      <c r="BG56" s="159"/>
      <c r="BH56" s="159"/>
      <c r="BI56" s="159"/>
    </row>
    <row r="57" spans="1:61">
      <c r="A57" s="43"/>
      <c r="B57" s="43" t="s">
        <v>24</v>
      </c>
      <c r="C57" s="77">
        <v>4</v>
      </c>
      <c r="D57" s="77">
        <v>6</v>
      </c>
      <c r="E57" s="77">
        <v>6</v>
      </c>
      <c r="F57" s="77">
        <v>6</v>
      </c>
      <c r="G57" s="77">
        <v>6</v>
      </c>
      <c r="H57" s="77">
        <v>6</v>
      </c>
      <c r="I57" s="77">
        <v>5</v>
      </c>
      <c r="J57" s="77">
        <v>6</v>
      </c>
      <c r="K57" s="77">
        <v>6</v>
      </c>
      <c r="L57" s="77">
        <v>6</v>
      </c>
      <c r="M57" s="77">
        <v>5</v>
      </c>
      <c r="N57" s="77">
        <v>5</v>
      </c>
      <c r="O57" s="77">
        <v>5</v>
      </c>
      <c r="P57" s="77">
        <v>6</v>
      </c>
      <c r="Q57" s="77">
        <v>5</v>
      </c>
      <c r="R57" s="77">
        <v>6</v>
      </c>
      <c r="S57" s="177">
        <f t="shared" si="11"/>
        <v>89</v>
      </c>
      <c r="T57" s="118">
        <f t="shared" si="12"/>
        <v>12.626875</v>
      </c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60"/>
      <c r="BB57" s="159"/>
      <c r="BC57" s="159"/>
      <c r="BD57" s="159"/>
      <c r="BE57" s="159"/>
      <c r="BF57" s="159"/>
      <c r="BG57" s="159"/>
      <c r="BH57" s="159"/>
      <c r="BI57" s="159"/>
    </row>
    <row r="58" spans="1:61">
      <c r="A58" s="77"/>
      <c r="B58" s="77" t="s">
        <v>46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177">
        <f t="shared" si="11"/>
        <v>0</v>
      </c>
      <c r="T58" s="118">
        <f t="shared" si="12"/>
        <v>0</v>
      </c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61"/>
      <c r="BB58" s="159"/>
      <c r="BC58" s="159"/>
      <c r="BD58" s="159"/>
      <c r="BE58" s="159"/>
      <c r="BF58" s="159"/>
      <c r="BG58" s="159"/>
      <c r="BH58" s="159"/>
      <c r="BI58" s="159"/>
    </row>
    <row r="59" spans="1:61">
      <c r="A59" s="43"/>
      <c r="B59" s="43" t="s">
        <v>23</v>
      </c>
      <c r="C59" s="77">
        <v>6</v>
      </c>
      <c r="D59" s="77">
        <v>6</v>
      </c>
      <c r="E59" s="77">
        <v>6</v>
      </c>
      <c r="F59" s="77">
        <v>6</v>
      </c>
      <c r="G59" s="77">
        <v>6</v>
      </c>
      <c r="H59" s="77">
        <v>6</v>
      </c>
      <c r="I59" s="77">
        <v>6</v>
      </c>
      <c r="J59" s="77">
        <v>6</v>
      </c>
      <c r="K59" s="77">
        <v>6</v>
      </c>
      <c r="L59" s="77">
        <v>6</v>
      </c>
      <c r="M59" s="77">
        <v>6</v>
      </c>
      <c r="N59" s="77">
        <v>6</v>
      </c>
      <c r="O59" s="77">
        <v>6</v>
      </c>
      <c r="P59" s="77">
        <v>6</v>
      </c>
      <c r="Q59" s="77">
        <v>6</v>
      </c>
      <c r="R59" s="77">
        <v>6</v>
      </c>
      <c r="S59" s="177">
        <f t="shared" si="11"/>
        <v>96</v>
      </c>
      <c r="T59" s="118">
        <f t="shared" si="12"/>
        <v>13.620000000000001</v>
      </c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60"/>
      <c r="BB59" s="159"/>
      <c r="BC59" s="159"/>
      <c r="BD59" s="159"/>
      <c r="BE59" s="159"/>
      <c r="BF59" s="159"/>
      <c r="BG59" s="159"/>
      <c r="BH59" s="159"/>
      <c r="BI59" s="159"/>
    </row>
    <row r="60" spans="1:61">
      <c r="A60" s="43"/>
      <c r="B60" s="43" t="s">
        <v>24</v>
      </c>
      <c r="C60" s="77">
        <v>3</v>
      </c>
      <c r="D60" s="77">
        <v>6</v>
      </c>
      <c r="E60" s="77">
        <v>6</v>
      </c>
      <c r="F60" s="77">
        <v>6</v>
      </c>
      <c r="G60" s="77">
        <v>6</v>
      </c>
      <c r="H60" s="77">
        <v>6</v>
      </c>
      <c r="I60" s="77">
        <v>5</v>
      </c>
      <c r="J60" s="77">
        <v>6</v>
      </c>
      <c r="K60" s="77">
        <v>6</v>
      </c>
      <c r="L60" s="77">
        <v>6</v>
      </c>
      <c r="M60" s="77">
        <v>5</v>
      </c>
      <c r="N60" s="77">
        <v>5</v>
      </c>
      <c r="O60" s="77">
        <v>6</v>
      </c>
      <c r="P60" s="77">
        <v>6</v>
      </c>
      <c r="Q60" s="77">
        <v>5</v>
      </c>
      <c r="R60" s="77">
        <v>6</v>
      </c>
      <c r="S60" s="177">
        <f t="shared" si="11"/>
        <v>89</v>
      </c>
      <c r="T60" s="118">
        <f t="shared" si="12"/>
        <v>12.626875</v>
      </c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60"/>
      <c r="BB60" s="159"/>
      <c r="BC60" s="159"/>
      <c r="BD60" s="159"/>
      <c r="BE60" s="159"/>
      <c r="BF60" s="159"/>
      <c r="BG60" s="159"/>
      <c r="BH60" s="159"/>
      <c r="BI60" s="159"/>
    </row>
    <row r="61" spans="1:61">
      <c r="A61" s="77"/>
      <c r="B61" s="77" t="s">
        <v>47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177">
        <f t="shared" si="11"/>
        <v>0</v>
      </c>
      <c r="T61" s="118">
        <f t="shared" si="12"/>
        <v>0</v>
      </c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61"/>
      <c r="BB61" s="159"/>
      <c r="BC61" s="159"/>
      <c r="BD61" s="159"/>
      <c r="BE61" s="159"/>
      <c r="BF61" s="159"/>
      <c r="BG61" s="159"/>
      <c r="BH61" s="159"/>
      <c r="BI61" s="159"/>
    </row>
    <row r="62" spans="1:61">
      <c r="A62" s="43"/>
      <c r="B62" s="43" t="s">
        <v>23</v>
      </c>
      <c r="C62" s="77">
        <v>6</v>
      </c>
      <c r="D62" s="77">
        <v>6</v>
      </c>
      <c r="E62" s="77">
        <v>6</v>
      </c>
      <c r="F62" s="77">
        <v>6</v>
      </c>
      <c r="G62" s="77">
        <v>6</v>
      </c>
      <c r="H62" s="77">
        <v>6</v>
      </c>
      <c r="I62" s="77">
        <v>6</v>
      </c>
      <c r="J62" s="77">
        <v>6</v>
      </c>
      <c r="K62" s="77">
        <v>5</v>
      </c>
      <c r="L62" s="77">
        <v>6</v>
      </c>
      <c r="M62" s="77">
        <v>6</v>
      </c>
      <c r="N62" s="77">
        <v>5</v>
      </c>
      <c r="O62" s="77">
        <v>6</v>
      </c>
      <c r="P62" s="77">
        <v>6</v>
      </c>
      <c r="Q62" s="77">
        <v>6</v>
      </c>
      <c r="R62" s="77">
        <v>6</v>
      </c>
      <c r="S62" s="177">
        <f t="shared" si="11"/>
        <v>94</v>
      </c>
      <c r="T62" s="118">
        <f t="shared" si="12"/>
        <v>13.33625</v>
      </c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60"/>
      <c r="BB62" s="159"/>
      <c r="BC62" s="159"/>
      <c r="BD62" s="159"/>
      <c r="BE62" s="159"/>
      <c r="BF62" s="159"/>
      <c r="BG62" s="159"/>
      <c r="BH62" s="159"/>
      <c r="BI62" s="159"/>
    </row>
    <row r="63" spans="1:61">
      <c r="A63" s="43"/>
      <c r="B63" s="43" t="s">
        <v>24</v>
      </c>
      <c r="C63" s="77">
        <v>4</v>
      </c>
      <c r="D63" s="77">
        <v>6</v>
      </c>
      <c r="E63" s="77">
        <v>6</v>
      </c>
      <c r="F63" s="77">
        <v>6</v>
      </c>
      <c r="G63" s="77">
        <v>6</v>
      </c>
      <c r="H63" s="77">
        <v>6</v>
      </c>
      <c r="I63" s="77">
        <v>5</v>
      </c>
      <c r="J63" s="77">
        <v>6</v>
      </c>
      <c r="K63" s="77">
        <v>6</v>
      </c>
      <c r="L63" s="77">
        <v>6</v>
      </c>
      <c r="M63" s="77">
        <v>5</v>
      </c>
      <c r="N63" s="77">
        <v>6</v>
      </c>
      <c r="O63" s="77">
        <v>6</v>
      </c>
      <c r="P63" s="77">
        <v>6</v>
      </c>
      <c r="Q63" s="77">
        <v>5</v>
      </c>
      <c r="R63" s="77">
        <v>6</v>
      </c>
      <c r="S63" s="177">
        <f t="shared" si="11"/>
        <v>91</v>
      </c>
      <c r="T63" s="118">
        <f t="shared" si="12"/>
        <v>12.910625</v>
      </c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60"/>
      <c r="BB63" s="159"/>
      <c r="BC63" s="159"/>
      <c r="BD63" s="159"/>
      <c r="BE63" s="159"/>
      <c r="BF63" s="159"/>
      <c r="BG63" s="159"/>
      <c r="BH63" s="159"/>
      <c r="BI63" s="159"/>
    </row>
    <row r="64" spans="1:61">
      <c r="A64" s="77"/>
      <c r="B64" s="77" t="s">
        <v>48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177">
        <f t="shared" si="11"/>
        <v>0</v>
      </c>
      <c r="T64" s="118">
        <f t="shared" si="12"/>
        <v>0</v>
      </c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61"/>
      <c r="BB64" s="159"/>
      <c r="BC64" s="159"/>
      <c r="BD64" s="159"/>
      <c r="BE64" s="159"/>
      <c r="BF64" s="159"/>
      <c r="BG64" s="159"/>
      <c r="BH64" s="159"/>
      <c r="BI64" s="159"/>
    </row>
    <row r="65" spans="1:61">
      <c r="A65" s="43"/>
      <c r="B65" s="43" t="s">
        <v>23</v>
      </c>
      <c r="C65" s="77">
        <v>6</v>
      </c>
      <c r="D65" s="77">
        <v>6</v>
      </c>
      <c r="E65" s="77">
        <v>6</v>
      </c>
      <c r="F65" s="77">
        <v>6</v>
      </c>
      <c r="G65" s="77">
        <v>6</v>
      </c>
      <c r="H65" s="77">
        <v>6</v>
      </c>
      <c r="I65" s="77">
        <v>6</v>
      </c>
      <c r="J65" s="77">
        <v>6</v>
      </c>
      <c r="K65" s="77">
        <v>6</v>
      </c>
      <c r="L65" s="77">
        <v>6</v>
      </c>
      <c r="M65" s="77">
        <v>6</v>
      </c>
      <c r="N65" s="77">
        <v>5</v>
      </c>
      <c r="O65" s="77">
        <v>5</v>
      </c>
      <c r="P65" s="77">
        <v>6</v>
      </c>
      <c r="Q65" s="77">
        <v>5</v>
      </c>
      <c r="R65" s="77">
        <v>6</v>
      </c>
      <c r="S65" s="177">
        <f t="shared" si="11"/>
        <v>93</v>
      </c>
      <c r="T65" s="118">
        <f t="shared" si="12"/>
        <v>13.194375000000001</v>
      </c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60"/>
      <c r="BB65" s="159"/>
      <c r="BC65" s="159"/>
      <c r="BD65" s="159"/>
      <c r="BE65" s="159"/>
      <c r="BF65" s="159"/>
      <c r="BG65" s="159"/>
      <c r="BH65" s="159"/>
      <c r="BI65" s="159"/>
    </row>
    <row r="66" spans="1:61">
      <c r="A66" s="43"/>
      <c r="B66" s="43" t="s">
        <v>24</v>
      </c>
      <c r="C66" s="77">
        <v>6</v>
      </c>
      <c r="D66" s="77">
        <v>6</v>
      </c>
      <c r="E66" s="77">
        <v>6</v>
      </c>
      <c r="F66" s="77">
        <v>6</v>
      </c>
      <c r="G66" s="77">
        <v>6</v>
      </c>
      <c r="H66" s="77">
        <v>6</v>
      </c>
      <c r="I66" s="77">
        <v>5</v>
      </c>
      <c r="J66" s="77">
        <v>6</v>
      </c>
      <c r="K66" s="77">
        <v>6</v>
      </c>
      <c r="L66" s="77">
        <v>6</v>
      </c>
      <c r="M66" s="77">
        <v>5</v>
      </c>
      <c r="N66" s="77">
        <v>6</v>
      </c>
      <c r="O66" s="77">
        <v>5</v>
      </c>
      <c r="P66" s="77">
        <v>6</v>
      </c>
      <c r="Q66" s="77">
        <v>4</v>
      </c>
      <c r="R66" s="77">
        <v>6</v>
      </c>
      <c r="S66" s="177">
        <f t="shared" si="11"/>
        <v>91</v>
      </c>
      <c r="T66" s="118">
        <f t="shared" si="12"/>
        <v>12.910625</v>
      </c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60"/>
      <c r="BB66" s="159"/>
      <c r="BC66" s="159"/>
      <c r="BD66" s="159"/>
      <c r="BE66" s="159"/>
      <c r="BF66" s="159"/>
      <c r="BG66" s="159"/>
      <c r="BH66" s="159"/>
      <c r="BI66" s="159"/>
    </row>
    <row r="67" spans="1:61">
      <c r="A67" s="44"/>
      <c r="B67" s="44" t="s">
        <v>32</v>
      </c>
      <c r="C67" s="45">
        <f t="shared" ref="C67:R67" si="13">2.27*(C56+C59+C62+C65)</f>
        <v>54.480000000000004</v>
      </c>
      <c r="D67" s="45">
        <f t="shared" si="13"/>
        <v>54.480000000000004</v>
      </c>
      <c r="E67" s="45">
        <f t="shared" si="13"/>
        <v>54.480000000000004</v>
      </c>
      <c r="F67" s="45">
        <f t="shared" si="13"/>
        <v>54.480000000000004</v>
      </c>
      <c r="G67" s="45">
        <f t="shared" si="13"/>
        <v>54.480000000000004</v>
      </c>
      <c r="H67" s="45">
        <f t="shared" si="13"/>
        <v>54.480000000000004</v>
      </c>
      <c r="I67" s="45">
        <f t="shared" si="13"/>
        <v>54.480000000000004</v>
      </c>
      <c r="J67" s="45">
        <f t="shared" si="13"/>
        <v>54.480000000000004</v>
      </c>
      <c r="K67" s="45">
        <f t="shared" si="13"/>
        <v>52.21</v>
      </c>
      <c r="L67" s="45">
        <f t="shared" si="13"/>
        <v>54.480000000000004</v>
      </c>
      <c r="M67" s="45">
        <f t="shared" si="13"/>
        <v>54.480000000000004</v>
      </c>
      <c r="N67" s="45">
        <f t="shared" si="13"/>
        <v>49.94</v>
      </c>
      <c r="O67" s="45">
        <f t="shared" si="13"/>
        <v>52.21</v>
      </c>
      <c r="P67" s="45">
        <f t="shared" si="13"/>
        <v>54.480000000000004</v>
      </c>
      <c r="Q67" s="45">
        <f t="shared" si="13"/>
        <v>52.21</v>
      </c>
      <c r="R67" s="45">
        <f t="shared" si="13"/>
        <v>54.480000000000004</v>
      </c>
      <c r="S67" s="178">
        <f>AVERAGE(C67:R67)</f>
        <v>53.77062500000001</v>
      </c>
      <c r="T67" s="45">
        <f t="shared" ref="T67:T68" si="14">T56+T59+T62+T65</f>
        <v>53.770625000000003</v>
      </c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60"/>
      <c r="BB67" s="159"/>
      <c r="BC67" s="159"/>
      <c r="BD67" s="159"/>
      <c r="BE67" s="159"/>
      <c r="BF67" s="159"/>
      <c r="BG67" s="159"/>
      <c r="BH67" s="159"/>
      <c r="BI67" s="159"/>
    </row>
    <row r="68" spans="1:61">
      <c r="A68" s="43"/>
      <c r="B68" s="43" t="s">
        <v>33</v>
      </c>
      <c r="C68" s="77">
        <f t="shared" ref="C68:R68" si="15">2.27*(C57+C60+C63+C66)</f>
        <v>38.590000000000003</v>
      </c>
      <c r="D68" s="77">
        <f t="shared" si="15"/>
        <v>54.480000000000004</v>
      </c>
      <c r="E68" s="77">
        <f t="shared" si="15"/>
        <v>54.480000000000004</v>
      </c>
      <c r="F68" s="77">
        <f t="shared" si="15"/>
        <v>54.480000000000004</v>
      </c>
      <c r="G68" s="77">
        <f t="shared" si="15"/>
        <v>54.480000000000004</v>
      </c>
      <c r="H68" s="77">
        <f t="shared" si="15"/>
        <v>54.480000000000004</v>
      </c>
      <c r="I68" s="77">
        <f t="shared" si="15"/>
        <v>45.4</v>
      </c>
      <c r="J68" s="77">
        <f t="shared" si="15"/>
        <v>54.480000000000004</v>
      </c>
      <c r="K68" s="77">
        <f t="shared" si="15"/>
        <v>54.480000000000004</v>
      </c>
      <c r="L68" s="77">
        <f t="shared" si="15"/>
        <v>54.480000000000004</v>
      </c>
      <c r="M68" s="77">
        <f t="shared" si="15"/>
        <v>45.4</v>
      </c>
      <c r="N68" s="77">
        <f t="shared" si="15"/>
        <v>49.94</v>
      </c>
      <c r="O68" s="77">
        <f t="shared" si="15"/>
        <v>49.94</v>
      </c>
      <c r="P68" s="77">
        <f t="shared" si="15"/>
        <v>54.480000000000004</v>
      </c>
      <c r="Q68" s="77">
        <f t="shared" si="15"/>
        <v>43.13</v>
      </c>
      <c r="R68" s="77">
        <f t="shared" si="15"/>
        <v>54.480000000000004</v>
      </c>
      <c r="S68" s="177">
        <f>AVERAGE(C68:R68)</f>
        <v>51.07500000000001</v>
      </c>
      <c r="T68" s="118">
        <f t="shared" si="14"/>
        <v>51.075000000000003</v>
      </c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60"/>
      <c r="BB68" s="159"/>
      <c r="BC68" s="159"/>
      <c r="BD68" s="159"/>
      <c r="BE68" s="159"/>
      <c r="BF68" s="159"/>
      <c r="BG68" s="159"/>
      <c r="BH68" s="159"/>
      <c r="BI68" s="159"/>
    </row>
    <row r="69" spans="1:61">
      <c r="A69" s="49"/>
      <c r="B69" s="49" t="s">
        <v>34</v>
      </c>
      <c r="C69" s="50">
        <f t="shared" ref="C69:R69" si="16">C67-C68</f>
        <v>15.89</v>
      </c>
      <c r="D69" s="50">
        <f t="shared" si="16"/>
        <v>0</v>
      </c>
      <c r="E69" s="50">
        <f t="shared" si="16"/>
        <v>0</v>
      </c>
      <c r="F69" s="50">
        <f t="shared" si="16"/>
        <v>0</v>
      </c>
      <c r="G69" s="50">
        <f t="shared" si="16"/>
        <v>0</v>
      </c>
      <c r="H69" s="50">
        <f t="shared" si="16"/>
        <v>0</v>
      </c>
      <c r="I69" s="50">
        <f t="shared" si="16"/>
        <v>9.0800000000000054</v>
      </c>
      <c r="J69" s="50">
        <f t="shared" si="16"/>
        <v>0</v>
      </c>
      <c r="K69" s="50">
        <f t="shared" si="16"/>
        <v>-2.2700000000000031</v>
      </c>
      <c r="L69" s="50">
        <f t="shared" si="16"/>
        <v>0</v>
      </c>
      <c r="M69" s="50">
        <f t="shared" si="16"/>
        <v>9.0800000000000054</v>
      </c>
      <c r="N69" s="50">
        <f t="shared" si="16"/>
        <v>0</v>
      </c>
      <c r="O69" s="50">
        <f t="shared" si="16"/>
        <v>2.2700000000000031</v>
      </c>
      <c r="P69" s="50">
        <f t="shared" si="16"/>
        <v>0</v>
      </c>
      <c r="Q69" s="50">
        <f t="shared" si="16"/>
        <v>9.0799999999999983</v>
      </c>
      <c r="R69" s="50">
        <f t="shared" si="16"/>
        <v>0</v>
      </c>
      <c r="S69" s="179">
        <f>AVERAGE(C69:R69)</f>
        <v>2.6956250000000006</v>
      </c>
      <c r="T69" s="50">
        <f>T67-T68</f>
        <v>2.6956249999999997</v>
      </c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60"/>
      <c r="BB69" s="159"/>
      <c r="BC69" s="159"/>
      <c r="BD69" s="159"/>
      <c r="BE69" s="159"/>
      <c r="BF69" s="159"/>
      <c r="BG69" s="159"/>
      <c r="BH69" s="159"/>
      <c r="BI69" s="159"/>
    </row>
    <row r="70" spans="1:61">
      <c r="A70" s="53" t="s">
        <v>43</v>
      </c>
      <c r="B70" s="93" t="s">
        <v>49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180"/>
      <c r="T70" s="119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61"/>
      <c r="BB70" s="159"/>
      <c r="BC70" s="159"/>
      <c r="BD70" s="159"/>
      <c r="BE70" s="159"/>
      <c r="BF70" s="159"/>
      <c r="BG70" s="159"/>
      <c r="BH70" s="159"/>
      <c r="BI70" s="159"/>
    </row>
    <row r="71" spans="1:61">
      <c r="A71" s="55"/>
      <c r="B71" s="55" t="s">
        <v>50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180"/>
      <c r="T71" s="119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61"/>
      <c r="BB71" s="159"/>
      <c r="BC71" s="159"/>
      <c r="BD71" s="159"/>
      <c r="BE71" s="159"/>
      <c r="BF71" s="159"/>
      <c r="BG71" s="159"/>
      <c r="BH71" s="159"/>
      <c r="BI71" s="159"/>
    </row>
    <row r="72" spans="1:61">
      <c r="A72" s="57"/>
      <c r="B72" s="57" t="s">
        <v>23</v>
      </c>
      <c r="C72" s="55">
        <v>6</v>
      </c>
      <c r="D72" s="55">
        <v>6</v>
      </c>
      <c r="E72" s="55">
        <v>6</v>
      </c>
      <c r="F72" s="55">
        <v>6</v>
      </c>
      <c r="G72" s="55">
        <v>6</v>
      </c>
      <c r="H72" s="55">
        <v>6</v>
      </c>
      <c r="I72" s="55">
        <v>6</v>
      </c>
      <c r="J72" s="55">
        <v>6</v>
      </c>
      <c r="K72" s="55">
        <v>6</v>
      </c>
      <c r="L72" s="55">
        <v>6</v>
      </c>
      <c r="M72" s="55">
        <v>6</v>
      </c>
      <c r="N72" s="55">
        <v>6</v>
      </c>
      <c r="O72" s="55">
        <v>5</v>
      </c>
      <c r="P72" s="55">
        <v>6</v>
      </c>
      <c r="Q72" s="55">
        <v>6</v>
      </c>
      <c r="R72" s="55">
        <v>6</v>
      </c>
      <c r="S72" s="180">
        <f t="shared" ref="S72:S82" si="17">SUM(C72:R72)</f>
        <v>95</v>
      </c>
      <c r="T72" s="120">
        <f t="shared" ref="T72:T82" si="18">2.27*(S72/COLUMNS(C72:R72))</f>
        <v>13.478125</v>
      </c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60"/>
      <c r="BB72" s="159"/>
      <c r="BC72" s="159"/>
      <c r="BD72" s="159"/>
      <c r="BE72" s="159"/>
      <c r="BF72" s="159"/>
      <c r="BG72" s="159"/>
      <c r="BH72" s="159"/>
      <c r="BI72" s="159"/>
    </row>
    <row r="73" spans="1:61">
      <c r="A73" s="57"/>
      <c r="B73" s="57" t="s">
        <v>24</v>
      </c>
      <c r="C73" s="55">
        <v>6</v>
      </c>
      <c r="D73" s="55">
        <v>6</v>
      </c>
      <c r="E73" s="55">
        <v>6</v>
      </c>
      <c r="F73" s="55">
        <v>6</v>
      </c>
      <c r="G73" s="55">
        <v>5</v>
      </c>
      <c r="H73" s="55">
        <v>5</v>
      </c>
      <c r="I73" s="55">
        <v>5</v>
      </c>
      <c r="J73" s="55">
        <v>4</v>
      </c>
      <c r="K73" s="55">
        <v>6</v>
      </c>
      <c r="L73" s="55">
        <v>6</v>
      </c>
      <c r="M73" s="55">
        <v>5</v>
      </c>
      <c r="N73" s="55">
        <v>5</v>
      </c>
      <c r="O73" s="55">
        <v>5</v>
      </c>
      <c r="P73" s="55">
        <v>6</v>
      </c>
      <c r="Q73" s="55">
        <v>5</v>
      </c>
      <c r="R73" s="55">
        <v>6</v>
      </c>
      <c r="S73" s="180">
        <f t="shared" si="17"/>
        <v>87</v>
      </c>
      <c r="T73" s="120">
        <f t="shared" si="18"/>
        <v>12.343125000000001</v>
      </c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60"/>
      <c r="BB73" s="159"/>
      <c r="BC73" s="159"/>
      <c r="BD73" s="159"/>
      <c r="BE73" s="159"/>
      <c r="BF73" s="159"/>
      <c r="BG73" s="159"/>
      <c r="BH73" s="159"/>
      <c r="BI73" s="159"/>
    </row>
    <row r="74" spans="1:61">
      <c r="A74" s="55"/>
      <c r="B74" s="55" t="s">
        <v>51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180">
        <f t="shared" si="17"/>
        <v>0</v>
      </c>
      <c r="T74" s="120">
        <f t="shared" si="18"/>
        <v>0</v>
      </c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61"/>
      <c r="BB74" s="159"/>
      <c r="BC74" s="159"/>
      <c r="BD74" s="159"/>
      <c r="BE74" s="159"/>
      <c r="BF74" s="159"/>
      <c r="BG74" s="159"/>
      <c r="BH74" s="159"/>
      <c r="BI74" s="159"/>
    </row>
    <row r="75" spans="1:61">
      <c r="A75" s="57"/>
      <c r="B75" s="57" t="s">
        <v>52</v>
      </c>
      <c r="C75" s="55">
        <v>6</v>
      </c>
      <c r="D75" s="55">
        <v>6</v>
      </c>
      <c r="E75" s="55">
        <v>6</v>
      </c>
      <c r="F75" s="55">
        <v>6</v>
      </c>
      <c r="G75" s="55">
        <v>6</v>
      </c>
      <c r="H75" s="55">
        <v>6</v>
      </c>
      <c r="I75" s="55">
        <v>6</v>
      </c>
      <c r="J75" s="55">
        <v>6</v>
      </c>
      <c r="K75" s="55">
        <v>6</v>
      </c>
      <c r="L75" s="55">
        <v>6</v>
      </c>
      <c r="M75" s="55">
        <v>6</v>
      </c>
      <c r="N75" s="55">
        <v>6</v>
      </c>
      <c r="O75" s="55">
        <v>6</v>
      </c>
      <c r="P75" s="55">
        <v>6</v>
      </c>
      <c r="Q75" s="55">
        <v>6</v>
      </c>
      <c r="R75" s="55">
        <v>6</v>
      </c>
      <c r="S75" s="180">
        <f t="shared" si="17"/>
        <v>96</v>
      </c>
      <c r="T75" s="120">
        <f t="shared" si="18"/>
        <v>13.620000000000001</v>
      </c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60"/>
      <c r="BB75" s="159"/>
      <c r="BC75" s="159"/>
      <c r="BD75" s="159"/>
      <c r="BE75" s="159"/>
      <c r="BF75" s="159"/>
      <c r="BG75" s="159"/>
      <c r="BH75" s="159"/>
      <c r="BI75" s="159"/>
    </row>
    <row r="76" spans="1:61">
      <c r="A76" s="57"/>
      <c r="B76" s="57" t="s">
        <v>53</v>
      </c>
      <c r="C76" s="55">
        <v>5</v>
      </c>
      <c r="D76" s="55">
        <v>6</v>
      </c>
      <c r="E76" s="55">
        <v>0</v>
      </c>
      <c r="F76" s="55">
        <v>6</v>
      </c>
      <c r="G76" s="55"/>
      <c r="H76" s="55">
        <v>0</v>
      </c>
      <c r="I76" s="55">
        <v>5</v>
      </c>
      <c r="J76" s="55">
        <v>0</v>
      </c>
      <c r="K76" s="55">
        <v>4</v>
      </c>
      <c r="L76" s="55">
        <v>6</v>
      </c>
      <c r="M76" s="55">
        <v>5</v>
      </c>
      <c r="N76" s="55">
        <v>6</v>
      </c>
      <c r="O76" s="55">
        <v>6</v>
      </c>
      <c r="P76" s="55">
        <v>6</v>
      </c>
      <c r="Q76" s="55">
        <v>4.5</v>
      </c>
      <c r="R76" s="55">
        <v>6</v>
      </c>
      <c r="S76" s="180">
        <f t="shared" si="17"/>
        <v>65.5</v>
      </c>
      <c r="T76" s="120">
        <f t="shared" si="18"/>
        <v>9.2928125000000001</v>
      </c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60"/>
      <c r="BB76" s="159"/>
      <c r="BC76" s="159"/>
      <c r="BD76" s="159"/>
      <c r="BE76" s="159"/>
      <c r="BF76" s="159"/>
      <c r="BG76" s="159"/>
      <c r="BH76" s="159"/>
      <c r="BI76" s="159"/>
    </row>
    <row r="77" spans="1:61">
      <c r="A77" s="55"/>
      <c r="B77" s="55" t="s">
        <v>54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180">
        <f t="shared" si="17"/>
        <v>0</v>
      </c>
      <c r="T77" s="120">
        <f t="shared" si="18"/>
        <v>0</v>
      </c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61"/>
      <c r="BB77" s="159"/>
      <c r="BC77" s="159"/>
      <c r="BD77" s="159"/>
      <c r="BE77" s="159"/>
      <c r="BF77" s="159"/>
      <c r="BG77" s="159"/>
      <c r="BH77" s="159"/>
      <c r="BI77" s="159"/>
    </row>
    <row r="78" spans="1:61">
      <c r="A78" s="57"/>
      <c r="B78" s="57" t="s">
        <v>55</v>
      </c>
      <c r="C78" s="55">
        <v>6</v>
      </c>
      <c r="D78" s="55">
        <v>6</v>
      </c>
      <c r="E78" s="55">
        <v>6</v>
      </c>
      <c r="F78" s="55">
        <v>6</v>
      </c>
      <c r="G78" s="55">
        <v>6</v>
      </c>
      <c r="H78" s="55">
        <v>6</v>
      </c>
      <c r="I78" s="55">
        <v>6</v>
      </c>
      <c r="J78" s="55">
        <v>6</v>
      </c>
      <c r="K78" s="55">
        <v>6</v>
      </c>
      <c r="L78" s="55">
        <v>6</v>
      </c>
      <c r="M78" s="55">
        <v>6</v>
      </c>
      <c r="N78" s="55">
        <v>6</v>
      </c>
      <c r="O78" s="55">
        <v>6</v>
      </c>
      <c r="P78" s="55">
        <v>6</v>
      </c>
      <c r="Q78" s="55">
        <v>6</v>
      </c>
      <c r="R78" s="55">
        <v>6</v>
      </c>
      <c r="S78" s="180">
        <f t="shared" si="17"/>
        <v>96</v>
      </c>
      <c r="T78" s="120">
        <f t="shared" si="18"/>
        <v>13.620000000000001</v>
      </c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60"/>
      <c r="BB78" s="159"/>
      <c r="BC78" s="159"/>
      <c r="BD78" s="159"/>
      <c r="BE78" s="159"/>
      <c r="BF78" s="159"/>
      <c r="BG78" s="159"/>
      <c r="BH78" s="159"/>
      <c r="BI78" s="159"/>
    </row>
    <row r="79" spans="1:61">
      <c r="A79" s="57"/>
      <c r="B79" s="57" t="s">
        <v>56</v>
      </c>
      <c r="C79" s="55">
        <v>5</v>
      </c>
      <c r="D79" s="55">
        <v>4</v>
      </c>
      <c r="E79" s="55"/>
      <c r="F79" s="55">
        <v>3</v>
      </c>
      <c r="G79" s="55"/>
      <c r="H79" s="55">
        <v>5</v>
      </c>
      <c r="I79" s="55">
        <v>5</v>
      </c>
      <c r="J79" s="55">
        <v>4</v>
      </c>
      <c r="K79" s="55">
        <v>3</v>
      </c>
      <c r="L79" s="55">
        <v>6</v>
      </c>
      <c r="M79" s="55">
        <v>5</v>
      </c>
      <c r="N79" s="55">
        <v>6</v>
      </c>
      <c r="O79" s="55">
        <v>6</v>
      </c>
      <c r="P79" s="55">
        <v>6</v>
      </c>
      <c r="Q79" s="55">
        <v>5</v>
      </c>
      <c r="R79" s="55">
        <v>6</v>
      </c>
      <c r="S79" s="180">
        <f t="shared" si="17"/>
        <v>69</v>
      </c>
      <c r="T79" s="120">
        <f t="shared" si="18"/>
        <v>9.7893749999999997</v>
      </c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60"/>
      <c r="BB79" s="159"/>
      <c r="BC79" s="159"/>
      <c r="BD79" s="159"/>
      <c r="BE79" s="159"/>
      <c r="BF79" s="159"/>
      <c r="BG79" s="159"/>
      <c r="BH79" s="159"/>
      <c r="BI79" s="159"/>
    </row>
    <row r="80" spans="1:61">
      <c r="A80" s="55"/>
      <c r="B80" s="55" t="s">
        <v>57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180">
        <f t="shared" si="17"/>
        <v>0</v>
      </c>
      <c r="T80" s="120">
        <f t="shared" si="18"/>
        <v>0</v>
      </c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9"/>
      <c r="AZ80" s="159"/>
      <c r="BA80" s="161"/>
      <c r="BB80" s="159"/>
      <c r="BC80" s="159"/>
      <c r="BD80" s="159"/>
      <c r="BE80" s="159"/>
      <c r="BF80" s="159"/>
      <c r="BG80" s="159"/>
      <c r="BH80" s="159"/>
      <c r="BI80" s="159"/>
    </row>
    <row r="81" spans="1:61">
      <c r="A81" s="57"/>
      <c r="B81" s="57" t="s">
        <v>55</v>
      </c>
      <c r="C81" s="55">
        <v>6</v>
      </c>
      <c r="D81" s="55">
        <v>6</v>
      </c>
      <c r="E81" s="55">
        <v>6</v>
      </c>
      <c r="F81" s="55">
        <v>6</v>
      </c>
      <c r="G81" s="55">
        <v>6</v>
      </c>
      <c r="H81" s="55">
        <v>6</v>
      </c>
      <c r="I81" s="55">
        <v>6</v>
      </c>
      <c r="J81" s="55">
        <v>6</v>
      </c>
      <c r="K81" s="55">
        <v>6</v>
      </c>
      <c r="L81" s="55">
        <v>6</v>
      </c>
      <c r="M81" s="55">
        <v>6</v>
      </c>
      <c r="N81" s="55">
        <v>6</v>
      </c>
      <c r="O81" s="55">
        <v>6</v>
      </c>
      <c r="P81" s="55">
        <v>6</v>
      </c>
      <c r="Q81" s="55">
        <v>6</v>
      </c>
      <c r="R81" s="55">
        <v>3</v>
      </c>
      <c r="S81" s="180">
        <f t="shared" si="17"/>
        <v>93</v>
      </c>
      <c r="T81" s="120">
        <f t="shared" si="18"/>
        <v>13.194375000000001</v>
      </c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9"/>
      <c r="AZ81" s="159"/>
      <c r="BA81" s="160"/>
      <c r="BB81" s="159"/>
      <c r="BC81" s="159"/>
      <c r="BD81" s="159"/>
      <c r="BE81" s="159"/>
      <c r="BF81" s="159"/>
      <c r="BG81" s="159"/>
      <c r="BH81" s="159"/>
      <c r="BI81" s="159"/>
    </row>
    <row r="82" spans="1:61">
      <c r="A82" s="57"/>
      <c r="B82" s="57" t="s">
        <v>56</v>
      </c>
      <c r="C82" s="55">
        <v>5</v>
      </c>
      <c r="D82" s="55">
        <v>5</v>
      </c>
      <c r="E82" s="55">
        <v>0</v>
      </c>
      <c r="F82" s="55">
        <v>3</v>
      </c>
      <c r="G82" s="55"/>
      <c r="H82" s="55">
        <v>3</v>
      </c>
      <c r="I82" s="55"/>
      <c r="J82" s="55">
        <v>3</v>
      </c>
      <c r="K82" s="55">
        <v>2</v>
      </c>
      <c r="L82" s="55">
        <v>6</v>
      </c>
      <c r="M82" s="55">
        <v>5</v>
      </c>
      <c r="N82" s="55">
        <v>5</v>
      </c>
      <c r="O82" s="55">
        <v>5</v>
      </c>
      <c r="P82" s="55">
        <v>6</v>
      </c>
      <c r="Q82" s="55">
        <v>5</v>
      </c>
      <c r="R82" s="55">
        <v>3</v>
      </c>
      <c r="S82" s="180">
        <f t="shared" si="17"/>
        <v>56</v>
      </c>
      <c r="T82" s="120">
        <f t="shared" si="18"/>
        <v>7.9450000000000003</v>
      </c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60"/>
      <c r="BB82" s="159"/>
      <c r="BC82" s="159"/>
      <c r="BD82" s="159"/>
      <c r="BE82" s="159"/>
      <c r="BF82" s="159"/>
      <c r="BG82" s="159"/>
      <c r="BH82" s="159"/>
      <c r="BI82" s="159"/>
    </row>
    <row r="83" spans="1:61">
      <c r="A83" s="58"/>
      <c r="B83" s="58" t="s">
        <v>32</v>
      </c>
      <c r="C83" s="59">
        <f t="shared" ref="C83:R83" si="19">2.27*(C72+C75+C78+C81)</f>
        <v>54.480000000000004</v>
      </c>
      <c r="D83" s="59">
        <f t="shared" si="19"/>
        <v>54.480000000000004</v>
      </c>
      <c r="E83" s="59">
        <f t="shared" si="19"/>
        <v>54.480000000000004</v>
      </c>
      <c r="F83" s="59">
        <f t="shared" si="19"/>
        <v>54.480000000000004</v>
      </c>
      <c r="G83" s="59">
        <f t="shared" si="19"/>
        <v>54.480000000000004</v>
      </c>
      <c r="H83" s="59">
        <f t="shared" si="19"/>
        <v>54.480000000000004</v>
      </c>
      <c r="I83" s="59">
        <f t="shared" si="19"/>
        <v>54.480000000000004</v>
      </c>
      <c r="J83" s="59">
        <f t="shared" si="19"/>
        <v>54.480000000000004</v>
      </c>
      <c r="K83" s="59">
        <f t="shared" si="19"/>
        <v>54.480000000000004</v>
      </c>
      <c r="L83" s="59">
        <f t="shared" si="19"/>
        <v>54.480000000000004</v>
      </c>
      <c r="M83" s="59">
        <f t="shared" si="19"/>
        <v>54.480000000000004</v>
      </c>
      <c r="N83" s="59">
        <f t="shared" si="19"/>
        <v>54.480000000000004</v>
      </c>
      <c r="O83" s="59">
        <f t="shared" si="19"/>
        <v>52.21</v>
      </c>
      <c r="P83" s="59">
        <f t="shared" si="19"/>
        <v>54.480000000000004</v>
      </c>
      <c r="Q83" s="59">
        <f t="shared" si="19"/>
        <v>54.480000000000004</v>
      </c>
      <c r="R83" s="59">
        <f t="shared" si="19"/>
        <v>47.67</v>
      </c>
      <c r="S83" s="181">
        <f>AVERAGE(C83:R83)</f>
        <v>53.912500000000009</v>
      </c>
      <c r="T83" s="59">
        <f t="shared" ref="T83:T84" si="20">T72+T75+T78+T81</f>
        <v>53.912500000000001</v>
      </c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60"/>
      <c r="BB83" s="159"/>
      <c r="BC83" s="159"/>
      <c r="BD83" s="159"/>
      <c r="BE83" s="159"/>
      <c r="BF83" s="159"/>
      <c r="BG83" s="159"/>
      <c r="BH83" s="159"/>
      <c r="BI83" s="159"/>
    </row>
    <row r="84" spans="1:61">
      <c r="A84" s="57"/>
      <c r="B84" s="57" t="s">
        <v>33</v>
      </c>
      <c r="C84" s="55">
        <f t="shared" ref="C84:R84" si="21">2.27*(C73+C76+C79+C82)</f>
        <v>47.67</v>
      </c>
      <c r="D84" s="55">
        <f t="shared" si="21"/>
        <v>47.67</v>
      </c>
      <c r="E84" s="55">
        <f t="shared" si="21"/>
        <v>13.620000000000001</v>
      </c>
      <c r="F84" s="55">
        <f t="shared" si="21"/>
        <v>40.86</v>
      </c>
      <c r="G84" s="55">
        <f t="shared" si="21"/>
        <v>11.35</v>
      </c>
      <c r="H84" s="55">
        <f t="shared" si="21"/>
        <v>29.51</v>
      </c>
      <c r="I84" s="55">
        <f t="shared" si="21"/>
        <v>34.049999999999997</v>
      </c>
      <c r="J84" s="55">
        <f t="shared" si="21"/>
        <v>24.97</v>
      </c>
      <c r="K84" s="55">
        <f t="shared" si="21"/>
        <v>34.049999999999997</v>
      </c>
      <c r="L84" s="55">
        <f t="shared" si="21"/>
        <v>54.480000000000004</v>
      </c>
      <c r="M84" s="55">
        <f t="shared" si="21"/>
        <v>45.4</v>
      </c>
      <c r="N84" s="55">
        <f t="shared" si="21"/>
        <v>49.94</v>
      </c>
      <c r="O84" s="55">
        <f t="shared" si="21"/>
        <v>49.94</v>
      </c>
      <c r="P84" s="55">
        <f t="shared" si="21"/>
        <v>54.480000000000004</v>
      </c>
      <c r="Q84" s="55">
        <f t="shared" si="21"/>
        <v>44.265000000000001</v>
      </c>
      <c r="R84" s="55">
        <f t="shared" si="21"/>
        <v>47.67</v>
      </c>
      <c r="S84" s="180">
        <f>AVERAGE(C84:R84)</f>
        <v>39.37031249999999</v>
      </c>
      <c r="T84" s="120">
        <f t="shared" si="20"/>
        <v>39.370312499999997</v>
      </c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159"/>
      <c r="AX84" s="159"/>
      <c r="AY84" s="159"/>
      <c r="AZ84" s="159"/>
      <c r="BA84" s="160"/>
      <c r="BB84" s="159"/>
      <c r="BC84" s="159"/>
      <c r="BD84" s="159"/>
      <c r="BE84" s="159"/>
      <c r="BF84" s="159"/>
      <c r="BG84" s="159"/>
      <c r="BH84" s="159"/>
      <c r="BI84" s="159"/>
    </row>
    <row r="85" spans="1:61">
      <c r="A85" s="63"/>
      <c r="B85" s="63" t="s">
        <v>34</v>
      </c>
      <c r="C85" s="64">
        <f t="shared" ref="C85:R85" si="22">C83-C84</f>
        <v>6.8100000000000023</v>
      </c>
      <c r="D85" s="64">
        <f t="shared" si="22"/>
        <v>6.8100000000000023</v>
      </c>
      <c r="E85" s="64">
        <f t="shared" si="22"/>
        <v>40.86</v>
      </c>
      <c r="F85" s="64">
        <f t="shared" si="22"/>
        <v>13.620000000000005</v>
      </c>
      <c r="G85" s="64">
        <f t="shared" si="22"/>
        <v>43.13</v>
      </c>
      <c r="H85" s="64">
        <f t="shared" si="22"/>
        <v>24.970000000000002</v>
      </c>
      <c r="I85" s="64">
        <f t="shared" si="22"/>
        <v>20.430000000000007</v>
      </c>
      <c r="J85" s="64">
        <f t="shared" si="22"/>
        <v>29.510000000000005</v>
      </c>
      <c r="K85" s="64">
        <f t="shared" si="22"/>
        <v>20.430000000000007</v>
      </c>
      <c r="L85" s="64">
        <f t="shared" si="22"/>
        <v>0</v>
      </c>
      <c r="M85" s="64">
        <f t="shared" si="22"/>
        <v>9.0800000000000054</v>
      </c>
      <c r="N85" s="64">
        <f t="shared" si="22"/>
        <v>4.5400000000000063</v>
      </c>
      <c r="O85" s="64">
        <f t="shared" si="22"/>
        <v>2.2700000000000031</v>
      </c>
      <c r="P85" s="64">
        <f t="shared" si="22"/>
        <v>0</v>
      </c>
      <c r="Q85" s="64">
        <f t="shared" si="22"/>
        <v>10.215000000000003</v>
      </c>
      <c r="R85" s="64">
        <f t="shared" si="22"/>
        <v>0</v>
      </c>
      <c r="S85" s="182">
        <f>AVERAGE(C85:R85)</f>
        <v>14.542187500000004</v>
      </c>
      <c r="T85" s="64">
        <f>T83-T84</f>
        <v>14.542187500000004</v>
      </c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  <c r="AZ85" s="159"/>
      <c r="BA85" s="160"/>
      <c r="BB85" s="159"/>
      <c r="BC85" s="159"/>
      <c r="BD85" s="159"/>
      <c r="BE85" s="159"/>
      <c r="BF85" s="159"/>
      <c r="BG85" s="159"/>
      <c r="BH85" s="159"/>
      <c r="BI85" s="159"/>
    </row>
    <row r="86" spans="1:61">
      <c r="B86" s="4" t="s">
        <v>58</v>
      </c>
      <c r="C86" s="2"/>
      <c r="D86" s="4" t="s">
        <v>59</v>
      </c>
      <c r="E86" s="4" t="s">
        <v>64</v>
      </c>
      <c r="F86" s="4" t="s">
        <v>59</v>
      </c>
      <c r="G86" s="4" t="s">
        <v>59</v>
      </c>
      <c r="H86" s="2"/>
      <c r="I86" s="4" t="s">
        <v>59</v>
      </c>
      <c r="J86" s="4" t="s">
        <v>59</v>
      </c>
      <c r="K86" s="4" t="s">
        <v>59</v>
      </c>
      <c r="L86" s="4" t="s">
        <v>59</v>
      </c>
      <c r="M86" s="4" t="s">
        <v>59</v>
      </c>
      <c r="N86" s="4" t="s">
        <v>59</v>
      </c>
      <c r="O86" s="4" t="s">
        <v>59</v>
      </c>
      <c r="P86" s="4" t="s">
        <v>59</v>
      </c>
      <c r="Q86" s="4" t="s">
        <v>59</v>
      </c>
      <c r="R86" s="4" t="s">
        <v>59</v>
      </c>
      <c r="S86" s="167"/>
      <c r="T86" s="168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1"/>
      <c r="AF86" s="160"/>
      <c r="AG86" s="160"/>
      <c r="AH86" s="160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59"/>
      <c r="AW86" s="159"/>
      <c r="AX86" s="159"/>
      <c r="AY86" s="159"/>
      <c r="AZ86" s="159"/>
      <c r="BA86" s="160"/>
      <c r="BB86" s="159"/>
      <c r="BC86" s="159"/>
      <c r="BD86" s="159"/>
      <c r="BE86" s="159"/>
      <c r="BF86" s="159"/>
      <c r="BG86" s="159"/>
      <c r="BH86" s="159"/>
      <c r="BI86" s="159"/>
    </row>
    <row r="87" spans="1:61">
      <c r="A87" s="2"/>
      <c r="B87" s="78" t="s">
        <v>65</v>
      </c>
      <c r="C87" s="68">
        <f t="shared" ref="C87:R87" si="23">C27+C51+C67+C83</f>
        <v>205.59000000000003</v>
      </c>
      <c r="D87" s="68">
        <f t="shared" si="23"/>
        <v>196.142</v>
      </c>
      <c r="E87" s="68">
        <f t="shared" si="23"/>
        <v>195.58100000000002</v>
      </c>
      <c r="F87" s="68">
        <f t="shared" si="23"/>
        <v>202.41000000000003</v>
      </c>
      <c r="G87" s="68">
        <f t="shared" si="23"/>
        <v>209.31200000000001</v>
      </c>
      <c r="H87" s="68">
        <f t="shared" si="23"/>
        <v>200.774</v>
      </c>
      <c r="I87" s="68">
        <f t="shared" si="23"/>
        <v>195.125</v>
      </c>
      <c r="J87" s="68">
        <f t="shared" si="23"/>
        <v>195.60000000000002</v>
      </c>
      <c r="K87" s="68">
        <f t="shared" si="23"/>
        <v>173.62</v>
      </c>
      <c r="L87" s="68">
        <f t="shared" si="23"/>
        <v>186.97000000000003</v>
      </c>
      <c r="M87" s="68">
        <f t="shared" si="23"/>
        <v>202.04600000000005</v>
      </c>
      <c r="N87" s="68">
        <f t="shared" si="23"/>
        <v>187.06299999999999</v>
      </c>
      <c r="O87" s="68">
        <f t="shared" si="23"/>
        <v>182.79400000000001</v>
      </c>
      <c r="P87" s="68">
        <f t="shared" si="23"/>
        <v>194.50600000000003</v>
      </c>
      <c r="Q87" s="68">
        <f t="shared" si="23"/>
        <v>199.10399999999998</v>
      </c>
      <c r="R87" s="68">
        <f t="shared" si="23"/>
        <v>171.89600000000002</v>
      </c>
      <c r="S87" s="155">
        <f>AVERAGE(C87:R87)</f>
        <v>193.65831249999999</v>
      </c>
      <c r="T87" s="122">
        <f t="shared" ref="T87:T89" si="24">T27+T51+T67+T83</f>
        <v>193.65831249999999</v>
      </c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59"/>
      <c r="BF87" s="159"/>
      <c r="BG87" s="159"/>
      <c r="BH87" s="159"/>
      <c r="BI87" s="159"/>
    </row>
    <row r="88" spans="1:61">
      <c r="A88" s="2"/>
      <c r="B88" s="78" t="s">
        <v>66</v>
      </c>
      <c r="C88" s="68">
        <f t="shared" ref="C88:R88" si="25">C28+C52+C68+C84</f>
        <v>131.298</v>
      </c>
      <c r="D88" s="68">
        <f t="shared" si="25"/>
        <v>153.45800000000003</v>
      </c>
      <c r="E88" s="68">
        <f t="shared" si="25"/>
        <v>121.33100000000002</v>
      </c>
      <c r="F88" s="68">
        <f t="shared" si="25"/>
        <v>146.28199999999998</v>
      </c>
      <c r="G88" s="68">
        <f t="shared" si="25"/>
        <v>102.152</v>
      </c>
      <c r="H88" s="68">
        <f t="shared" si="25"/>
        <v>132.482</v>
      </c>
      <c r="I88" s="68">
        <f t="shared" si="25"/>
        <v>138.58499999999998</v>
      </c>
      <c r="J88" s="68">
        <f t="shared" si="25"/>
        <v>123.58199999999999</v>
      </c>
      <c r="K88" s="68">
        <f t="shared" si="25"/>
        <v>145.55799999999999</v>
      </c>
      <c r="L88" s="68">
        <f t="shared" si="25"/>
        <v>159.22500000000002</v>
      </c>
      <c r="M88" s="68">
        <f t="shared" si="25"/>
        <v>146.19200000000001</v>
      </c>
      <c r="N88" s="68">
        <f t="shared" si="25"/>
        <v>160.721</v>
      </c>
      <c r="O88" s="68">
        <f t="shared" si="25"/>
        <v>150.00799999999998</v>
      </c>
      <c r="P88" s="68">
        <f t="shared" si="25"/>
        <v>178.702</v>
      </c>
      <c r="Q88" s="68">
        <f t="shared" si="25"/>
        <v>131.20100000000002</v>
      </c>
      <c r="R88" s="68">
        <f t="shared" si="25"/>
        <v>145.92000000000002</v>
      </c>
      <c r="S88" s="155">
        <f>AVERAGE(C88:R88)</f>
        <v>141.66856250000001</v>
      </c>
      <c r="T88" s="122">
        <f t="shared" si="24"/>
        <v>141.66856250000001</v>
      </c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  <c r="AZ88" s="159"/>
      <c r="BA88" s="159"/>
      <c r="BB88" s="159"/>
      <c r="BC88" s="159"/>
      <c r="BD88" s="159"/>
      <c r="BE88" s="159"/>
      <c r="BF88" s="159"/>
      <c r="BG88" s="159"/>
      <c r="BH88" s="159"/>
      <c r="BI88" s="159"/>
    </row>
    <row r="89" spans="1:61">
      <c r="A89" s="2"/>
      <c r="B89" s="78" t="s">
        <v>67</v>
      </c>
      <c r="C89" s="68">
        <f t="shared" ref="C89:R89" si="26">C29+C53+C69+C85</f>
        <v>74.292000000000002</v>
      </c>
      <c r="D89" s="68">
        <f t="shared" si="26"/>
        <v>42.684000000000005</v>
      </c>
      <c r="E89" s="68">
        <f t="shared" si="26"/>
        <v>74.25</v>
      </c>
      <c r="F89" s="68">
        <f t="shared" si="26"/>
        <v>56.128000000000007</v>
      </c>
      <c r="G89" s="68">
        <f t="shared" si="26"/>
        <v>107.16</v>
      </c>
      <c r="H89" s="68">
        <f t="shared" si="26"/>
        <v>68.292000000000002</v>
      </c>
      <c r="I89" s="68">
        <f t="shared" si="26"/>
        <v>56.540000000000006</v>
      </c>
      <c r="J89" s="68">
        <f t="shared" si="26"/>
        <v>72.018000000000001</v>
      </c>
      <c r="K89" s="68">
        <f t="shared" si="26"/>
        <v>28.062000000000005</v>
      </c>
      <c r="L89" s="68">
        <f t="shared" si="26"/>
        <v>27.745000000000005</v>
      </c>
      <c r="M89" s="68">
        <f t="shared" si="26"/>
        <v>55.854000000000013</v>
      </c>
      <c r="N89" s="68">
        <f t="shared" si="26"/>
        <v>26.342000000000006</v>
      </c>
      <c r="O89" s="68">
        <f t="shared" si="26"/>
        <v>32.786000000000001</v>
      </c>
      <c r="P89" s="68">
        <f t="shared" si="26"/>
        <v>15.803999999999995</v>
      </c>
      <c r="Q89" s="68">
        <f t="shared" si="26"/>
        <v>67.902999999999992</v>
      </c>
      <c r="R89" s="68">
        <f t="shared" si="26"/>
        <v>25.975999999999999</v>
      </c>
      <c r="S89" s="155">
        <f>AVERAGE(C89:R89)</f>
        <v>51.989750000000001</v>
      </c>
      <c r="T89" s="122">
        <f t="shared" si="24"/>
        <v>51.989750000000008</v>
      </c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59"/>
      <c r="BF89" s="159"/>
      <c r="BG89" s="159"/>
      <c r="BH89" s="159"/>
      <c r="BI89" s="159"/>
    </row>
    <row r="90" spans="1:61">
      <c r="A90" s="2"/>
      <c r="S90" s="155"/>
      <c r="T90" s="126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/>
      <c r="BE90" s="159"/>
      <c r="BF90" s="159"/>
      <c r="BG90" s="159"/>
      <c r="BH90" s="159"/>
      <c r="BI90" s="159"/>
    </row>
    <row r="91" spans="1:61">
      <c r="A91" s="2"/>
      <c r="B91" s="78" t="s">
        <v>68</v>
      </c>
      <c r="C91" s="68">
        <f t="shared" ref="C91:R91" si="27">0.454*(IF(C10&gt;20, 0, 20-ROUND(C10,0)) + IF(C13&gt;20, 0, 20-ROUND(C13,0)) + C16 + IF(C19&gt;20, 20, C19) + IF(C22&gt;20, 20, C22) + IF(C25&gt;20, 20, C25)) + (C32+C36+C40+C44+C48)*0.109 + (C56+C59+C62+C65)*2.27 + (C72+C75+C78+C81)*2.27</f>
        <v>205.59000000000003</v>
      </c>
      <c r="D91" s="68">
        <f t="shared" si="27"/>
        <v>196.142</v>
      </c>
      <c r="E91" s="68">
        <f t="shared" si="27"/>
        <v>195.58100000000002</v>
      </c>
      <c r="F91" s="68">
        <f t="shared" si="27"/>
        <v>202.41000000000003</v>
      </c>
      <c r="G91" s="68">
        <f t="shared" si="27"/>
        <v>209.31200000000001</v>
      </c>
      <c r="H91" s="68">
        <f t="shared" si="27"/>
        <v>200.774</v>
      </c>
      <c r="I91" s="68">
        <f t="shared" si="27"/>
        <v>195.125</v>
      </c>
      <c r="J91" s="68">
        <f t="shared" si="27"/>
        <v>195.60000000000002</v>
      </c>
      <c r="K91" s="68">
        <f t="shared" si="27"/>
        <v>173.62</v>
      </c>
      <c r="L91" s="68">
        <f t="shared" si="27"/>
        <v>186.97000000000003</v>
      </c>
      <c r="M91" s="68">
        <f t="shared" si="27"/>
        <v>202.04600000000005</v>
      </c>
      <c r="N91" s="68">
        <f t="shared" si="27"/>
        <v>187.06299999999999</v>
      </c>
      <c r="O91" s="68">
        <f t="shared" si="27"/>
        <v>182.79400000000001</v>
      </c>
      <c r="P91" s="68">
        <f t="shared" si="27"/>
        <v>194.50600000000003</v>
      </c>
      <c r="Q91" s="68">
        <f t="shared" si="27"/>
        <v>199.10399999999998</v>
      </c>
      <c r="R91" s="68">
        <f t="shared" si="27"/>
        <v>171.89600000000002</v>
      </c>
      <c r="S91" s="155">
        <f>AVERAGE(C91:R91)</f>
        <v>193.65831249999999</v>
      </c>
      <c r="T91" s="126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59"/>
      <c r="BF91" s="159"/>
      <c r="BG91" s="159"/>
      <c r="BH91" s="159"/>
      <c r="BI91" s="159"/>
    </row>
    <row r="92" spans="1:61">
      <c r="A92" s="2"/>
      <c r="B92" s="78" t="s">
        <v>69</v>
      </c>
      <c r="C92" s="70">
        <f t="shared" ref="C92:R92" si="28">0.454*(IF(C11&gt;20, 0, 20-ROUND(C11,0)) + IF(C14&gt;20, 0, 20-ROUND(C14,0)) + C17 + IF(C20&gt;20, 20, C20) + IF(C23&gt;20, 20, C23) + IF(C26&gt;20, 20, C26)) + (C33+C37+C41+C45+C49)*0.109 + (C57+C60+C63+C66)*2.27 + (C73+C76+C79+C82)*2.27</f>
        <v>131.298</v>
      </c>
      <c r="D92" s="70">
        <f t="shared" si="28"/>
        <v>153.45800000000003</v>
      </c>
      <c r="E92" s="70">
        <f t="shared" si="28"/>
        <v>121.33100000000002</v>
      </c>
      <c r="F92" s="70">
        <f t="shared" si="28"/>
        <v>146.28199999999998</v>
      </c>
      <c r="G92" s="70">
        <f t="shared" si="28"/>
        <v>102.152</v>
      </c>
      <c r="H92" s="70">
        <f t="shared" si="28"/>
        <v>132.482</v>
      </c>
      <c r="I92" s="70">
        <f t="shared" si="28"/>
        <v>138.58499999999998</v>
      </c>
      <c r="J92" s="70">
        <f t="shared" si="28"/>
        <v>123.58199999999999</v>
      </c>
      <c r="K92" s="70">
        <f t="shared" si="28"/>
        <v>145.55799999999999</v>
      </c>
      <c r="L92" s="70">
        <f t="shared" si="28"/>
        <v>159.22500000000002</v>
      </c>
      <c r="M92" s="70">
        <f t="shared" si="28"/>
        <v>146.19200000000001</v>
      </c>
      <c r="N92" s="70">
        <f t="shared" si="28"/>
        <v>160.721</v>
      </c>
      <c r="O92" s="70">
        <f t="shared" si="28"/>
        <v>150.00799999999998</v>
      </c>
      <c r="P92" s="70">
        <f t="shared" si="28"/>
        <v>178.702</v>
      </c>
      <c r="Q92" s="70">
        <f t="shared" si="28"/>
        <v>131.20100000000002</v>
      </c>
      <c r="R92" s="70">
        <f t="shared" si="28"/>
        <v>145.92000000000002</v>
      </c>
      <c r="S92" s="155">
        <f>AVERAGE(C92:R92)</f>
        <v>141.66856250000001</v>
      </c>
      <c r="T92" s="124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59"/>
      <c r="AW92" s="159"/>
      <c r="AX92" s="159"/>
      <c r="AY92" s="159"/>
      <c r="AZ92" s="159"/>
      <c r="BA92" s="163"/>
      <c r="BB92" s="159"/>
      <c r="BC92" s="159"/>
      <c r="BD92" s="159"/>
      <c r="BE92" s="159"/>
      <c r="BF92" s="159"/>
      <c r="BG92" s="159"/>
      <c r="BH92" s="159"/>
      <c r="BI92" s="159"/>
    </row>
    <row r="93" spans="1:61">
      <c r="A93" s="71"/>
      <c r="B93" s="72" t="s">
        <v>70</v>
      </c>
      <c r="C93" s="73">
        <f t="shared" ref="C93:R93" si="29">C91-C92</f>
        <v>74.29200000000003</v>
      </c>
      <c r="D93" s="73">
        <f t="shared" si="29"/>
        <v>42.683999999999969</v>
      </c>
      <c r="E93" s="73">
        <f t="shared" si="29"/>
        <v>74.25</v>
      </c>
      <c r="F93" s="73">
        <f t="shared" si="29"/>
        <v>56.128000000000043</v>
      </c>
      <c r="G93" s="73">
        <f t="shared" si="29"/>
        <v>107.16000000000001</v>
      </c>
      <c r="H93" s="73">
        <f t="shared" si="29"/>
        <v>68.292000000000002</v>
      </c>
      <c r="I93" s="73">
        <f t="shared" si="29"/>
        <v>56.54000000000002</v>
      </c>
      <c r="J93" s="73">
        <f t="shared" si="29"/>
        <v>72.018000000000029</v>
      </c>
      <c r="K93" s="73">
        <f t="shared" si="29"/>
        <v>28.062000000000012</v>
      </c>
      <c r="L93" s="73">
        <f t="shared" si="29"/>
        <v>27.745000000000005</v>
      </c>
      <c r="M93" s="73">
        <f t="shared" si="29"/>
        <v>55.854000000000042</v>
      </c>
      <c r="N93" s="73">
        <f t="shared" si="29"/>
        <v>26.341999999999985</v>
      </c>
      <c r="O93" s="73">
        <f t="shared" si="29"/>
        <v>32.78600000000003</v>
      </c>
      <c r="P93" s="73">
        <f t="shared" si="29"/>
        <v>15.80400000000003</v>
      </c>
      <c r="Q93" s="73">
        <f t="shared" si="29"/>
        <v>67.902999999999963</v>
      </c>
      <c r="R93" s="73">
        <f t="shared" si="29"/>
        <v>25.975999999999999</v>
      </c>
      <c r="S93" s="155">
        <f>AVERAGE(C93:R93)</f>
        <v>51.989750000000008</v>
      </c>
      <c r="T93" s="183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84"/>
      <c r="BB93" s="159"/>
      <c r="BC93" s="159"/>
      <c r="BD93" s="159"/>
      <c r="BE93" s="159"/>
      <c r="BF93" s="159"/>
      <c r="BG93" s="159"/>
      <c r="BH93" s="159"/>
      <c r="BI93" s="159"/>
    </row>
    <row r="94" spans="1:61">
      <c r="A94" s="2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61"/>
      <c r="AZ94" s="159"/>
      <c r="BA94" s="159"/>
      <c r="BB94" s="159"/>
      <c r="BC94" s="159"/>
      <c r="BD94" s="159"/>
      <c r="BE94" s="159"/>
      <c r="BF94" s="159"/>
      <c r="BG94" s="159"/>
      <c r="BH94" s="159"/>
      <c r="BI94" s="159"/>
    </row>
    <row r="95" spans="1:61">
      <c r="A95" s="2"/>
      <c r="B95" s="78" t="s">
        <v>15</v>
      </c>
      <c r="C95" s="68">
        <f>AVERAGE(C93:AH93)</f>
        <v>51.989750000000008</v>
      </c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61"/>
      <c r="AZ95" s="159"/>
      <c r="BA95" s="159"/>
      <c r="BB95" s="159"/>
      <c r="BC95" s="159"/>
      <c r="BD95" s="159"/>
      <c r="BE95" s="159"/>
      <c r="BF95" s="159"/>
      <c r="BG95" s="159"/>
      <c r="BH95" s="159"/>
      <c r="BI95" s="159"/>
    </row>
    <row r="96" spans="1:61">
      <c r="A96" s="2"/>
      <c r="B96" s="78" t="s">
        <v>71</v>
      </c>
      <c r="C96" s="9">
        <f>MEDIAN(C93:AH93)</f>
        <v>55.854000000000042</v>
      </c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  <c r="AW96" s="159"/>
      <c r="AX96" s="159"/>
      <c r="AY96" s="161"/>
      <c r="AZ96" s="159"/>
      <c r="BA96" s="159"/>
      <c r="BB96" s="159"/>
      <c r="BC96" s="159"/>
      <c r="BD96" s="159"/>
      <c r="BE96" s="159"/>
      <c r="BF96" s="159"/>
      <c r="BG96" s="159"/>
      <c r="BH96" s="159"/>
      <c r="BI96" s="159"/>
    </row>
    <row r="97" spans="1:61">
      <c r="A97" s="2"/>
      <c r="B97" s="78" t="s">
        <v>72</v>
      </c>
      <c r="C97" s="68">
        <f>AVERAGE(C91:AH91)</f>
        <v>193.65831249999999</v>
      </c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61"/>
      <c r="AZ97" s="159"/>
      <c r="BA97" s="159"/>
      <c r="BB97" s="159"/>
      <c r="BC97" s="159"/>
      <c r="BD97" s="159"/>
      <c r="BE97" s="159"/>
      <c r="BF97" s="159"/>
      <c r="BG97" s="159"/>
      <c r="BH97" s="159"/>
      <c r="BI97" s="159"/>
    </row>
    <row r="98" spans="1:61">
      <c r="A98" s="2"/>
      <c r="B98" s="78" t="s">
        <v>73</v>
      </c>
      <c r="C98" s="68">
        <f>AVERAGE(C92:AH92)</f>
        <v>141.66856250000001</v>
      </c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61"/>
      <c r="AZ98" s="159"/>
      <c r="BA98" s="159"/>
      <c r="BB98" s="159"/>
      <c r="BC98" s="159"/>
      <c r="BD98" s="159"/>
      <c r="BE98" s="159"/>
      <c r="BF98" s="159"/>
      <c r="BG98" s="159"/>
      <c r="BH98" s="159"/>
      <c r="BI98" s="159"/>
    </row>
    <row r="99" spans="1:61">
      <c r="A99" s="2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61"/>
      <c r="AZ99" s="159"/>
      <c r="BA99" s="159"/>
      <c r="BB99" s="159"/>
      <c r="BC99" s="159"/>
      <c r="BD99" s="159"/>
      <c r="BE99" s="159"/>
      <c r="BF99" s="159"/>
      <c r="BG99" s="159"/>
      <c r="BH99" s="159"/>
      <c r="BI99" s="159"/>
    </row>
    <row r="100" spans="1:61">
      <c r="A100" s="2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61"/>
      <c r="AZ100" s="159"/>
      <c r="BA100" s="159"/>
      <c r="BB100" s="159"/>
      <c r="BC100" s="159"/>
      <c r="BD100" s="159"/>
      <c r="BE100" s="159"/>
      <c r="BF100" s="159"/>
      <c r="BG100" s="159"/>
      <c r="BH100" s="159"/>
      <c r="BI100" s="159"/>
    </row>
    <row r="101" spans="1:61">
      <c r="A101" s="2"/>
      <c r="B101" s="185"/>
      <c r="C101" s="185"/>
      <c r="D101" s="185"/>
      <c r="E101" s="185"/>
      <c r="F101" s="185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61"/>
      <c r="AZ101" s="159"/>
      <c r="BA101" s="159"/>
      <c r="BB101" s="159"/>
      <c r="BC101" s="159"/>
      <c r="BD101" s="159"/>
      <c r="BE101" s="159"/>
      <c r="BF101" s="159"/>
      <c r="BG101" s="159"/>
      <c r="BH101" s="159"/>
      <c r="BI101" s="159"/>
    </row>
    <row r="102" spans="1:61">
      <c r="A102" s="2"/>
      <c r="B102" s="186"/>
      <c r="C102" s="186"/>
      <c r="D102" s="185"/>
      <c r="E102" s="185"/>
      <c r="F102" s="185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61"/>
      <c r="AZ102" s="159"/>
      <c r="BA102" s="159"/>
      <c r="BB102" s="159"/>
      <c r="BC102" s="159"/>
      <c r="BD102" s="159"/>
      <c r="BE102" s="159"/>
      <c r="BF102" s="159"/>
      <c r="BG102" s="159"/>
      <c r="BH102" s="159"/>
      <c r="BI102" s="159"/>
    </row>
    <row r="103" spans="1:61">
      <c r="A103" s="2"/>
      <c r="B103" s="185"/>
      <c r="C103" s="186"/>
      <c r="D103" s="185"/>
      <c r="E103" s="185"/>
      <c r="F103" s="185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61"/>
      <c r="AZ103" s="159"/>
      <c r="BA103" s="159"/>
      <c r="BB103" s="159"/>
      <c r="BC103" s="159"/>
      <c r="BD103" s="159"/>
      <c r="BE103" s="159"/>
      <c r="BF103" s="159"/>
      <c r="BG103" s="159"/>
      <c r="BH103" s="159"/>
      <c r="BI103" s="159"/>
    </row>
    <row r="104" spans="1:61">
      <c r="A104" s="2"/>
      <c r="B104" s="186"/>
      <c r="C104" s="186"/>
      <c r="D104" s="185"/>
      <c r="E104" s="185"/>
      <c r="F104" s="185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61"/>
      <c r="AZ104" s="159"/>
      <c r="BA104" s="159"/>
      <c r="BB104" s="159"/>
      <c r="BC104" s="159"/>
      <c r="BD104" s="159"/>
      <c r="BE104" s="159"/>
      <c r="BF104" s="159"/>
      <c r="BG104" s="159"/>
      <c r="BH104" s="159"/>
      <c r="BI104" s="159"/>
    </row>
    <row r="105" spans="1:61">
      <c r="A105" s="2"/>
      <c r="B105" s="185"/>
      <c r="C105" s="186"/>
      <c r="D105" s="185"/>
      <c r="E105" s="185"/>
      <c r="F105" s="185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61"/>
      <c r="AZ105" s="159"/>
      <c r="BA105" s="159"/>
      <c r="BB105" s="159"/>
      <c r="BC105" s="159"/>
      <c r="BD105" s="159"/>
      <c r="BE105" s="159"/>
      <c r="BF105" s="159"/>
      <c r="BG105" s="159"/>
      <c r="BH105" s="159"/>
      <c r="BI105" s="159"/>
    </row>
    <row r="106" spans="1:61">
      <c r="A106" s="2"/>
      <c r="B106" s="186"/>
      <c r="C106" s="186"/>
      <c r="D106" s="185"/>
      <c r="E106" s="185"/>
      <c r="F106" s="185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61"/>
      <c r="AZ106" s="159"/>
      <c r="BA106" s="159"/>
      <c r="BB106" s="159"/>
      <c r="BC106" s="159"/>
      <c r="BD106" s="159"/>
      <c r="BE106" s="159"/>
      <c r="BF106" s="159"/>
      <c r="BG106" s="159"/>
      <c r="BH106" s="159"/>
      <c r="BI106" s="159"/>
    </row>
    <row r="107" spans="1:61">
      <c r="A107" s="2"/>
      <c r="B107" s="185"/>
      <c r="C107" s="186"/>
      <c r="D107" s="185"/>
      <c r="E107" s="185"/>
      <c r="F107" s="185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61"/>
      <c r="AZ107" s="159"/>
      <c r="BA107" s="159"/>
      <c r="BB107" s="159"/>
      <c r="BC107" s="159"/>
      <c r="BD107" s="159"/>
      <c r="BE107" s="159"/>
      <c r="BF107" s="159"/>
      <c r="BG107" s="159"/>
      <c r="BH107" s="159"/>
      <c r="BI107" s="159"/>
    </row>
    <row r="108" spans="1:61">
      <c r="A108" s="2"/>
      <c r="B108" s="186"/>
      <c r="C108" s="186"/>
      <c r="D108" s="185"/>
      <c r="E108" s="185"/>
      <c r="F108" s="185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59"/>
      <c r="AW108" s="159"/>
      <c r="AX108" s="159"/>
      <c r="AY108" s="161"/>
      <c r="AZ108" s="159"/>
      <c r="BA108" s="159"/>
      <c r="BB108" s="159"/>
      <c r="BC108" s="159"/>
      <c r="BD108" s="159"/>
      <c r="BE108" s="159"/>
      <c r="BF108" s="159"/>
      <c r="BG108" s="159"/>
      <c r="BH108" s="159"/>
      <c r="BI108" s="159"/>
    </row>
    <row r="109" spans="1:61">
      <c r="A109" s="2"/>
      <c r="B109" s="185"/>
      <c r="C109" s="186"/>
      <c r="D109" s="185"/>
      <c r="E109" s="185"/>
      <c r="F109" s="185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61"/>
      <c r="AZ109" s="159"/>
      <c r="BA109" s="159"/>
      <c r="BB109" s="159"/>
      <c r="BC109" s="159"/>
      <c r="BD109" s="159"/>
      <c r="BE109" s="159"/>
      <c r="BF109" s="159"/>
      <c r="BG109" s="159"/>
      <c r="BH109" s="159"/>
      <c r="BI109" s="159"/>
    </row>
    <row r="110" spans="1:61">
      <c r="A110" s="2"/>
      <c r="B110" s="185"/>
      <c r="C110" s="185"/>
      <c r="D110" s="185"/>
      <c r="E110" s="185"/>
      <c r="F110" s="185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61"/>
      <c r="AZ110" s="159"/>
      <c r="BA110" s="159"/>
      <c r="BB110" s="159"/>
      <c r="BC110" s="159"/>
      <c r="BD110" s="159"/>
      <c r="BE110" s="159"/>
      <c r="BF110" s="159"/>
      <c r="BG110" s="159"/>
      <c r="BH110" s="159"/>
      <c r="BI110" s="159"/>
    </row>
    <row r="111" spans="1:61">
      <c r="A111" s="2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9"/>
      <c r="AT111" s="159"/>
      <c r="AU111" s="159"/>
      <c r="AV111" s="159"/>
      <c r="AW111" s="159"/>
      <c r="AX111" s="159"/>
      <c r="AY111" s="161"/>
      <c r="AZ111" s="159"/>
      <c r="BA111" s="159"/>
      <c r="BB111" s="159"/>
      <c r="BC111" s="159"/>
      <c r="BD111" s="159"/>
      <c r="BE111" s="159"/>
      <c r="BF111" s="159"/>
      <c r="BG111" s="159"/>
      <c r="BH111" s="159"/>
      <c r="BI111" s="159"/>
    </row>
    <row r="112" spans="1:61">
      <c r="A112" s="2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59"/>
      <c r="AW112" s="159"/>
      <c r="AX112" s="159"/>
      <c r="AY112" s="161"/>
      <c r="AZ112" s="159"/>
      <c r="BA112" s="159"/>
      <c r="BB112" s="159"/>
      <c r="BC112" s="159"/>
      <c r="BD112" s="159"/>
      <c r="BE112" s="159"/>
      <c r="BF112" s="159"/>
      <c r="BG112" s="159"/>
      <c r="BH112" s="159"/>
      <c r="BI112" s="159"/>
    </row>
    <row r="113" spans="1:61">
      <c r="A113" s="2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59"/>
      <c r="AW113" s="159"/>
      <c r="AX113" s="159"/>
      <c r="AY113" s="161"/>
      <c r="AZ113" s="159"/>
      <c r="BA113" s="159"/>
      <c r="BB113" s="159"/>
      <c r="BC113" s="159"/>
      <c r="BD113" s="159"/>
      <c r="BE113" s="159"/>
      <c r="BF113" s="159"/>
      <c r="BG113" s="159"/>
      <c r="BH113" s="159"/>
      <c r="BI113" s="159"/>
    </row>
    <row r="114" spans="1:61">
      <c r="A114" s="2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9"/>
      <c r="AT114" s="159"/>
      <c r="AU114" s="159"/>
      <c r="AV114" s="159"/>
      <c r="AW114" s="159"/>
      <c r="AX114" s="159"/>
      <c r="AY114" s="161"/>
      <c r="AZ114" s="159"/>
      <c r="BA114" s="159"/>
      <c r="BB114" s="159"/>
      <c r="BC114" s="159"/>
      <c r="BD114" s="159"/>
      <c r="BE114" s="159"/>
      <c r="BF114" s="159"/>
      <c r="BG114" s="159"/>
      <c r="BH114" s="159"/>
      <c r="BI114" s="159"/>
    </row>
    <row r="115" spans="1:61">
      <c r="A115" s="2"/>
      <c r="AY115" s="69"/>
    </row>
    <row r="116" spans="1:61">
      <c r="A116" s="2"/>
      <c r="AY116" s="69"/>
    </row>
    <row r="117" spans="1:61">
      <c r="A117" s="2"/>
      <c r="AY117" s="69"/>
    </row>
    <row r="118" spans="1:61">
      <c r="A118" s="2"/>
      <c r="AY118" s="69"/>
    </row>
    <row r="119" spans="1:61">
      <c r="A119" s="2"/>
      <c r="AY119" s="69"/>
    </row>
    <row r="120" spans="1:61">
      <c r="A120" s="2"/>
      <c r="AY120" s="69"/>
    </row>
    <row r="121" spans="1:61">
      <c r="A121" s="2"/>
      <c r="AY121" s="69"/>
    </row>
    <row r="122" spans="1:61">
      <c r="A122" s="2"/>
      <c r="AY122" s="69"/>
    </row>
    <row r="123" spans="1:61">
      <c r="A123" s="2"/>
      <c r="AY123" s="69"/>
    </row>
    <row r="124" spans="1:61">
      <c r="A124" s="2"/>
      <c r="AY124" s="69"/>
    </row>
    <row r="125" spans="1:61">
      <c r="A125" s="2"/>
      <c r="AY125" s="69"/>
    </row>
    <row r="126" spans="1:61">
      <c r="A126" s="2"/>
      <c r="AY126" s="69"/>
    </row>
    <row r="127" spans="1:61">
      <c r="A127" s="2"/>
      <c r="AY127" s="69"/>
    </row>
    <row r="128" spans="1:61">
      <c r="A128" s="2"/>
      <c r="AY128" s="69"/>
    </row>
    <row r="129" spans="1:51">
      <c r="A129" s="2"/>
      <c r="AY129" s="69"/>
    </row>
    <row r="130" spans="1:51">
      <c r="A130" s="2"/>
      <c r="AY130" s="69"/>
    </row>
    <row r="131" spans="1:51">
      <c r="A131" s="2"/>
      <c r="AY131" s="69"/>
    </row>
    <row r="132" spans="1:51">
      <c r="A132" s="2"/>
      <c r="AY132" s="69"/>
    </row>
    <row r="133" spans="1:51">
      <c r="A133" s="2"/>
      <c r="AY133" s="69"/>
    </row>
    <row r="134" spans="1:51">
      <c r="A134" s="2"/>
      <c r="AY134" s="69"/>
    </row>
    <row r="135" spans="1:51">
      <c r="A135" s="2"/>
      <c r="AY135" s="69"/>
    </row>
    <row r="136" spans="1:51">
      <c r="A136" s="2"/>
      <c r="AY136" s="69"/>
    </row>
    <row r="137" spans="1:51">
      <c r="A137" s="2"/>
      <c r="AY137" s="69"/>
    </row>
    <row r="138" spans="1:51">
      <c r="A138" s="2"/>
      <c r="AY138" s="69"/>
    </row>
    <row r="139" spans="1:51">
      <c r="A139" s="2"/>
      <c r="AY139" s="69"/>
    </row>
    <row r="140" spans="1:51">
      <c r="A140" s="2"/>
      <c r="AY140" s="69"/>
    </row>
    <row r="141" spans="1:51">
      <c r="A141" s="2"/>
      <c r="AY141" s="69"/>
    </row>
    <row r="142" spans="1:51">
      <c r="A142" s="2"/>
      <c r="AY142" s="69"/>
    </row>
    <row r="143" spans="1:51">
      <c r="A143" s="2"/>
      <c r="AY143" s="69"/>
    </row>
    <row r="144" spans="1:51">
      <c r="A144" s="2"/>
      <c r="AY144" s="69"/>
    </row>
    <row r="145" spans="1:51">
      <c r="A145" s="2"/>
      <c r="AY145" s="69"/>
    </row>
    <row r="146" spans="1:51">
      <c r="A146" s="2"/>
      <c r="AY146" s="69"/>
    </row>
    <row r="147" spans="1:51">
      <c r="A147" s="2"/>
      <c r="AY147" s="69"/>
    </row>
    <row r="148" spans="1:51">
      <c r="A148" s="2"/>
      <c r="AY148" s="69"/>
    </row>
    <row r="149" spans="1:51">
      <c r="A149" s="2"/>
      <c r="AY149" s="69"/>
    </row>
    <row r="150" spans="1:51">
      <c r="A150" s="2"/>
      <c r="AY150" s="69"/>
    </row>
    <row r="151" spans="1:51">
      <c r="A151" s="2"/>
      <c r="AY151" s="69"/>
    </row>
    <row r="152" spans="1:51">
      <c r="A152" s="2"/>
      <c r="AY152" s="69"/>
    </row>
    <row r="153" spans="1:51">
      <c r="A153" s="2"/>
      <c r="AY153" s="69"/>
    </row>
    <row r="154" spans="1:51">
      <c r="A154" s="2"/>
      <c r="AY154" s="69"/>
    </row>
    <row r="155" spans="1:51">
      <c r="A155" s="2"/>
      <c r="AY155" s="69"/>
    </row>
    <row r="156" spans="1:51">
      <c r="A156" s="2"/>
      <c r="AY156" s="69"/>
    </row>
    <row r="157" spans="1:51">
      <c r="A157" s="2"/>
      <c r="AY157" s="69"/>
    </row>
    <row r="158" spans="1:51">
      <c r="A158" s="2"/>
      <c r="AY158" s="69"/>
    </row>
    <row r="159" spans="1:51">
      <c r="A159" s="2"/>
      <c r="AY159" s="69"/>
    </row>
    <row r="160" spans="1:51">
      <c r="A160" s="2"/>
      <c r="AY160" s="69"/>
    </row>
    <row r="161" spans="1:51">
      <c r="A161" s="2"/>
      <c r="AY161" s="69"/>
    </row>
    <row r="162" spans="1:51">
      <c r="A162" s="2"/>
      <c r="AY162" s="69"/>
    </row>
    <row r="163" spans="1:51">
      <c r="A163" s="2"/>
      <c r="AY163" s="69"/>
    </row>
    <row r="164" spans="1:51">
      <c r="A164" s="2"/>
      <c r="AY164" s="69"/>
    </row>
    <row r="165" spans="1:51">
      <c r="A165" s="2"/>
      <c r="AY165" s="69"/>
    </row>
    <row r="166" spans="1:51">
      <c r="A166" s="2"/>
      <c r="AY166" s="69"/>
    </row>
    <row r="167" spans="1:51">
      <c r="A167" s="2"/>
      <c r="AY167" s="69"/>
    </row>
    <row r="168" spans="1:51">
      <c r="A168" s="2"/>
      <c r="AY168" s="69"/>
    </row>
    <row r="169" spans="1:51">
      <c r="A169" s="2"/>
      <c r="AY169" s="69"/>
    </row>
    <row r="170" spans="1:51">
      <c r="A170" s="2"/>
      <c r="AY170" s="69"/>
    </row>
    <row r="171" spans="1:51">
      <c r="A171" s="2"/>
      <c r="AY171" s="69"/>
    </row>
    <row r="172" spans="1:51">
      <c r="A172" s="2"/>
      <c r="AY172" s="69"/>
    </row>
    <row r="173" spans="1:51">
      <c r="A173" s="2"/>
      <c r="AY173" s="69"/>
    </row>
    <row r="174" spans="1:51">
      <c r="A174" s="2"/>
      <c r="AY174" s="69"/>
    </row>
    <row r="175" spans="1:51">
      <c r="A175" s="2"/>
      <c r="AY175" s="69"/>
    </row>
    <row r="176" spans="1:51">
      <c r="A176" s="2"/>
      <c r="AY176" s="69"/>
    </row>
    <row r="177" spans="1:51">
      <c r="A177" s="2"/>
      <c r="AY177" s="69"/>
    </row>
    <row r="178" spans="1:51">
      <c r="A178" s="2"/>
      <c r="AY178" s="69"/>
    </row>
    <row r="179" spans="1:51">
      <c r="A179" s="2"/>
      <c r="AY179" s="69"/>
    </row>
    <row r="180" spans="1:51">
      <c r="A180" s="2"/>
      <c r="AY180" s="69"/>
    </row>
    <row r="181" spans="1:51">
      <c r="A181" s="2"/>
      <c r="AY181" s="69"/>
    </row>
    <row r="182" spans="1:51">
      <c r="A182" s="2"/>
      <c r="AY182" s="69"/>
    </row>
    <row r="183" spans="1:51">
      <c r="A183" s="2"/>
      <c r="AY183" s="69"/>
    </row>
    <row r="184" spans="1:51">
      <c r="A184" s="2"/>
      <c r="AY184" s="69"/>
    </row>
    <row r="185" spans="1:51">
      <c r="A185" s="2"/>
      <c r="AY185" s="69"/>
    </row>
    <row r="186" spans="1:51">
      <c r="A186" s="2"/>
      <c r="AY186" s="69"/>
    </row>
    <row r="187" spans="1:51">
      <c r="A187" s="2"/>
      <c r="AY187" s="69"/>
    </row>
    <row r="188" spans="1:51">
      <c r="A188" s="2"/>
      <c r="AY188" s="69"/>
    </row>
    <row r="189" spans="1:51">
      <c r="A189" s="2"/>
      <c r="AY189" s="69"/>
    </row>
    <row r="190" spans="1:51">
      <c r="A190" s="2"/>
      <c r="AY190" s="69"/>
    </row>
    <row r="191" spans="1:51">
      <c r="A191" s="2"/>
      <c r="AY191" s="69"/>
    </row>
    <row r="192" spans="1:51">
      <c r="A192" s="2"/>
      <c r="AY192" s="69"/>
    </row>
    <row r="193" spans="1:51">
      <c r="A193" s="2"/>
      <c r="AY193" s="69"/>
    </row>
    <row r="194" spans="1:51">
      <c r="A194" s="2"/>
      <c r="AY194" s="69"/>
    </row>
    <row r="195" spans="1:51">
      <c r="A195" s="2"/>
      <c r="AY195" s="69"/>
    </row>
    <row r="196" spans="1:51">
      <c r="A196" s="2"/>
      <c r="AY196" s="69"/>
    </row>
    <row r="197" spans="1:51">
      <c r="A197" s="2"/>
      <c r="AY197" s="69"/>
    </row>
    <row r="198" spans="1:51">
      <c r="A198" s="2"/>
      <c r="AY198" s="69"/>
    </row>
    <row r="199" spans="1:51">
      <c r="A199" s="2"/>
      <c r="AY199" s="69"/>
    </row>
    <row r="200" spans="1:51">
      <c r="A200" s="2"/>
      <c r="AY200" s="69"/>
    </row>
    <row r="201" spans="1:51">
      <c r="A201" s="2"/>
      <c r="AY201" s="69"/>
    </row>
    <row r="202" spans="1:51">
      <c r="A202" s="2"/>
      <c r="AY202" s="69"/>
    </row>
    <row r="203" spans="1:51">
      <c r="A203" s="2"/>
      <c r="AY203" s="69"/>
    </row>
    <row r="204" spans="1:51">
      <c r="A204" s="2"/>
      <c r="AY204" s="69"/>
    </row>
    <row r="205" spans="1:51">
      <c r="A205" s="2"/>
      <c r="AY205" s="69"/>
    </row>
    <row r="206" spans="1:51">
      <c r="A206" s="2"/>
      <c r="AY206" s="69"/>
    </row>
    <row r="207" spans="1:51">
      <c r="A207" s="2"/>
      <c r="AY207" s="69"/>
    </row>
    <row r="208" spans="1:51">
      <c r="A208" s="2"/>
      <c r="AY208" s="69"/>
    </row>
    <row r="209" spans="1:51">
      <c r="A209" s="2"/>
      <c r="AY209" s="69"/>
    </row>
    <row r="210" spans="1:51">
      <c r="A210" s="2"/>
      <c r="AY210" s="69"/>
    </row>
    <row r="211" spans="1:51">
      <c r="A211" s="2"/>
      <c r="AY211" s="69"/>
    </row>
    <row r="212" spans="1:51">
      <c r="A212" s="2"/>
      <c r="AY212" s="69"/>
    </row>
    <row r="213" spans="1:51">
      <c r="A213" s="2"/>
      <c r="AY213" s="69"/>
    </row>
    <row r="214" spans="1:51">
      <c r="A214" s="2"/>
      <c r="AY214" s="69"/>
    </row>
    <row r="215" spans="1:51">
      <c r="A215" s="2"/>
      <c r="AY215" s="69"/>
    </row>
    <row r="216" spans="1:51">
      <c r="A216" s="2"/>
      <c r="AY216" s="69"/>
    </row>
    <row r="217" spans="1:51">
      <c r="A217" s="2"/>
      <c r="AY217" s="69"/>
    </row>
    <row r="218" spans="1:51">
      <c r="A218" s="2"/>
      <c r="AY218" s="69"/>
    </row>
    <row r="219" spans="1:51">
      <c r="A219" s="2"/>
      <c r="AY219" s="69"/>
    </row>
    <row r="220" spans="1:51">
      <c r="A220" s="2"/>
      <c r="AY220" s="69"/>
    </row>
    <row r="221" spans="1:51">
      <c r="A221" s="2"/>
      <c r="AY221" s="69"/>
    </row>
    <row r="222" spans="1:51">
      <c r="A222" s="2"/>
      <c r="AY222" s="69"/>
    </row>
    <row r="223" spans="1:51">
      <c r="A223" s="2"/>
      <c r="AY223" s="69"/>
    </row>
    <row r="224" spans="1:51">
      <c r="A224" s="2"/>
      <c r="AY224" s="69"/>
    </row>
    <row r="225" spans="1:51">
      <c r="A225" s="2"/>
      <c r="AY225" s="69"/>
    </row>
    <row r="226" spans="1:51">
      <c r="A226" s="2"/>
      <c r="AY226" s="69"/>
    </row>
    <row r="227" spans="1:51">
      <c r="A227" s="2"/>
      <c r="AY227" s="69"/>
    </row>
    <row r="228" spans="1:51">
      <c r="A228" s="2"/>
      <c r="AY228" s="69"/>
    </row>
    <row r="229" spans="1:51">
      <c r="A229" s="2"/>
      <c r="AY229" s="69"/>
    </row>
    <row r="230" spans="1:51">
      <c r="A230" s="2"/>
      <c r="AY230" s="69"/>
    </row>
    <row r="231" spans="1:51">
      <c r="A231" s="2"/>
      <c r="AY231" s="69"/>
    </row>
    <row r="232" spans="1:51">
      <c r="A232" s="2"/>
      <c r="AY232" s="69"/>
    </row>
    <row r="233" spans="1:51">
      <c r="A233" s="2"/>
      <c r="AY233" s="69"/>
    </row>
    <row r="234" spans="1:51">
      <c r="A234" s="2"/>
      <c r="AY234" s="69"/>
    </row>
    <row r="235" spans="1:51">
      <c r="A235" s="2"/>
      <c r="AY235" s="69"/>
    </row>
    <row r="236" spans="1:51">
      <c r="A236" s="2"/>
      <c r="AY236" s="69"/>
    </row>
    <row r="237" spans="1:51">
      <c r="A237" s="2"/>
      <c r="AY237" s="69"/>
    </row>
    <row r="238" spans="1:51">
      <c r="A238" s="2"/>
      <c r="AY238" s="69"/>
    </row>
    <row r="239" spans="1:51">
      <c r="A239" s="2"/>
      <c r="AY239" s="69"/>
    </row>
    <row r="240" spans="1:51">
      <c r="A240" s="2"/>
      <c r="AY240" s="69"/>
    </row>
    <row r="241" spans="1:51">
      <c r="A241" s="2"/>
      <c r="AY241" s="69"/>
    </row>
    <row r="242" spans="1:51">
      <c r="A242" s="2"/>
      <c r="AY242" s="69"/>
    </row>
    <row r="243" spans="1:51">
      <c r="A243" s="2"/>
      <c r="AY243" s="69"/>
    </row>
    <row r="244" spans="1:51">
      <c r="A244" s="2"/>
      <c r="AY244" s="69"/>
    </row>
    <row r="245" spans="1:51">
      <c r="A245" s="2"/>
      <c r="AY245" s="69"/>
    </row>
    <row r="246" spans="1:51">
      <c r="A246" s="2"/>
      <c r="AY246" s="69"/>
    </row>
    <row r="247" spans="1:51">
      <c r="A247" s="2"/>
      <c r="AY247" s="69"/>
    </row>
    <row r="248" spans="1:51">
      <c r="A248" s="2"/>
      <c r="AY248" s="69"/>
    </row>
    <row r="249" spans="1:51">
      <c r="A249" s="2"/>
      <c r="AY249" s="69"/>
    </row>
    <row r="250" spans="1:51">
      <c r="A250" s="2"/>
      <c r="AY250" s="69"/>
    </row>
    <row r="251" spans="1:51">
      <c r="A251" s="2"/>
      <c r="AY251" s="69"/>
    </row>
    <row r="252" spans="1:51">
      <c r="A252" s="2"/>
      <c r="AY252" s="69"/>
    </row>
    <row r="253" spans="1:51">
      <c r="A253" s="2"/>
      <c r="AY253" s="69"/>
    </row>
    <row r="254" spans="1:51">
      <c r="A254" s="2"/>
      <c r="AY254" s="69"/>
    </row>
    <row r="255" spans="1:51">
      <c r="A255" s="2"/>
      <c r="AY255" s="69"/>
    </row>
    <row r="256" spans="1:51">
      <c r="A256" s="2"/>
      <c r="AY256" s="69"/>
    </row>
    <row r="257" spans="1:51">
      <c r="A257" s="2"/>
      <c r="AY257" s="69"/>
    </row>
    <row r="258" spans="1:51">
      <c r="A258" s="2"/>
      <c r="AY258" s="69"/>
    </row>
    <row r="259" spans="1:51">
      <c r="A259" s="2"/>
      <c r="AY259" s="69"/>
    </row>
    <row r="260" spans="1:51">
      <c r="A260" s="2"/>
      <c r="AY260" s="69"/>
    </row>
    <row r="261" spans="1:51">
      <c r="A261" s="2"/>
      <c r="AY261" s="69"/>
    </row>
    <row r="262" spans="1:51">
      <c r="A262" s="2"/>
      <c r="AY262" s="69"/>
    </row>
    <row r="263" spans="1:51">
      <c r="A263" s="2"/>
      <c r="AY263" s="69"/>
    </row>
    <row r="264" spans="1:51">
      <c r="A264" s="2"/>
      <c r="AY264" s="69"/>
    </row>
    <row r="265" spans="1:51">
      <c r="A265" s="2"/>
      <c r="AY265" s="69"/>
    </row>
    <row r="266" spans="1:51">
      <c r="A266" s="2"/>
      <c r="AY266" s="69"/>
    </row>
    <row r="267" spans="1:51">
      <c r="A267" s="2"/>
      <c r="AY267" s="69"/>
    </row>
    <row r="268" spans="1:51">
      <c r="A268" s="2"/>
      <c r="AY268" s="69"/>
    </row>
    <row r="269" spans="1:51">
      <c r="A269" s="2"/>
      <c r="AY269" s="69"/>
    </row>
    <row r="270" spans="1:51">
      <c r="A270" s="2"/>
      <c r="AY270" s="69"/>
    </row>
    <row r="271" spans="1:51">
      <c r="A271" s="2"/>
      <c r="AY271" s="69"/>
    </row>
    <row r="272" spans="1:51">
      <c r="A272" s="2"/>
      <c r="AY272" s="69"/>
    </row>
    <row r="273" spans="1:51">
      <c r="A273" s="2"/>
      <c r="AY273" s="69"/>
    </row>
    <row r="274" spans="1:51">
      <c r="A274" s="2"/>
      <c r="AY274" s="69"/>
    </row>
    <row r="275" spans="1:51">
      <c r="A275" s="2"/>
      <c r="AY275" s="69"/>
    </row>
    <row r="276" spans="1:51">
      <c r="A276" s="2"/>
      <c r="AY276" s="69"/>
    </row>
    <row r="277" spans="1:51">
      <c r="A277" s="2"/>
      <c r="AY277" s="69"/>
    </row>
    <row r="278" spans="1:51">
      <c r="A278" s="2"/>
      <c r="AY278" s="69"/>
    </row>
    <row r="279" spans="1:51">
      <c r="A279" s="2"/>
      <c r="AY279" s="69"/>
    </row>
    <row r="280" spans="1:51">
      <c r="A280" s="2"/>
      <c r="AY280" s="69"/>
    </row>
    <row r="281" spans="1:51">
      <c r="A281" s="2"/>
      <c r="AY281" s="69"/>
    </row>
    <row r="282" spans="1:51">
      <c r="A282" s="2"/>
      <c r="AY282" s="69"/>
    </row>
    <row r="283" spans="1:51">
      <c r="A283" s="2"/>
      <c r="AY283" s="69"/>
    </row>
    <row r="284" spans="1:51">
      <c r="A284" s="2"/>
      <c r="AY284" s="69"/>
    </row>
    <row r="285" spans="1:51">
      <c r="A285" s="2"/>
      <c r="AY285" s="69"/>
    </row>
    <row r="286" spans="1:51">
      <c r="A286" s="2"/>
      <c r="AY286" s="69"/>
    </row>
    <row r="287" spans="1:51">
      <c r="A287" s="2"/>
      <c r="AY287" s="69"/>
    </row>
    <row r="288" spans="1:51">
      <c r="A288" s="2"/>
      <c r="AY288" s="69"/>
    </row>
    <row r="289" spans="1:51">
      <c r="A289" s="2"/>
      <c r="AY289" s="69"/>
    </row>
    <row r="290" spans="1:51">
      <c r="A290" s="2"/>
      <c r="AY290" s="69"/>
    </row>
    <row r="291" spans="1:51">
      <c r="A291" s="2"/>
      <c r="AY291" s="69"/>
    </row>
    <row r="292" spans="1:51">
      <c r="A292" s="2"/>
      <c r="AY292" s="69"/>
    </row>
    <row r="293" spans="1:51">
      <c r="A293" s="2"/>
      <c r="AY293" s="69"/>
    </row>
    <row r="294" spans="1:51">
      <c r="A294" s="2"/>
      <c r="AY294" s="69"/>
    </row>
    <row r="295" spans="1:51">
      <c r="A295" s="2"/>
      <c r="AY295" s="69"/>
    </row>
    <row r="296" spans="1:51">
      <c r="A296" s="2"/>
      <c r="AY296" s="69"/>
    </row>
    <row r="297" spans="1:51">
      <c r="A297" s="2"/>
      <c r="AY297" s="69"/>
    </row>
    <row r="298" spans="1:51">
      <c r="A298" s="2"/>
      <c r="AY298" s="69"/>
    </row>
    <row r="299" spans="1:51">
      <c r="A299" s="2"/>
      <c r="AY299" s="69"/>
    </row>
    <row r="300" spans="1:51">
      <c r="A300" s="2"/>
      <c r="AY300" s="69"/>
    </row>
    <row r="301" spans="1:51">
      <c r="A301" s="2"/>
      <c r="AY301" s="69"/>
    </row>
    <row r="302" spans="1:51">
      <c r="A302" s="2"/>
      <c r="AY302" s="69"/>
    </row>
    <row r="303" spans="1:51">
      <c r="A303" s="2"/>
      <c r="AY303" s="69"/>
    </row>
    <row r="304" spans="1:51">
      <c r="A304" s="2"/>
      <c r="AY304" s="69"/>
    </row>
    <row r="305" spans="1:51">
      <c r="A305" s="2"/>
      <c r="AY305" s="69"/>
    </row>
    <row r="306" spans="1:51">
      <c r="A306" s="2"/>
      <c r="AY306" s="69"/>
    </row>
    <row r="307" spans="1:51">
      <c r="A307" s="2"/>
      <c r="AY307" s="69"/>
    </row>
    <row r="308" spans="1:51">
      <c r="A308" s="2"/>
      <c r="AY308" s="69"/>
    </row>
    <row r="309" spans="1:51">
      <c r="A309" s="2"/>
      <c r="AY309" s="69"/>
    </row>
    <row r="310" spans="1:51">
      <c r="A310" s="2"/>
      <c r="AY310" s="69"/>
    </row>
    <row r="311" spans="1:51">
      <c r="A311" s="2"/>
      <c r="AY311" s="69"/>
    </row>
    <row r="312" spans="1:51">
      <c r="A312" s="2"/>
      <c r="AY312" s="69"/>
    </row>
    <row r="313" spans="1:51">
      <c r="A313" s="2"/>
      <c r="AY313" s="69"/>
    </row>
    <row r="314" spans="1:51">
      <c r="A314" s="2"/>
      <c r="AY314" s="69"/>
    </row>
    <row r="315" spans="1:51">
      <c r="A315" s="2"/>
      <c r="AY315" s="69"/>
    </row>
    <row r="316" spans="1:51">
      <c r="A316" s="2"/>
      <c r="AY316" s="69"/>
    </row>
    <row r="317" spans="1:51">
      <c r="A317" s="2"/>
      <c r="AY317" s="69"/>
    </row>
    <row r="318" spans="1:51">
      <c r="A318" s="2"/>
      <c r="AY318" s="69"/>
    </row>
    <row r="319" spans="1:51">
      <c r="A319" s="2"/>
      <c r="AY319" s="69"/>
    </row>
    <row r="320" spans="1:51">
      <c r="A320" s="2"/>
      <c r="AY320" s="69"/>
    </row>
    <row r="321" spans="1:51">
      <c r="A321" s="2"/>
      <c r="AY321" s="69"/>
    </row>
    <row r="322" spans="1:51">
      <c r="A322" s="2"/>
      <c r="AY322" s="69"/>
    </row>
    <row r="323" spans="1:51">
      <c r="A323" s="2"/>
      <c r="AY323" s="69"/>
    </row>
    <row r="324" spans="1:51">
      <c r="A324" s="2"/>
      <c r="AY324" s="69"/>
    </row>
    <row r="325" spans="1:51">
      <c r="A325" s="2"/>
      <c r="AY325" s="69"/>
    </row>
    <row r="326" spans="1:51">
      <c r="A326" s="2"/>
      <c r="AY326" s="69"/>
    </row>
    <row r="327" spans="1:51">
      <c r="A327" s="2"/>
      <c r="AY327" s="69"/>
    </row>
    <row r="328" spans="1:51">
      <c r="A328" s="2"/>
      <c r="AY328" s="69"/>
    </row>
    <row r="329" spans="1:51">
      <c r="A329" s="2"/>
      <c r="AY329" s="69"/>
    </row>
    <row r="330" spans="1:51">
      <c r="A330" s="2"/>
      <c r="AY330" s="69"/>
    </row>
    <row r="331" spans="1:51">
      <c r="A331" s="2"/>
      <c r="AY331" s="69"/>
    </row>
    <row r="332" spans="1:51">
      <c r="A332" s="2"/>
      <c r="AY332" s="69"/>
    </row>
    <row r="333" spans="1:51">
      <c r="A333" s="2"/>
      <c r="AY333" s="69"/>
    </row>
    <row r="334" spans="1:51">
      <c r="A334" s="2"/>
      <c r="AY334" s="69"/>
    </row>
    <row r="335" spans="1:51">
      <c r="A335" s="2"/>
      <c r="AY335" s="69"/>
    </row>
    <row r="336" spans="1:51">
      <c r="A336" s="2"/>
      <c r="AY336" s="69"/>
    </row>
    <row r="337" spans="1:51">
      <c r="A337" s="2"/>
      <c r="AY337" s="69"/>
    </row>
    <row r="338" spans="1:51">
      <c r="A338" s="2"/>
      <c r="AY338" s="69"/>
    </row>
    <row r="339" spans="1:51">
      <c r="A339" s="2"/>
      <c r="AY339" s="69"/>
    </row>
    <row r="340" spans="1:51">
      <c r="A340" s="2"/>
      <c r="AY340" s="69"/>
    </row>
    <row r="341" spans="1:51">
      <c r="A341" s="2"/>
      <c r="AY341" s="69"/>
    </row>
    <row r="342" spans="1:51">
      <c r="A342" s="2"/>
      <c r="AY342" s="69"/>
    </row>
    <row r="343" spans="1:51">
      <c r="A343" s="2"/>
      <c r="AY343" s="69"/>
    </row>
    <row r="344" spans="1:51">
      <c r="A344" s="2"/>
      <c r="AY344" s="69"/>
    </row>
    <row r="345" spans="1:51">
      <c r="A345" s="2"/>
      <c r="AY345" s="69"/>
    </row>
    <row r="346" spans="1:51">
      <c r="A346" s="2"/>
      <c r="AY346" s="69"/>
    </row>
    <row r="347" spans="1:51">
      <c r="A347" s="2"/>
      <c r="AY347" s="69"/>
    </row>
    <row r="348" spans="1:51">
      <c r="A348" s="2"/>
      <c r="AY348" s="69"/>
    </row>
    <row r="349" spans="1:51">
      <c r="A349" s="2"/>
      <c r="AY349" s="69"/>
    </row>
    <row r="350" spans="1:51">
      <c r="A350" s="2"/>
      <c r="AY350" s="69"/>
    </row>
    <row r="351" spans="1:51">
      <c r="A351" s="2"/>
      <c r="AY351" s="69"/>
    </row>
    <row r="352" spans="1:51">
      <c r="A352" s="2"/>
      <c r="AY352" s="69"/>
    </row>
    <row r="353" spans="1:51">
      <c r="A353" s="2"/>
      <c r="AY353" s="69"/>
    </row>
    <row r="354" spans="1:51">
      <c r="A354" s="2"/>
      <c r="AY354" s="69"/>
    </row>
    <row r="355" spans="1:51">
      <c r="A355" s="2"/>
      <c r="AY355" s="69"/>
    </row>
    <row r="356" spans="1:51">
      <c r="A356" s="2"/>
      <c r="AY356" s="69"/>
    </row>
    <row r="357" spans="1:51">
      <c r="A357" s="2"/>
      <c r="AY357" s="69"/>
    </row>
    <row r="358" spans="1:51">
      <c r="A358" s="2"/>
      <c r="AY358" s="69"/>
    </row>
    <row r="359" spans="1:51">
      <c r="A359" s="2"/>
      <c r="AY359" s="69"/>
    </row>
    <row r="360" spans="1:51">
      <c r="A360" s="2"/>
      <c r="AY360" s="69"/>
    </row>
    <row r="361" spans="1:51">
      <c r="A361" s="2"/>
      <c r="AY361" s="69"/>
    </row>
    <row r="362" spans="1:51">
      <c r="A362" s="2"/>
      <c r="AY362" s="69"/>
    </row>
    <row r="363" spans="1:51">
      <c r="A363" s="2"/>
      <c r="AY363" s="69"/>
    </row>
    <row r="364" spans="1:51">
      <c r="A364" s="2"/>
      <c r="AY364" s="69"/>
    </row>
    <row r="365" spans="1:51">
      <c r="A365" s="2"/>
      <c r="AY365" s="69"/>
    </row>
    <row r="366" spans="1:51">
      <c r="A366" s="2"/>
      <c r="AY366" s="69"/>
    </row>
    <row r="367" spans="1:51">
      <c r="A367" s="2"/>
      <c r="AY367" s="69"/>
    </row>
    <row r="368" spans="1:51">
      <c r="A368" s="2"/>
      <c r="AY368" s="69"/>
    </row>
    <row r="369" spans="1:51">
      <c r="A369" s="2"/>
      <c r="AY369" s="69"/>
    </row>
    <row r="370" spans="1:51">
      <c r="A370" s="2"/>
      <c r="AY370" s="69"/>
    </row>
    <row r="371" spans="1:51">
      <c r="A371" s="2"/>
      <c r="AY371" s="69"/>
    </row>
    <row r="372" spans="1:51">
      <c r="A372" s="2"/>
      <c r="AY372" s="69"/>
    </row>
    <row r="373" spans="1:51">
      <c r="A373" s="2"/>
      <c r="AY373" s="69"/>
    </row>
    <row r="374" spans="1:51">
      <c r="A374" s="2"/>
      <c r="AY374" s="69"/>
    </row>
    <row r="375" spans="1:51">
      <c r="A375" s="2"/>
      <c r="AY375" s="69"/>
    </row>
    <row r="376" spans="1:51">
      <c r="A376" s="2"/>
      <c r="AY376" s="69"/>
    </row>
    <row r="377" spans="1:51">
      <c r="A377" s="2"/>
      <c r="AY377" s="69"/>
    </row>
    <row r="378" spans="1:51">
      <c r="A378" s="2"/>
      <c r="AY378" s="69"/>
    </row>
    <row r="379" spans="1:51">
      <c r="A379" s="2"/>
      <c r="AY379" s="69"/>
    </row>
    <row r="380" spans="1:51">
      <c r="A380" s="2"/>
      <c r="AY380" s="69"/>
    </row>
    <row r="381" spans="1:51">
      <c r="A381" s="2"/>
      <c r="AY381" s="69"/>
    </row>
    <row r="382" spans="1:51">
      <c r="A382" s="2"/>
      <c r="AY382" s="69"/>
    </row>
    <row r="383" spans="1:51">
      <c r="A383" s="2"/>
      <c r="AY383" s="69"/>
    </row>
    <row r="384" spans="1:51">
      <c r="A384" s="2"/>
      <c r="AY384" s="69"/>
    </row>
    <row r="385" spans="1:51">
      <c r="A385" s="2"/>
      <c r="AY385" s="69"/>
    </row>
    <row r="386" spans="1:51">
      <c r="A386" s="2"/>
      <c r="AY386" s="69"/>
    </row>
    <row r="387" spans="1:51">
      <c r="A387" s="2"/>
      <c r="AY387" s="69"/>
    </row>
    <row r="388" spans="1:51">
      <c r="A388" s="2"/>
      <c r="AY388" s="69"/>
    </row>
    <row r="389" spans="1:51">
      <c r="A389" s="2"/>
      <c r="AY389" s="69"/>
    </row>
    <row r="390" spans="1:51">
      <c r="A390" s="2"/>
      <c r="AY390" s="69"/>
    </row>
    <row r="391" spans="1:51">
      <c r="A391" s="2"/>
      <c r="AY391" s="69"/>
    </row>
    <row r="392" spans="1:51">
      <c r="A392" s="2"/>
      <c r="AY392" s="69"/>
    </row>
    <row r="393" spans="1:51">
      <c r="A393" s="2"/>
      <c r="AY393" s="69"/>
    </row>
    <row r="394" spans="1:51">
      <c r="A394" s="2"/>
      <c r="AY394" s="69"/>
    </row>
    <row r="395" spans="1:51">
      <c r="A395" s="2"/>
      <c r="AY395" s="69"/>
    </row>
    <row r="396" spans="1:51">
      <c r="A396" s="2"/>
      <c r="AY396" s="69"/>
    </row>
    <row r="397" spans="1:51">
      <c r="A397" s="2"/>
      <c r="AY397" s="69"/>
    </row>
    <row r="398" spans="1:51">
      <c r="A398" s="2"/>
      <c r="AY398" s="69"/>
    </row>
    <row r="399" spans="1:51">
      <c r="A399" s="2"/>
      <c r="AY399" s="69"/>
    </row>
    <row r="400" spans="1:51">
      <c r="A400" s="2"/>
      <c r="AY400" s="69"/>
    </row>
    <row r="401" spans="1:51">
      <c r="A401" s="2"/>
      <c r="AY401" s="69"/>
    </row>
    <row r="402" spans="1:51">
      <c r="A402" s="2"/>
      <c r="AY402" s="69"/>
    </row>
    <row r="403" spans="1:51">
      <c r="A403" s="2"/>
      <c r="AY403" s="69"/>
    </row>
    <row r="404" spans="1:51">
      <c r="A404" s="2"/>
      <c r="AY404" s="69"/>
    </row>
    <row r="405" spans="1:51">
      <c r="A405" s="2"/>
      <c r="AY405" s="69"/>
    </row>
    <row r="406" spans="1:51">
      <c r="A406" s="2"/>
      <c r="AY406" s="69"/>
    </row>
    <row r="407" spans="1:51">
      <c r="A407" s="2"/>
      <c r="AY407" s="69"/>
    </row>
    <row r="408" spans="1:51">
      <c r="A408" s="2"/>
      <c r="AY408" s="69"/>
    </row>
    <row r="409" spans="1:51">
      <c r="A409" s="2"/>
      <c r="AY409" s="69"/>
    </row>
    <row r="410" spans="1:51">
      <c r="A410" s="2"/>
      <c r="AY410" s="69"/>
    </row>
    <row r="411" spans="1:51">
      <c r="A411" s="2"/>
      <c r="AY411" s="69"/>
    </row>
    <row r="412" spans="1:51">
      <c r="A412" s="2"/>
      <c r="AY412" s="69"/>
    </row>
    <row r="413" spans="1:51">
      <c r="A413" s="2"/>
      <c r="AY413" s="69"/>
    </row>
    <row r="414" spans="1:51">
      <c r="A414" s="2"/>
      <c r="AY414" s="69"/>
    </row>
    <row r="415" spans="1:51">
      <c r="A415" s="2"/>
      <c r="AY415" s="69"/>
    </row>
    <row r="416" spans="1:51">
      <c r="A416" s="2"/>
      <c r="AY416" s="69"/>
    </row>
    <row r="417" spans="1:51">
      <c r="A417" s="2"/>
      <c r="AY417" s="69"/>
    </row>
    <row r="418" spans="1:51">
      <c r="A418" s="2"/>
      <c r="AY418" s="69"/>
    </row>
    <row r="419" spans="1:51">
      <c r="A419" s="2"/>
      <c r="AY419" s="69"/>
    </row>
    <row r="420" spans="1:51">
      <c r="A420" s="2"/>
      <c r="AY420" s="69"/>
    </row>
    <row r="421" spans="1:51">
      <c r="A421" s="2"/>
      <c r="AY421" s="69"/>
    </row>
    <row r="422" spans="1:51">
      <c r="A422" s="2"/>
      <c r="AY422" s="69"/>
    </row>
    <row r="423" spans="1:51">
      <c r="A423" s="2"/>
      <c r="AY423" s="69"/>
    </row>
    <row r="424" spans="1:51">
      <c r="A424" s="2"/>
      <c r="AY424" s="69"/>
    </row>
    <row r="425" spans="1:51">
      <c r="A425" s="2"/>
      <c r="AY425" s="69"/>
    </row>
    <row r="426" spans="1:51">
      <c r="A426" s="2"/>
      <c r="AY426" s="69"/>
    </row>
    <row r="427" spans="1:51">
      <c r="A427" s="2"/>
      <c r="AY427" s="69"/>
    </row>
    <row r="428" spans="1:51">
      <c r="A428" s="2"/>
      <c r="AY428" s="69"/>
    </row>
    <row r="429" spans="1:51">
      <c r="A429" s="2"/>
      <c r="AY429" s="69"/>
    </row>
    <row r="430" spans="1:51">
      <c r="A430" s="2"/>
      <c r="AY430" s="69"/>
    </row>
    <row r="431" spans="1:51">
      <c r="A431" s="2"/>
      <c r="AY431" s="69"/>
    </row>
    <row r="432" spans="1:51">
      <c r="A432" s="2"/>
      <c r="AY432" s="69"/>
    </row>
    <row r="433" spans="1:51">
      <c r="A433" s="2"/>
      <c r="AY433" s="69"/>
    </row>
    <row r="434" spans="1:51">
      <c r="A434" s="2"/>
      <c r="AY434" s="69"/>
    </row>
    <row r="435" spans="1:51">
      <c r="A435" s="2"/>
      <c r="AY435" s="69"/>
    </row>
    <row r="436" spans="1:51">
      <c r="A436" s="2"/>
      <c r="AY436" s="69"/>
    </row>
    <row r="437" spans="1:51">
      <c r="A437" s="2"/>
      <c r="AY437" s="69"/>
    </row>
    <row r="438" spans="1:51">
      <c r="A438" s="2"/>
      <c r="AY438" s="69"/>
    </row>
    <row r="439" spans="1:51">
      <c r="A439" s="2"/>
      <c r="AY439" s="69"/>
    </row>
    <row r="440" spans="1:51">
      <c r="A440" s="2"/>
      <c r="AY440" s="69"/>
    </row>
    <row r="441" spans="1:51">
      <c r="A441" s="2"/>
      <c r="AY441" s="69"/>
    </row>
    <row r="442" spans="1:51">
      <c r="A442" s="2"/>
      <c r="AY442" s="69"/>
    </row>
    <row r="443" spans="1:51">
      <c r="A443" s="2"/>
      <c r="AY443" s="69"/>
    </row>
    <row r="444" spans="1:51">
      <c r="A444" s="2"/>
      <c r="AY444" s="69"/>
    </row>
    <row r="445" spans="1:51">
      <c r="A445" s="2"/>
      <c r="AY445" s="69"/>
    </row>
    <row r="446" spans="1:51">
      <c r="A446" s="2"/>
      <c r="AY446" s="69"/>
    </row>
    <row r="447" spans="1:51">
      <c r="A447" s="2"/>
      <c r="AY447" s="69"/>
    </row>
    <row r="448" spans="1:51">
      <c r="A448" s="2"/>
      <c r="AY448" s="69"/>
    </row>
    <row r="449" spans="1:51">
      <c r="A449" s="2"/>
      <c r="AY449" s="69"/>
    </row>
    <row r="450" spans="1:51">
      <c r="A450" s="2"/>
      <c r="AY450" s="69"/>
    </row>
    <row r="451" spans="1:51">
      <c r="A451" s="2"/>
      <c r="AY451" s="69"/>
    </row>
    <row r="452" spans="1:51">
      <c r="A452" s="2"/>
      <c r="AY452" s="69"/>
    </row>
    <row r="453" spans="1:51">
      <c r="A453" s="2"/>
      <c r="AY453" s="69"/>
    </row>
    <row r="454" spans="1:51">
      <c r="A454" s="2"/>
      <c r="AY454" s="69"/>
    </row>
    <row r="455" spans="1:51">
      <c r="A455" s="2"/>
      <c r="AY455" s="69"/>
    </row>
    <row r="456" spans="1:51">
      <c r="A456" s="2"/>
      <c r="AY456" s="69"/>
    </row>
    <row r="457" spans="1:51">
      <c r="A457" s="2"/>
      <c r="AY457" s="69"/>
    </row>
    <row r="458" spans="1:51">
      <c r="A458" s="2"/>
      <c r="AY458" s="69"/>
    </row>
    <row r="459" spans="1:51">
      <c r="A459" s="2"/>
      <c r="AY459" s="69"/>
    </row>
    <row r="460" spans="1:51">
      <c r="A460" s="2"/>
      <c r="AY460" s="69"/>
    </row>
    <row r="461" spans="1:51">
      <c r="A461" s="2"/>
      <c r="AY461" s="69"/>
    </row>
    <row r="462" spans="1:51">
      <c r="A462" s="2"/>
      <c r="AY462" s="69"/>
    </row>
    <row r="463" spans="1:51">
      <c r="A463" s="2"/>
      <c r="AY463" s="69"/>
    </row>
    <row r="464" spans="1:51">
      <c r="A464" s="2"/>
      <c r="AY464" s="69"/>
    </row>
    <row r="465" spans="1:51">
      <c r="A465" s="2"/>
      <c r="AY465" s="69"/>
    </row>
    <row r="466" spans="1:51">
      <c r="A466" s="2"/>
      <c r="AY466" s="69"/>
    </row>
    <row r="467" spans="1:51">
      <c r="A467" s="2"/>
      <c r="AY467" s="69"/>
    </row>
    <row r="468" spans="1:51">
      <c r="A468" s="2"/>
      <c r="AY468" s="69"/>
    </row>
    <row r="469" spans="1:51">
      <c r="A469" s="2"/>
      <c r="AY469" s="69"/>
    </row>
    <row r="470" spans="1:51">
      <c r="A470" s="2"/>
      <c r="AY470" s="69"/>
    </row>
    <row r="471" spans="1:51">
      <c r="A471" s="2"/>
      <c r="AY471" s="69"/>
    </row>
    <row r="472" spans="1:51">
      <c r="A472" s="2"/>
      <c r="AY472" s="69"/>
    </row>
    <row r="473" spans="1:51">
      <c r="A473" s="2"/>
      <c r="AY473" s="69"/>
    </row>
    <row r="474" spans="1:51">
      <c r="A474" s="2"/>
      <c r="AY474" s="69"/>
    </row>
    <row r="475" spans="1:51">
      <c r="A475" s="2"/>
      <c r="AY475" s="69"/>
    </row>
    <row r="476" spans="1:51">
      <c r="A476" s="2"/>
      <c r="AY476" s="69"/>
    </row>
    <row r="477" spans="1:51">
      <c r="A477" s="2"/>
      <c r="AY477" s="69"/>
    </row>
    <row r="478" spans="1:51">
      <c r="A478" s="2"/>
      <c r="AY478" s="69"/>
    </row>
    <row r="479" spans="1:51">
      <c r="A479" s="2"/>
      <c r="AY479" s="69"/>
    </row>
    <row r="480" spans="1:51">
      <c r="A480" s="2"/>
      <c r="AY480" s="69"/>
    </row>
    <row r="481" spans="1:51">
      <c r="A481" s="2"/>
      <c r="AY481" s="69"/>
    </row>
    <row r="482" spans="1:51">
      <c r="A482" s="2"/>
      <c r="AY482" s="69"/>
    </row>
    <row r="483" spans="1:51">
      <c r="A483" s="2"/>
      <c r="AY483" s="69"/>
    </row>
    <row r="484" spans="1:51">
      <c r="A484" s="2"/>
      <c r="AY484" s="69"/>
    </row>
    <row r="485" spans="1:51">
      <c r="A485" s="2"/>
      <c r="AY485" s="69"/>
    </row>
    <row r="486" spans="1:51">
      <c r="A486" s="2"/>
      <c r="AY486" s="69"/>
    </row>
    <row r="487" spans="1:51">
      <c r="A487" s="2"/>
      <c r="AY487" s="69"/>
    </row>
    <row r="488" spans="1:51">
      <c r="A488" s="2"/>
      <c r="AY488" s="69"/>
    </row>
    <row r="489" spans="1:51">
      <c r="A489" s="2"/>
      <c r="AY489" s="69"/>
    </row>
    <row r="490" spans="1:51">
      <c r="A490" s="2"/>
      <c r="AY490" s="69"/>
    </row>
    <row r="491" spans="1:51">
      <c r="A491" s="2"/>
      <c r="AY491" s="69"/>
    </row>
    <row r="492" spans="1:51">
      <c r="A492" s="2"/>
      <c r="AY492" s="69"/>
    </row>
    <row r="493" spans="1:51">
      <c r="A493" s="2"/>
      <c r="AY493" s="69"/>
    </row>
    <row r="494" spans="1:51">
      <c r="A494" s="2"/>
      <c r="AY494" s="69"/>
    </row>
    <row r="495" spans="1:51">
      <c r="A495" s="2"/>
      <c r="AY495" s="69"/>
    </row>
    <row r="496" spans="1:51">
      <c r="A496" s="2"/>
      <c r="AY496" s="69"/>
    </row>
    <row r="497" spans="1:51">
      <c r="A497" s="2"/>
      <c r="AY497" s="69"/>
    </row>
    <row r="498" spans="1:51">
      <c r="A498" s="2"/>
      <c r="AY498" s="69"/>
    </row>
    <row r="499" spans="1:51">
      <c r="A499" s="2"/>
      <c r="AY499" s="69"/>
    </row>
    <row r="500" spans="1:51">
      <c r="A500" s="2"/>
      <c r="AY500" s="69"/>
    </row>
    <row r="501" spans="1:51">
      <c r="A501" s="2"/>
      <c r="AY501" s="69"/>
    </row>
    <row r="502" spans="1:51">
      <c r="A502" s="2"/>
      <c r="AY502" s="69"/>
    </row>
    <row r="503" spans="1:51">
      <c r="A503" s="2"/>
      <c r="AY503" s="69"/>
    </row>
    <row r="504" spans="1:51">
      <c r="A504" s="2"/>
      <c r="AY504" s="69"/>
    </row>
    <row r="505" spans="1:51">
      <c r="A505" s="2"/>
      <c r="AY505" s="69"/>
    </row>
    <row r="506" spans="1:51">
      <c r="A506" s="2"/>
      <c r="AY506" s="69"/>
    </row>
    <row r="507" spans="1:51">
      <c r="A507" s="2"/>
      <c r="AY507" s="69"/>
    </row>
    <row r="508" spans="1:51">
      <c r="A508" s="2"/>
      <c r="AY508" s="69"/>
    </row>
    <row r="509" spans="1:51">
      <c r="A509" s="2"/>
      <c r="AY509" s="69"/>
    </row>
    <row r="510" spans="1:51">
      <c r="A510" s="2"/>
      <c r="AY510" s="69"/>
    </row>
    <row r="511" spans="1:51">
      <c r="A511" s="2"/>
      <c r="AY511" s="69"/>
    </row>
    <row r="512" spans="1:51">
      <c r="A512" s="2"/>
      <c r="AY512" s="69"/>
    </row>
    <row r="513" spans="1:51">
      <c r="A513" s="2"/>
      <c r="AY513" s="69"/>
    </row>
    <row r="514" spans="1:51">
      <c r="A514" s="2"/>
      <c r="AY514" s="69"/>
    </row>
    <row r="515" spans="1:51">
      <c r="A515" s="2"/>
      <c r="AY515" s="69"/>
    </row>
    <row r="516" spans="1:51">
      <c r="A516" s="2"/>
      <c r="AY516" s="69"/>
    </row>
    <row r="517" spans="1:51">
      <c r="A517" s="2"/>
      <c r="AY517" s="69"/>
    </row>
    <row r="518" spans="1:51">
      <c r="A518" s="2"/>
      <c r="AY518" s="69"/>
    </row>
    <row r="519" spans="1:51">
      <c r="A519" s="2"/>
      <c r="AY519" s="69"/>
    </row>
    <row r="520" spans="1:51">
      <c r="A520" s="2"/>
      <c r="AY520" s="69"/>
    </row>
    <row r="521" spans="1:51">
      <c r="A521" s="2"/>
      <c r="AY521" s="69"/>
    </row>
    <row r="522" spans="1:51">
      <c r="A522" s="2"/>
      <c r="AY522" s="69"/>
    </row>
    <row r="523" spans="1:51">
      <c r="A523" s="2"/>
      <c r="AY523" s="69"/>
    </row>
    <row r="524" spans="1:51">
      <c r="A524" s="2"/>
      <c r="AY524" s="69"/>
    </row>
    <row r="525" spans="1:51">
      <c r="A525" s="2"/>
      <c r="AY525" s="69"/>
    </row>
    <row r="526" spans="1:51">
      <c r="A526" s="2"/>
      <c r="AY526" s="69"/>
    </row>
    <row r="527" spans="1:51">
      <c r="A527" s="2"/>
      <c r="AY527" s="69"/>
    </row>
    <row r="528" spans="1:51">
      <c r="A528" s="2"/>
      <c r="AY528" s="69"/>
    </row>
    <row r="529" spans="1:51">
      <c r="A529" s="2"/>
      <c r="AY529" s="69"/>
    </row>
    <row r="530" spans="1:51">
      <c r="A530" s="2"/>
      <c r="AY530" s="69"/>
    </row>
    <row r="531" spans="1:51">
      <c r="A531" s="2"/>
      <c r="AY531" s="69"/>
    </row>
    <row r="532" spans="1:51">
      <c r="A532" s="2"/>
      <c r="AY532" s="69"/>
    </row>
    <row r="533" spans="1:51">
      <c r="A533" s="2"/>
      <c r="AY533" s="69"/>
    </row>
    <row r="534" spans="1:51">
      <c r="A534" s="2"/>
      <c r="AY534" s="69"/>
    </row>
    <row r="535" spans="1:51">
      <c r="A535" s="2"/>
      <c r="AY535" s="69"/>
    </row>
    <row r="536" spans="1:51">
      <c r="A536" s="2"/>
      <c r="AY536" s="69"/>
    </row>
    <row r="537" spans="1:51">
      <c r="A537" s="2"/>
      <c r="AY537" s="69"/>
    </row>
    <row r="538" spans="1:51">
      <c r="A538" s="2"/>
      <c r="AY538" s="69"/>
    </row>
    <row r="539" spans="1:51">
      <c r="A539" s="2"/>
      <c r="AY539" s="69"/>
    </row>
    <row r="540" spans="1:51">
      <c r="A540" s="2"/>
      <c r="AY540" s="69"/>
    </row>
    <row r="541" spans="1:51">
      <c r="A541" s="2"/>
      <c r="AY541" s="69"/>
    </row>
    <row r="542" spans="1:51">
      <c r="A542" s="2"/>
      <c r="AY542" s="69"/>
    </row>
    <row r="543" spans="1:51">
      <c r="A543" s="2"/>
      <c r="AY543" s="69"/>
    </row>
    <row r="544" spans="1:51">
      <c r="A544" s="2"/>
      <c r="AY544" s="69"/>
    </row>
    <row r="545" spans="1:51">
      <c r="A545" s="2"/>
      <c r="AY545" s="69"/>
    </row>
    <row r="546" spans="1:51">
      <c r="A546" s="2"/>
      <c r="AY546" s="69"/>
    </row>
    <row r="547" spans="1:51">
      <c r="A547" s="2"/>
      <c r="AY547" s="69"/>
    </row>
    <row r="548" spans="1:51">
      <c r="A548" s="2"/>
      <c r="AY548" s="69"/>
    </row>
    <row r="549" spans="1:51">
      <c r="A549" s="2"/>
      <c r="AY549" s="69"/>
    </row>
    <row r="550" spans="1:51">
      <c r="A550" s="2"/>
      <c r="AY550" s="69"/>
    </row>
    <row r="551" spans="1:51">
      <c r="A551" s="2"/>
      <c r="AY551" s="69"/>
    </row>
    <row r="552" spans="1:51">
      <c r="A552" s="2"/>
      <c r="AY552" s="69"/>
    </row>
    <row r="553" spans="1:51">
      <c r="A553" s="2"/>
      <c r="AY553" s="69"/>
    </row>
    <row r="554" spans="1:51">
      <c r="A554" s="2"/>
      <c r="AY554" s="69"/>
    </row>
    <row r="555" spans="1:51">
      <c r="A555" s="2"/>
      <c r="AY555" s="69"/>
    </row>
    <row r="556" spans="1:51">
      <c r="A556" s="2"/>
      <c r="AY556" s="69"/>
    </row>
    <row r="557" spans="1:51">
      <c r="A557" s="2"/>
      <c r="AY557" s="69"/>
    </row>
    <row r="558" spans="1:51">
      <c r="A558" s="2"/>
      <c r="AY558" s="69"/>
    </row>
    <row r="559" spans="1:51">
      <c r="A559" s="2"/>
      <c r="AY559" s="69"/>
    </row>
    <row r="560" spans="1:51">
      <c r="A560" s="2"/>
      <c r="AY560" s="69"/>
    </row>
    <row r="561" spans="1:51">
      <c r="A561" s="2"/>
      <c r="AY561" s="69"/>
    </row>
    <row r="562" spans="1:51">
      <c r="A562" s="2"/>
      <c r="AY562" s="69"/>
    </row>
    <row r="563" spans="1:51">
      <c r="A563" s="2"/>
      <c r="AY563" s="69"/>
    </row>
    <row r="564" spans="1:51">
      <c r="A564" s="2"/>
      <c r="AY564" s="69"/>
    </row>
    <row r="565" spans="1:51">
      <c r="A565" s="2"/>
      <c r="AY565" s="69"/>
    </row>
    <row r="566" spans="1:51">
      <c r="A566" s="2"/>
      <c r="AY566" s="69"/>
    </row>
    <row r="567" spans="1:51">
      <c r="A567" s="2"/>
      <c r="AY567" s="69"/>
    </row>
    <row r="568" spans="1:51">
      <c r="A568" s="2"/>
      <c r="AY568" s="69"/>
    </row>
    <row r="569" spans="1:51">
      <c r="A569" s="2"/>
      <c r="AY569" s="69"/>
    </row>
    <row r="570" spans="1:51">
      <c r="A570" s="2"/>
      <c r="AY570" s="69"/>
    </row>
    <row r="571" spans="1:51">
      <c r="A571" s="2"/>
      <c r="AY571" s="69"/>
    </row>
    <row r="572" spans="1:51">
      <c r="A572" s="2"/>
      <c r="AY572" s="69"/>
    </row>
    <row r="573" spans="1:51">
      <c r="A573" s="2"/>
      <c r="AY573" s="69"/>
    </row>
    <row r="574" spans="1:51">
      <c r="A574" s="2"/>
      <c r="AY574" s="69"/>
    </row>
    <row r="575" spans="1:51">
      <c r="A575" s="2"/>
      <c r="AY575" s="69"/>
    </row>
    <row r="576" spans="1:51">
      <c r="A576" s="2"/>
      <c r="AY576" s="69"/>
    </row>
    <row r="577" spans="1:51">
      <c r="A577" s="2"/>
      <c r="AY577" s="69"/>
    </row>
    <row r="578" spans="1:51">
      <c r="A578" s="2"/>
      <c r="AY578" s="69"/>
    </row>
    <row r="579" spans="1:51">
      <c r="A579" s="2"/>
      <c r="AY579" s="69"/>
    </row>
    <row r="580" spans="1:51">
      <c r="A580" s="2"/>
      <c r="AY580" s="69"/>
    </row>
    <row r="581" spans="1:51">
      <c r="A581" s="2"/>
      <c r="AY581" s="69"/>
    </row>
    <row r="582" spans="1:51">
      <c r="A582" s="2"/>
      <c r="AY582" s="69"/>
    </row>
    <row r="583" spans="1:51">
      <c r="A583" s="2"/>
      <c r="AY583" s="69"/>
    </row>
    <row r="584" spans="1:51">
      <c r="A584" s="2"/>
      <c r="AY584" s="69"/>
    </row>
    <row r="585" spans="1:51">
      <c r="A585" s="2"/>
      <c r="AY585" s="69"/>
    </row>
    <row r="586" spans="1:51">
      <c r="A586" s="2"/>
      <c r="AY586" s="69"/>
    </row>
    <row r="587" spans="1:51">
      <c r="A587" s="2"/>
      <c r="AY587" s="69"/>
    </row>
    <row r="588" spans="1:51">
      <c r="A588" s="2"/>
      <c r="AY588" s="69"/>
    </row>
    <row r="589" spans="1:51">
      <c r="A589" s="2"/>
      <c r="AY589" s="69"/>
    </row>
    <row r="590" spans="1:51">
      <c r="A590" s="2"/>
      <c r="AY590" s="69"/>
    </row>
    <row r="591" spans="1:51">
      <c r="A591" s="2"/>
      <c r="AY591" s="69"/>
    </row>
    <row r="592" spans="1:51">
      <c r="A592" s="2"/>
      <c r="AY592" s="69"/>
    </row>
    <row r="593" spans="1:51">
      <c r="A593" s="2"/>
      <c r="AY593" s="69"/>
    </row>
    <row r="594" spans="1:51">
      <c r="A594" s="2"/>
      <c r="AY594" s="69"/>
    </row>
    <row r="595" spans="1:51">
      <c r="A595" s="2"/>
      <c r="AY595" s="69"/>
    </row>
    <row r="596" spans="1:51">
      <c r="A596" s="2"/>
      <c r="AY596" s="69"/>
    </row>
    <row r="597" spans="1:51">
      <c r="A597" s="2"/>
      <c r="AY597" s="69"/>
    </row>
    <row r="598" spans="1:51">
      <c r="A598" s="2"/>
      <c r="AY598" s="69"/>
    </row>
    <row r="599" spans="1:51">
      <c r="A599" s="2"/>
      <c r="AY599" s="69"/>
    </row>
    <row r="600" spans="1:51">
      <c r="A600" s="2"/>
      <c r="AY600" s="69"/>
    </row>
    <row r="601" spans="1:51">
      <c r="A601" s="2"/>
      <c r="AY601" s="69"/>
    </row>
    <row r="602" spans="1:51">
      <c r="A602" s="2"/>
      <c r="AY602" s="69"/>
    </row>
    <row r="603" spans="1:51">
      <c r="A603" s="2"/>
      <c r="AY603" s="69"/>
    </row>
    <row r="604" spans="1:51">
      <c r="A604" s="2"/>
      <c r="AY604" s="69"/>
    </row>
    <row r="605" spans="1:51">
      <c r="A605" s="2"/>
      <c r="AY605" s="69"/>
    </row>
    <row r="606" spans="1:51">
      <c r="A606" s="2"/>
      <c r="AY606" s="69"/>
    </row>
    <row r="607" spans="1:51">
      <c r="A607" s="2"/>
      <c r="AY607" s="69"/>
    </row>
    <row r="608" spans="1:51">
      <c r="A608" s="2"/>
      <c r="AY608" s="69"/>
    </row>
    <row r="609" spans="1:51">
      <c r="A609" s="2"/>
      <c r="AY609" s="69"/>
    </row>
    <row r="610" spans="1:51">
      <c r="A610" s="2"/>
      <c r="AY610" s="69"/>
    </row>
    <row r="611" spans="1:51">
      <c r="A611" s="2"/>
      <c r="AY611" s="69"/>
    </row>
    <row r="612" spans="1:51">
      <c r="A612" s="2"/>
      <c r="AY612" s="69"/>
    </row>
    <row r="613" spans="1:51">
      <c r="A613" s="2"/>
      <c r="AY613" s="69"/>
    </row>
    <row r="614" spans="1:51">
      <c r="A614" s="2"/>
      <c r="AY614" s="69"/>
    </row>
    <row r="615" spans="1:51">
      <c r="A615" s="2"/>
      <c r="AY615" s="69"/>
    </row>
    <row r="616" spans="1:51">
      <c r="A616" s="2"/>
      <c r="AY616" s="69"/>
    </row>
    <row r="617" spans="1:51">
      <c r="A617" s="2"/>
      <c r="AY617" s="69"/>
    </row>
    <row r="618" spans="1:51">
      <c r="A618" s="2"/>
      <c r="AY618" s="69"/>
    </row>
    <row r="619" spans="1:51">
      <c r="A619" s="2"/>
      <c r="AY619" s="69"/>
    </row>
    <row r="620" spans="1:51">
      <c r="A620" s="2"/>
      <c r="AY620" s="69"/>
    </row>
    <row r="621" spans="1:51">
      <c r="A621" s="2"/>
      <c r="AY621" s="69"/>
    </row>
    <row r="622" spans="1:51">
      <c r="A622" s="2"/>
      <c r="AY622" s="69"/>
    </row>
    <row r="623" spans="1:51">
      <c r="A623" s="2"/>
      <c r="AY623" s="69"/>
    </row>
    <row r="624" spans="1:51">
      <c r="A624" s="2"/>
      <c r="AY624" s="69"/>
    </row>
    <row r="625" spans="1:51">
      <c r="A625" s="2"/>
      <c r="AY625" s="69"/>
    </row>
    <row r="626" spans="1:51">
      <c r="A626" s="2"/>
      <c r="AY626" s="69"/>
    </row>
    <row r="627" spans="1:51">
      <c r="A627" s="2"/>
      <c r="AY627" s="69"/>
    </row>
    <row r="628" spans="1:51">
      <c r="A628" s="2"/>
      <c r="AY628" s="69"/>
    </row>
    <row r="629" spans="1:51">
      <c r="A629" s="2"/>
      <c r="AY629" s="69"/>
    </row>
    <row r="630" spans="1:51">
      <c r="A630" s="2"/>
      <c r="AY630" s="69"/>
    </row>
    <row r="631" spans="1:51">
      <c r="A631" s="2"/>
      <c r="AY631" s="69"/>
    </row>
    <row r="632" spans="1:51">
      <c r="A632" s="2"/>
      <c r="AY632" s="69"/>
    </row>
    <row r="633" spans="1:51">
      <c r="A633" s="2"/>
      <c r="AY633" s="69"/>
    </row>
    <row r="634" spans="1:51">
      <c r="A634" s="2"/>
      <c r="AY634" s="69"/>
    </row>
    <row r="635" spans="1:51">
      <c r="A635" s="2"/>
      <c r="AY635" s="69"/>
    </row>
    <row r="636" spans="1:51">
      <c r="A636" s="2"/>
      <c r="AY636" s="69"/>
    </row>
    <row r="637" spans="1:51">
      <c r="A637" s="2"/>
      <c r="AY637" s="69"/>
    </row>
    <row r="638" spans="1:51">
      <c r="A638" s="2"/>
      <c r="AY638" s="69"/>
    </row>
    <row r="639" spans="1:51">
      <c r="A639" s="2"/>
      <c r="AY639" s="69"/>
    </row>
    <row r="640" spans="1:51">
      <c r="A640" s="2"/>
      <c r="AY640" s="69"/>
    </row>
    <row r="641" spans="1:51">
      <c r="A641" s="2"/>
      <c r="AY641" s="69"/>
    </row>
    <row r="642" spans="1:51">
      <c r="A642" s="2"/>
      <c r="AY642" s="69"/>
    </row>
    <row r="643" spans="1:51">
      <c r="A643" s="2"/>
      <c r="AY643" s="69"/>
    </row>
    <row r="644" spans="1:51">
      <c r="A644" s="2"/>
      <c r="AY644" s="69"/>
    </row>
    <row r="645" spans="1:51">
      <c r="A645" s="2"/>
      <c r="AY645" s="69"/>
    </row>
    <row r="646" spans="1:51">
      <c r="A646" s="2"/>
      <c r="AY646" s="69"/>
    </row>
    <row r="647" spans="1:51">
      <c r="A647" s="2"/>
      <c r="AY647" s="69"/>
    </row>
    <row r="648" spans="1:51">
      <c r="A648" s="2"/>
      <c r="AY648" s="69"/>
    </row>
    <row r="649" spans="1:51">
      <c r="A649" s="2"/>
      <c r="AY649" s="69"/>
    </row>
    <row r="650" spans="1:51">
      <c r="A650" s="2"/>
      <c r="AY650" s="69"/>
    </row>
    <row r="651" spans="1:51">
      <c r="A651" s="2"/>
      <c r="AY651" s="69"/>
    </row>
    <row r="652" spans="1:51">
      <c r="A652" s="2"/>
      <c r="AY652" s="69"/>
    </row>
    <row r="653" spans="1:51">
      <c r="A653" s="2"/>
      <c r="AY653" s="69"/>
    </row>
    <row r="654" spans="1:51">
      <c r="A654" s="2"/>
      <c r="AY654" s="69"/>
    </row>
    <row r="655" spans="1:51">
      <c r="A655" s="2"/>
      <c r="AY655" s="69"/>
    </row>
    <row r="656" spans="1:51">
      <c r="A656" s="2"/>
      <c r="AY656" s="69"/>
    </row>
    <row r="657" spans="1:51">
      <c r="A657" s="2"/>
      <c r="AY657" s="69"/>
    </row>
    <row r="658" spans="1:51">
      <c r="A658" s="2"/>
      <c r="AY658" s="69"/>
    </row>
    <row r="659" spans="1:51">
      <c r="A659" s="2"/>
      <c r="AY659" s="69"/>
    </row>
    <row r="660" spans="1:51">
      <c r="A660" s="2"/>
      <c r="AY660" s="69"/>
    </row>
    <row r="661" spans="1:51">
      <c r="A661" s="2"/>
      <c r="AY661" s="69"/>
    </row>
    <row r="662" spans="1:51">
      <c r="A662" s="2"/>
      <c r="AY662" s="69"/>
    </row>
    <row r="663" spans="1:51">
      <c r="A663" s="2"/>
      <c r="AY663" s="69"/>
    </row>
    <row r="664" spans="1:51">
      <c r="A664" s="2"/>
      <c r="AY664" s="69"/>
    </row>
    <row r="665" spans="1:51">
      <c r="A665" s="2"/>
      <c r="AY665" s="69"/>
    </row>
    <row r="666" spans="1:51">
      <c r="A666" s="2"/>
      <c r="AY666" s="69"/>
    </row>
    <row r="667" spans="1:51">
      <c r="A667" s="2"/>
      <c r="AY667" s="69"/>
    </row>
    <row r="668" spans="1:51">
      <c r="A668" s="2"/>
      <c r="AY668" s="69"/>
    </row>
    <row r="669" spans="1:51">
      <c r="A669" s="2"/>
      <c r="AY669" s="69"/>
    </row>
    <row r="670" spans="1:51">
      <c r="A670" s="2"/>
      <c r="AY670" s="69"/>
    </row>
    <row r="671" spans="1:51">
      <c r="A671" s="2"/>
      <c r="AY671" s="69"/>
    </row>
    <row r="672" spans="1:51">
      <c r="A672" s="2"/>
      <c r="AY672" s="69"/>
    </row>
    <row r="673" spans="1:51">
      <c r="A673" s="2"/>
      <c r="AY673" s="69"/>
    </row>
    <row r="674" spans="1:51">
      <c r="A674" s="2"/>
      <c r="AY674" s="69"/>
    </row>
    <row r="675" spans="1:51">
      <c r="A675" s="2"/>
      <c r="AY675" s="69"/>
    </row>
    <row r="676" spans="1:51">
      <c r="A676" s="2"/>
      <c r="AY676" s="69"/>
    </row>
    <row r="677" spans="1:51">
      <c r="A677" s="2"/>
      <c r="AY677" s="69"/>
    </row>
    <row r="678" spans="1:51">
      <c r="A678" s="2"/>
      <c r="AY678" s="69"/>
    </row>
    <row r="679" spans="1:51">
      <c r="A679" s="2"/>
      <c r="AY679" s="69"/>
    </row>
    <row r="680" spans="1:51">
      <c r="A680" s="2"/>
      <c r="AY680" s="69"/>
    </row>
    <row r="681" spans="1:51">
      <c r="A681" s="2"/>
      <c r="AY681" s="69"/>
    </row>
    <row r="682" spans="1:51">
      <c r="A682" s="2"/>
      <c r="AY682" s="69"/>
    </row>
    <row r="683" spans="1:51">
      <c r="A683" s="2"/>
      <c r="AY683" s="69"/>
    </row>
    <row r="684" spans="1:51">
      <c r="A684" s="2"/>
      <c r="AY684" s="69"/>
    </row>
    <row r="685" spans="1:51">
      <c r="A685" s="2"/>
      <c r="AY685" s="69"/>
    </row>
    <row r="686" spans="1:51">
      <c r="A686" s="2"/>
      <c r="AY686" s="69"/>
    </row>
    <row r="687" spans="1:51">
      <c r="A687" s="2"/>
      <c r="AY687" s="69"/>
    </row>
    <row r="688" spans="1:51">
      <c r="A688" s="2"/>
      <c r="AY688" s="69"/>
    </row>
    <row r="689" spans="1:51">
      <c r="A689" s="2"/>
      <c r="AY689" s="69"/>
    </row>
    <row r="690" spans="1:51">
      <c r="A690" s="2"/>
      <c r="AY690" s="69"/>
    </row>
    <row r="691" spans="1:51">
      <c r="A691" s="2"/>
      <c r="AY691" s="69"/>
    </row>
    <row r="692" spans="1:51">
      <c r="A692" s="2"/>
      <c r="AY692" s="69"/>
    </row>
    <row r="693" spans="1:51">
      <c r="A693" s="2"/>
      <c r="AY693" s="69"/>
    </row>
    <row r="694" spans="1:51">
      <c r="A694" s="2"/>
      <c r="AY694" s="69"/>
    </row>
    <row r="695" spans="1:51">
      <c r="A695" s="2"/>
      <c r="AY695" s="69"/>
    </row>
    <row r="696" spans="1:51">
      <c r="A696" s="2"/>
      <c r="AY696" s="69"/>
    </row>
    <row r="697" spans="1:51">
      <c r="A697" s="2"/>
      <c r="AY697" s="69"/>
    </row>
    <row r="698" spans="1:51">
      <c r="A698" s="2"/>
      <c r="AY698" s="69"/>
    </row>
    <row r="699" spans="1:51">
      <c r="A699" s="2"/>
      <c r="AY699" s="69"/>
    </row>
    <row r="700" spans="1:51">
      <c r="A700" s="2"/>
      <c r="AY700" s="69"/>
    </row>
    <row r="701" spans="1:51">
      <c r="A701" s="2"/>
      <c r="AY701" s="69"/>
    </row>
    <row r="702" spans="1:51">
      <c r="A702" s="2"/>
      <c r="AY702" s="69"/>
    </row>
    <row r="703" spans="1:51">
      <c r="A703" s="2"/>
      <c r="AY703" s="69"/>
    </row>
    <row r="704" spans="1:51">
      <c r="A704" s="2"/>
      <c r="AY704" s="69"/>
    </row>
    <row r="705" spans="1:51">
      <c r="A705" s="2"/>
      <c r="AY705" s="69"/>
    </row>
    <row r="706" spans="1:51">
      <c r="A706" s="2"/>
      <c r="AY706" s="69"/>
    </row>
    <row r="707" spans="1:51">
      <c r="A707" s="2"/>
      <c r="AY707" s="69"/>
    </row>
    <row r="708" spans="1:51">
      <c r="A708" s="2"/>
      <c r="AY708" s="69"/>
    </row>
    <row r="709" spans="1:51">
      <c r="A709" s="2"/>
      <c r="AY709" s="69"/>
    </row>
    <row r="710" spans="1:51">
      <c r="A710" s="2"/>
      <c r="AY710" s="69"/>
    </row>
    <row r="711" spans="1:51">
      <c r="A711" s="2"/>
      <c r="AY711" s="69"/>
    </row>
    <row r="712" spans="1:51">
      <c r="A712" s="2"/>
      <c r="AY712" s="69"/>
    </row>
    <row r="713" spans="1:51">
      <c r="A713" s="2"/>
      <c r="AY713" s="69"/>
    </row>
    <row r="714" spans="1:51">
      <c r="A714" s="2"/>
      <c r="AY714" s="69"/>
    </row>
    <row r="715" spans="1:51">
      <c r="A715" s="2"/>
      <c r="AY715" s="69"/>
    </row>
    <row r="716" spans="1:51">
      <c r="A716" s="2"/>
      <c r="AY716" s="69"/>
    </row>
    <row r="717" spans="1:51">
      <c r="A717" s="2"/>
      <c r="AY717" s="69"/>
    </row>
    <row r="718" spans="1:51">
      <c r="A718" s="2"/>
      <c r="AY718" s="69"/>
    </row>
    <row r="719" spans="1:51">
      <c r="A719" s="2"/>
      <c r="AY719" s="69"/>
    </row>
    <row r="720" spans="1:51">
      <c r="A720" s="2"/>
      <c r="AY720" s="69"/>
    </row>
    <row r="721" spans="1:51">
      <c r="A721" s="2"/>
      <c r="AY721" s="69"/>
    </row>
    <row r="722" spans="1:51">
      <c r="A722" s="2"/>
      <c r="AY722" s="69"/>
    </row>
    <row r="723" spans="1:51">
      <c r="A723" s="2"/>
      <c r="AY723" s="69"/>
    </row>
    <row r="724" spans="1:51">
      <c r="A724" s="2"/>
      <c r="AY724" s="69"/>
    </row>
    <row r="725" spans="1:51">
      <c r="A725" s="2"/>
      <c r="AY725" s="69"/>
    </row>
    <row r="726" spans="1:51">
      <c r="A726" s="2"/>
      <c r="AY726" s="69"/>
    </row>
    <row r="727" spans="1:51">
      <c r="A727" s="2"/>
      <c r="AY727" s="69"/>
    </row>
    <row r="728" spans="1:51">
      <c r="A728" s="2"/>
      <c r="AY728" s="69"/>
    </row>
    <row r="729" spans="1:51">
      <c r="A729" s="2"/>
      <c r="AY729" s="69"/>
    </row>
    <row r="730" spans="1:51">
      <c r="A730" s="2"/>
      <c r="AY730" s="69"/>
    </row>
    <row r="731" spans="1:51">
      <c r="A731" s="2"/>
      <c r="AY731" s="69"/>
    </row>
    <row r="732" spans="1:51">
      <c r="A732" s="2"/>
      <c r="AY732" s="69"/>
    </row>
    <row r="733" spans="1:51">
      <c r="A733" s="2"/>
      <c r="AY733" s="69"/>
    </row>
    <row r="734" spans="1:51">
      <c r="A734" s="2"/>
      <c r="AY734" s="69"/>
    </row>
    <row r="735" spans="1:51">
      <c r="A735" s="2"/>
      <c r="AY735" s="69"/>
    </row>
    <row r="736" spans="1:51">
      <c r="A736" s="2"/>
      <c r="AY736" s="69"/>
    </row>
    <row r="737" spans="1:51">
      <c r="A737" s="2"/>
      <c r="AY737" s="69"/>
    </row>
    <row r="738" spans="1:51">
      <c r="A738" s="2"/>
      <c r="AY738" s="69"/>
    </row>
    <row r="739" spans="1:51">
      <c r="A739" s="2"/>
      <c r="AY739" s="69"/>
    </row>
    <row r="740" spans="1:51">
      <c r="A740" s="2"/>
      <c r="AY740" s="69"/>
    </row>
    <row r="741" spans="1:51">
      <c r="A741" s="2"/>
      <c r="AY741" s="69"/>
    </row>
    <row r="742" spans="1:51">
      <c r="A742" s="2"/>
      <c r="AY742" s="69"/>
    </row>
    <row r="743" spans="1:51">
      <c r="A743" s="2"/>
      <c r="AY743" s="69"/>
    </row>
    <row r="744" spans="1:51">
      <c r="A744" s="2"/>
      <c r="AY744" s="69"/>
    </row>
    <row r="745" spans="1:51">
      <c r="A745" s="2"/>
      <c r="AY745" s="69"/>
    </row>
    <row r="746" spans="1:51">
      <c r="A746" s="2"/>
      <c r="AY746" s="69"/>
    </row>
    <row r="747" spans="1:51">
      <c r="A747" s="2"/>
      <c r="AY747" s="69"/>
    </row>
    <row r="748" spans="1:51">
      <c r="A748" s="2"/>
      <c r="AY748" s="69"/>
    </row>
    <row r="749" spans="1:51">
      <c r="A749" s="2"/>
      <c r="AY749" s="69"/>
    </row>
    <row r="750" spans="1:51">
      <c r="A750" s="2"/>
      <c r="AY750" s="69"/>
    </row>
    <row r="751" spans="1:51">
      <c r="A751" s="2"/>
      <c r="AY751" s="69"/>
    </row>
    <row r="752" spans="1:51">
      <c r="A752" s="2"/>
      <c r="AY752" s="69"/>
    </row>
    <row r="753" spans="1:51">
      <c r="A753" s="2"/>
      <c r="AY753" s="69"/>
    </row>
    <row r="754" spans="1:51">
      <c r="A754" s="2"/>
      <c r="AY754" s="69"/>
    </row>
    <row r="755" spans="1:51">
      <c r="A755" s="2"/>
      <c r="AY755" s="69"/>
    </row>
    <row r="756" spans="1:51">
      <c r="A756" s="2"/>
      <c r="AY756" s="69"/>
    </row>
    <row r="757" spans="1:51">
      <c r="A757" s="2"/>
      <c r="AY757" s="69"/>
    </row>
    <row r="758" spans="1:51">
      <c r="A758" s="2"/>
      <c r="AY758" s="69"/>
    </row>
    <row r="759" spans="1:51">
      <c r="A759" s="2"/>
      <c r="AY759" s="69"/>
    </row>
    <row r="760" spans="1:51">
      <c r="A760" s="2"/>
      <c r="AY760" s="69"/>
    </row>
    <row r="761" spans="1:51">
      <c r="A761" s="2"/>
      <c r="AY761" s="69"/>
    </row>
    <row r="762" spans="1:51">
      <c r="A762" s="2"/>
      <c r="AY762" s="69"/>
    </row>
    <row r="763" spans="1:51">
      <c r="A763" s="2"/>
      <c r="AY763" s="69"/>
    </row>
    <row r="764" spans="1:51">
      <c r="A764" s="2"/>
      <c r="AY764" s="69"/>
    </row>
    <row r="765" spans="1:51">
      <c r="A765" s="2"/>
      <c r="AY765" s="69"/>
    </row>
    <row r="766" spans="1:51">
      <c r="A766" s="2"/>
      <c r="AY766" s="69"/>
    </row>
    <row r="767" spans="1:51">
      <c r="A767" s="2"/>
      <c r="AY767" s="69"/>
    </row>
    <row r="768" spans="1:51">
      <c r="A768" s="2"/>
      <c r="AY768" s="69"/>
    </row>
    <row r="769" spans="1:51">
      <c r="A769" s="2"/>
      <c r="AY769" s="69"/>
    </row>
    <row r="770" spans="1:51">
      <c r="A770" s="2"/>
      <c r="AY770" s="69"/>
    </row>
    <row r="771" spans="1:51">
      <c r="A771" s="2"/>
      <c r="AY771" s="69"/>
    </row>
    <row r="772" spans="1:51">
      <c r="A772" s="2"/>
      <c r="AY772" s="69"/>
    </row>
    <row r="773" spans="1:51">
      <c r="A773" s="2"/>
      <c r="AY773" s="69"/>
    </row>
    <row r="774" spans="1:51">
      <c r="A774" s="2"/>
      <c r="AY774" s="69"/>
    </row>
    <row r="775" spans="1:51">
      <c r="A775" s="2"/>
      <c r="AY775" s="69"/>
    </row>
    <row r="776" spans="1:51">
      <c r="A776" s="2"/>
      <c r="AY776" s="69"/>
    </row>
    <row r="777" spans="1:51">
      <c r="A777" s="2"/>
      <c r="AY777" s="69"/>
    </row>
    <row r="778" spans="1:51">
      <c r="A778" s="2"/>
      <c r="AY778" s="69"/>
    </row>
    <row r="779" spans="1:51">
      <c r="A779" s="2"/>
      <c r="AY779" s="69"/>
    </row>
    <row r="780" spans="1:51">
      <c r="A780" s="2"/>
      <c r="AY780" s="69"/>
    </row>
    <row r="781" spans="1:51">
      <c r="A781" s="2"/>
      <c r="AY781" s="69"/>
    </row>
    <row r="782" spans="1:51">
      <c r="A782" s="2"/>
      <c r="AY782" s="69"/>
    </row>
    <row r="783" spans="1:51">
      <c r="A783" s="2"/>
      <c r="AY783" s="69"/>
    </row>
    <row r="784" spans="1:51">
      <c r="A784" s="2"/>
      <c r="AY784" s="69"/>
    </row>
    <row r="785" spans="1:51">
      <c r="A785" s="2"/>
      <c r="AY785" s="69"/>
    </row>
    <row r="786" spans="1:51">
      <c r="A786" s="2"/>
      <c r="AY786" s="69"/>
    </row>
    <row r="787" spans="1:51">
      <c r="A787" s="2"/>
      <c r="AY787" s="69"/>
    </row>
    <row r="788" spans="1:51">
      <c r="A788" s="2"/>
      <c r="AY788" s="69"/>
    </row>
    <row r="789" spans="1:51">
      <c r="A789" s="2"/>
      <c r="AY789" s="69"/>
    </row>
    <row r="790" spans="1:51">
      <c r="A790" s="2"/>
      <c r="AY790" s="69"/>
    </row>
    <row r="791" spans="1:51">
      <c r="A791" s="2"/>
      <c r="AY791" s="69"/>
    </row>
    <row r="792" spans="1:51">
      <c r="A792" s="2"/>
      <c r="AY792" s="69"/>
    </row>
    <row r="793" spans="1:51">
      <c r="A793" s="2"/>
      <c r="AY793" s="69"/>
    </row>
    <row r="794" spans="1:51">
      <c r="A794" s="2"/>
      <c r="AY794" s="69"/>
    </row>
    <row r="795" spans="1:51">
      <c r="A795" s="2"/>
      <c r="AY795" s="69"/>
    </row>
    <row r="796" spans="1:51">
      <c r="A796" s="2"/>
      <c r="AY796" s="69"/>
    </row>
    <row r="797" spans="1:51">
      <c r="A797" s="2"/>
      <c r="AY797" s="69"/>
    </row>
    <row r="798" spans="1:51">
      <c r="A798" s="2"/>
      <c r="AY798" s="69"/>
    </row>
    <row r="799" spans="1:51">
      <c r="A799" s="2"/>
      <c r="AY799" s="69"/>
    </row>
    <row r="800" spans="1:51">
      <c r="A800" s="2"/>
      <c r="AY800" s="69"/>
    </row>
    <row r="801" spans="1:51">
      <c r="A801" s="2"/>
      <c r="AY801" s="69"/>
    </row>
    <row r="802" spans="1:51">
      <c r="A802" s="2"/>
      <c r="AY802" s="69"/>
    </row>
    <row r="803" spans="1:51">
      <c r="A803" s="2"/>
      <c r="AY803" s="69"/>
    </row>
    <row r="804" spans="1:51">
      <c r="A804" s="2"/>
      <c r="AY804" s="69"/>
    </row>
    <row r="805" spans="1:51">
      <c r="A805" s="2"/>
      <c r="AY805" s="69"/>
    </row>
    <row r="806" spans="1:51">
      <c r="A806" s="2"/>
      <c r="AY806" s="69"/>
    </row>
    <row r="807" spans="1:51">
      <c r="A807" s="2"/>
      <c r="AY807" s="69"/>
    </row>
    <row r="808" spans="1:51">
      <c r="A808" s="2"/>
      <c r="AY808" s="69"/>
    </row>
    <row r="809" spans="1:51">
      <c r="A809" s="2"/>
      <c r="AY809" s="69"/>
    </row>
    <row r="810" spans="1:51">
      <c r="A810" s="2"/>
      <c r="AY810" s="69"/>
    </row>
    <row r="811" spans="1:51">
      <c r="A811" s="2"/>
      <c r="AY811" s="69"/>
    </row>
    <row r="812" spans="1:51">
      <c r="A812" s="2"/>
      <c r="AY812" s="69"/>
    </row>
    <row r="813" spans="1:51">
      <c r="A813" s="2"/>
      <c r="AY813" s="69"/>
    </row>
    <row r="814" spans="1:51">
      <c r="A814" s="2"/>
      <c r="AY814" s="69"/>
    </row>
    <row r="815" spans="1:51">
      <c r="A815" s="2"/>
      <c r="AY815" s="69"/>
    </row>
    <row r="816" spans="1:51">
      <c r="A816" s="2"/>
      <c r="AY816" s="69"/>
    </row>
    <row r="817" spans="1:51">
      <c r="A817" s="2"/>
      <c r="AY817" s="69"/>
    </row>
    <row r="818" spans="1:51">
      <c r="A818" s="2"/>
      <c r="AY818" s="69"/>
    </row>
    <row r="819" spans="1:51">
      <c r="A819" s="2"/>
      <c r="AY819" s="69"/>
    </row>
    <row r="820" spans="1:51">
      <c r="A820" s="2"/>
      <c r="AY820" s="69"/>
    </row>
    <row r="821" spans="1:51">
      <c r="A821" s="2"/>
      <c r="AY821" s="69"/>
    </row>
    <row r="822" spans="1:51">
      <c r="A822" s="2"/>
      <c r="AY822" s="69"/>
    </row>
    <row r="823" spans="1:51">
      <c r="A823" s="2"/>
      <c r="AY823" s="69"/>
    </row>
    <row r="824" spans="1:51">
      <c r="A824" s="2"/>
      <c r="AY824" s="69"/>
    </row>
    <row r="825" spans="1:51">
      <c r="A825" s="2"/>
      <c r="AY825" s="69"/>
    </row>
    <row r="826" spans="1:51">
      <c r="A826" s="2"/>
      <c r="AY826" s="69"/>
    </row>
    <row r="827" spans="1:51">
      <c r="A827" s="2"/>
      <c r="AY827" s="69"/>
    </row>
    <row r="828" spans="1:51">
      <c r="A828" s="2"/>
      <c r="AY828" s="69"/>
    </row>
    <row r="829" spans="1:51">
      <c r="A829" s="2"/>
      <c r="AY829" s="69"/>
    </row>
    <row r="830" spans="1:51">
      <c r="A830" s="2"/>
      <c r="AY830" s="69"/>
    </row>
    <row r="831" spans="1:51">
      <c r="A831" s="2"/>
      <c r="AY831" s="69"/>
    </row>
    <row r="832" spans="1:51">
      <c r="A832" s="2"/>
      <c r="AY832" s="69"/>
    </row>
    <row r="833" spans="1:51">
      <c r="A833" s="2"/>
      <c r="AY833" s="69"/>
    </row>
    <row r="834" spans="1:51">
      <c r="A834" s="2"/>
      <c r="AY834" s="69"/>
    </row>
    <row r="835" spans="1:51">
      <c r="A835" s="2"/>
      <c r="AY835" s="69"/>
    </row>
    <row r="836" spans="1:51">
      <c r="A836" s="2"/>
      <c r="AY836" s="69"/>
    </row>
    <row r="837" spans="1:51">
      <c r="A837" s="2"/>
      <c r="AY837" s="69"/>
    </row>
    <row r="838" spans="1:51">
      <c r="A838" s="2"/>
      <c r="AY838" s="69"/>
    </row>
    <row r="839" spans="1:51">
      <c r="A839" s="2"/>
      <c r="AY839" s="69"/>
    </row>
    <row r="840" spans="1:51">
      <c r="A840" s="2"/>
      <c r="AY840" s="69"/>
    </row>
    <row r="841" spans="1:51">
      <c r="A841" s="2"/>
      <c r="AY841" s="69"/>
    </row>
    <row r="842" spans="1:51">
      <c r="A842" s="2"/>
      <c r="AY842" s="69"/>
    </row>
    <row r="843" spans="1:51">
      <c r="A843" s="2"/>
      <c r="AY843" s="69"/>
    </row>
    <row r="844" spans="1:51">
      <c r="A844" s="2"/>
      <c r="AY844" s="69"/>
    </row>
    <row r="845" spans="1:51">
      <c r="A845" s="2"/>
      <c r="AY845" s="69"/>
    </row>
    <row r="846" spans="1:51">
      <c r="A846" s="2"/>
      <c r="AY846" s="69"/>
    </row>
    <row r="847" spans="1:51">
      <c r="A847" s="2"/>
      <c r="AY847" s="69"/>
    </row>
    <row r="848" spans="1:51">
      <c r="A848" s="2"/>
      <c r="AY848" s="69"/>
    </row>
    <row r="849" spans="1:51">
      <c r="A849" s="2"/>
      <c r="AY849" s="69"/>
    </row>
    <row r="850" spans="1:51">
      <c r="A850" s="2"/>
      <c r="AY850" s="69"/>
    </row>
    <row r="851" spans="1:51">
      <c r="A851" s="2"/>
      <c r="AY851" s="69"/>
    </row>
    <row r="852" spans="1:51">
      <c r="A852" s="2"/>
      <c r="AY852" s="69"/>
    </row>
    <row r="853" spans="1:51">
      <c r="A853" s="2"/>
      <c r="AY853" s="69"/>
    </row>
    <row r="854" spans="1:51">
      <c r="A854" s="2"/>
      <c r="AY854" s="69"/>
    </row>
    <row r="855" spans="1:51">
      <c r="A855" s="2"/>
      <c r="AY855" s="69"/>
    </row>
    <row r="856" spans="1:51">
      <c r="A856" s="2"/>
      <c r="AY856" s="69"/>
    </row>
    <row r="857" spans="1:51">
      <c r="A857" s="2"/>
      <c r="AY857" s="69"/>
    </row>
    <row r="858" spans="1:51">
      <c r="A858" s="2"/>
      <c r="AY858" s="69"/>
    </row>
    <row r="859" spans="1:51">
      <c r="A859" s="2"/>
      <c r="AY859" s="69"/>
    </row>
    <row r="860" spans="1:51">
      <c r="A860" s="2"/>
      <c r="AY860" s="69"/>
    </row>
    <row r="861" spans="1:51">
      <c r="A861" s="2"/>
      <c r="AY861" s="69"/>
    </row>
    <row r="862" spans="1:51">
      <c r="A862" s="2"/>
      <c r="AY862" s="69"/>
    </row>
    <row r="863" spans="1:51">
      <c r="A863" s="2"/>
      <c r="AY863" s="69"/>
    </row>
    <row r="864" spans="1:51">
      <c r="A864" s="2"/>
      <c r="AY864" s="69"/>
    </row>
    <row r="865" spans="1:51">
      <c r="A865" s="2"/>
      <c r="AY865" s="69"/>
    </row>
    <row r="866" spans="1:51">
      <c r="A866" s="2"/>
      <c r="AY866" s="69"/>
    </row>
    <row r="867" spans="1:51">
      <c r="A867" s="2"/>
      <c r="AY867" s="69"/>
    </row>
    <row r="868" spans="1:51">
      <c r="A868" s="2"/>
      <c r="AY868" s="69"/>
    </row>
    <row r="869" spans="1:51">
      <c r="A869" s="2"/>
      <c r="AY869" s="69"/>
    </row>
    <row r="870" spans="1:51">
      <c r="A870" s="2"/>
      <c r="AY870" s="69"/>
    </row>
    <row r="871" spans="1:51">
      <c r="A871" s="2"/>
      <c r="AY871" s="69"/>
    </row>
    <row r="872" spans="1:51">
      <c r="A872" s="2"/>
      <c r="AY872" s="69"/>
    </row>
    <row r="873" spans="1:51">
      <c r="A873" s="2"/>
      <c r="AY873" s="69"/>
    </row>
    <row r="874" spans="1:51">
      <c r="A874" s="2"/>
      <c r="AY874" s="69"/>
    </row>
    <row r="875" spans="1:51">
      <c r="A875" s="2"/>
      <c r="AY875" s="69"/>
    </row>
    <row r="876" spans="1:51">
      <c r="A876" s="2"/>
      <c r="AY876" s="69"/>
    </row>
    <row r="877" spans="1:51">
      <c r="A877" s="2"/>
      <c r="AY877" s="69"/>
    </row>
    <row r="878" spans="1:51">
      <c r="A878" s="2"/>
      <c r="AY878" s="69"/>
    </row>
    <row r="879" spans="1:51">
      <c r="A879" s="2"/>
      <c r="AY879" s="69"/>
    </row>
    <row r="880" spans="1:51">
      <c r="A880" s="2"/>
      <c r="AY880" s="69"/>
    </row>
    <row r="881" spans="1:51">
      <c r="A881" s="2"/>
      <c r="AY881" s="69"/>
    </row>
    <row r="882" spans="1:51">
      <c r="A882" s="2"/>
      <c r="AY882" s="69"/>
    </row>
    <row r="883" spans="1:51">
      <c r="A883" s="2"/>
      <c r="AY883" s="69"/>
    </row>
    <row r="884" spans="1:51">
      <c r="A884" s="2"/>
      <c r="AY884" s="69"/>
    </row>
    <row r="885" spans="1:51">
      <c r="A885" s="2"/>
      <c r="AY885" s="69"/>
    </row>
    <row r="886" spans="1:51">
      <c r="A886" s="2"/>
      <c r="AY886" s="69"/>
    </row>
    <row r="887" spans="1:51">
      <c r="A887" s="2"/>
      <c r="AY887" s="69"/>
    </row>
    <row r="888" spans="1:51">
      <c r="A888" s="2"/>
      <c r="AY888" s="69"/>
    </row>
    <row r="889" spans="1:51">
      <c r="A889" s="2"/>
      <c r="AY889" s="69"/>
    </row>
    <row r="890" spans="1:51">
      <c r="A890" s="2"/>
      <c r="AY890" s="69"/>
    </row>
    <row r="891" spans="1:51">
      <c r="A891" s="2"/>
      <c r="AY891" s="69"/>
    </row>
    <row r="892" spans="1:51">
      <c r="A892" s="2"/>
      <c r="AY892" s="69"/>
    </row>
    <row r="893" spans="1:51">
      <c r="A893" s="2"/>
      <c r="AY893" s="69"/>
    </row>
    <row r="894" spans="1:51">
      <c r="A894" s="2"/>
      <c r="AY894" s="69"/>
    </row>
    <row r="895" spans="1:51">
      <c r="A895" s="2"/>
      <c r="AY895" s="69"/>
    </row>
    <row r="896" spans="1:51">
      <c r="A896" s="2"/>
      <c r="AY896" s="69"/>
    </row>
    <row r="897" spans="1:51">
      <c r="A897" s="2"/>
      <c r="AY897" s="69"/>
    </row>
    <row r="898" spans="1:51">
      <c r="A898" s="2"/>
      <c r="AY898" s="69"/>
    </row>
    <row r="899" spans="1:51">
      <c r="A899" s="2"/>
      <c r="AY899" s="69"/>
    </row>
    <row r="900" spans="1:51">
      <c r="A900" s="2"/>
      <c r="AY900" s="69"/>
    </row>
    <row r="901" spans="1:51">
      <c r="A901" s="2"/>
      <c r="AY901" s="69"/>
    </row>
    <row r="902" spans="1:51">
      <c r="A902" s="2"/>
      <c r="AY902" s="69"/>
    </row>
    <row r="903" spans="1:51">
      <c r="A903" s="2"/>
      <c r="AY903" s="69"/>
    </row>
    <row r="904" spans="1:51">
      <c r="A904" s="2"/>
      <c r="AY904" s="69"/>
    </row>
    <row r="905" spans="1:51">
      <c r="A905" s="2"/>
      <c r="AY905" s="69"/>
    </row>
    <row r="906" spans="1:51">
      <c r="A906" s="2"/>
      <c r="AY906" s="69"/>
    </row>
    <row r="907" spans="1:51">
      <c r="A907" s="2"/>
      <c r="AY907" s="69"/>
    </row>
    <row r="908" spans="1:51">
      <c r="A908" s="2"/>
      <c r="AY908" s="69"/>
    </row>
    <row r="909" spans="1:51">
      <c r="A909" s="2"/>
      <c r="AY909" s="69"/>
    </row>
    <row r="910" spans="1:51">
      <c r="A910" s="2"/>
      <c r="AY910" s="69"/>
    </row>
    <row r="911" spans="1:51">
      <c r="A911" s="2"/>
      <c r="AY911" s="69"/>
    </row>
    <row r="912" spans="1:51">
      <c r="A912" s="2"/>
      <c r="AY912" s="69"/>
    </row>
    <row r="913" spans="1:51">
      <c r="A913" s="2"/>
      <c r="AY913" s="69"/>
    </row>
    <row r="914" spans="1:51">
      <c r="A914" s="2"/>
      <c r="AY914" s="69"/>
    </row>
    <row r="915" spans="1:51">
      <c r="A915" s="2"/>
      <c r="AY915" s="69"/>
    </row>
    <row r="916" spans="1:51">
      <c r="A916" s="2"/>
      <c r="AY916" s="69"/>
    </row>
    <row r="917" spans="1:51">
      <c r="A917" s="2"/>
      <c r="AY917" s="69"/>
    </row>
    <row r="918" spans="1:51">
      <c r="A918" s="2"/>
      <c r="AY918" s="69"/>
    </row>
    <row r="919" spans="1:51">
      <c r="A919" s="2"/>
      <c r="AY919" s="69"/>
    </row>
    <row r="920" spans="1:51">
      <c r="A920" s="2"/>
      <c r="AY920" s="69"/>
    </row>
    <row r="921" spans="1:51">
      <c r="A921" s="2"/>
      <c r="AY921" s="69"/>
    </row>
    <row r="922" spans="1:51">
      <c r="A922" s="2"/>
      <c r="AY922" s="69"/>
    </row>
    <row r="923" spans="1:51">
      <c r="A923" s="2"/>
      <c r="AY923" s="69"/>
    </row>
    <row r="924" spans="1:51">
      <c r="A924" s="2"/>
      <c r="AY924" s="69"/>
    </row>
    <row r="925" spans="1:51">
      <c r="A925" s="2"/>
      <c r="AY925" s="69"/>
    </row>
    <row r="926" spans="1:51">
      <c r="A926" s="2"/>
      <c r="AY926" s="69"/>
    </row>
    <row r="927" spans="1:51">
      <c r="A927" s="2"/>
      <c r="AY927" s="69"/>
    </row>
    <row r="928" spans="1:51">
      <c r="A928" s="2"/>
      <c r="AY928" s="69"/>
    </row>
    <row r="929" spans="1:51">
      <c r="A929" s="2"/>
      <c r="AY929" s="69"/>
    </row>
    <row r="930" spans="1:51">
      <c r="A930" s="2"/>
      <c r="AY930" s="69"/>
    </row>
    <row r="931" spans="1:51">
      <c r="A931" s="2"/>
      <c r="AY931" s="69"/>
    </row>
    <row r="932" spans="1:51">
      <c r="A932" s="2"/>
      <c r="AY932" s="69"/>
    </row>
    <row r="933" spans="1:51">
      <c r="A933" s="2"/>
      <c r="AY933" s="69"/>
    </row>
    <row r="934" spans="1:51">
      <c r="A934" s="2"/>
      <c r="AY934" s="69"/>
    </row>
    <row r="935" spans="1:51">
      <c r="A935" s="2"/>
      <c r="AY935" s="69"/>
    </row>
    <row r="936" spans="1:51">
      <c r="A936" s="2"/>
      <c r="AY936" s="69"/>
    </row>
    <row r="937" spans="1:51">
      <c r="A937" s="2"/>
      <c r="AY937" s="69"/>
    </row>
    <row r="938" spans="1:51">
      <c r="A938" s="2"/>
      <c r="AY938" s="69"/>
    </row>
    <row r="939" spans="1:51">
      <c r="A939" s="2"/>
      <c r="AY939" s="69"/>
    </row>
    <row r="940" spans="1:51">
      <c r="A940" s="2"/>
      <c r="AY940" s="69"/>
    </row>
    <row r="941" spans="1:51">
      <c r="A941" s="2"/>
      <c r="AY941" s="69"/>
    </row>
    <row r="942" spans="1:51">
      <c r="A942" s="2"/>
      <c r="AY942" s="69"/>
    </row>
    <row r="943" spans="1:51">
      <c r="A943" s="2"/>
      <c r="AY943" s="69"/>
    </row>
    <row r="944" spans="1:51">
      <c r="A944" s="2"/>
      <c r="AY944" s="69"/>
    </row>
    <row r="945" spans="1:51">
      <c r="A945" s="2"/>
      <c r="AY945" s="69"/>
    </row>
    <row r="946" spans="1:51">
      <c r="A946" s="2"/>
      <c r="AY946" s="69"/>
    </row>
    <row r="947" spans="1:51">
      <c r="A947" s="2"/>
      <c r="AY947" s="69"/>
    </row>
    <row r="948" spans="1:51">
      <c r="A948" s="2"/>
      <c r="AY948" s="69"/>
    </row>
    <row r="949" spans="1:51">
      <c r="A949" s="2"/>
      <c r="AY949" s="69"/>
    </row>
    <row r="950" spans="1:51">
      <c r="A950" s="2"/>
      <c r="AY950" s="69"/>
    </row>
    <row r="951" spans="1:51">
      <c r="A951" s="2"/>
      <c r="AY951" s="69"/>
    </row>
    <row r="952" spans="1:51">
      <c r="A952" s="2"/>
      <c r="AY952" s="69"/>
    </row>
    <row r="953" spans="1:51">
      <c r="A953" s="2"/>
      <c r="AY953" s="69"/>
    </row>
    <row r="954" spans="1:51">
      <c r="A954" s="2"/>
      <c r="AY954" s="69"/>
    </row>
    <row r="955" spans="1:51">
      <c r="A955" s="2"/>
      <c r="AY955" s="69"/>
    </row>
    <row r="956" spans="1:51">
      <c r="A956" s="2"/>
      <c r="AY956" s="69"/>
    </row>
    <row r="957" spans="1:51">
      <c r="A957" s="2"/>
      <c r="AY957" s="69"/>
    </row>
    <row r="958" spans="1:51">
      <c r="A958" s="2"/>
      <c r="AY958" s="69"/>
    </row>
    <row r="959" spans="1:51">
      <c r="A959" s="2"/>
      <c r="AY959" s="69"/>
    </row>
    <row r="960" spans="1:51">
      <c r="A960" s="2"/>
      <c r="AY960" s="69"/>
    </row>
    <row r="961" spans="1:51">
      <c r="A961" s="2"/>
      <c r="AY961" s="69"/>
    </row>
    <row r="962" spans="1:51">
      <c r="A962" s="2"/>
      <c r="AY962" s="69"/>
    </row>
    <row r="963" spans="1:51">
      <c r="A963" s="2"/>
      <c r="AY963" s="69"/>
    </row>
    <row r="964" spans="1:51">
      <c r="A964" s="2"/>
      <c r="AY964" s="69"/>
    </row>
    <row r="965" spans="1:51">
      <c r="A965" s="2"/>
      <c r="AY965" s="69"/>
    </row>
    <row r="966" spans="1:51">
      <c r="A966" s="2"/>
      <c r="AY966" s="69"/>
    </row>
    <row r="967" spans="1:51">
      <c r="A967" s="2"/>
      <c r="AY967" s="69"/>
    </row>
    <row r="968" spans="1:51">
      <c r="A968" s="2"/>
      <c r="AY968" s="69"/>
    </row>
    <row r="969" spans="1:51">
      <c r="A969" s="2"/>
      <c r="AY969" s="69"/>
    </row>
    <row r="970" spans="1:51">
      <c r="A970" s="2"/>
      <c r="AY970" s="69"/>
    </row>
    <row r="971" spans="1:51">
      <c r="A971" s="2"/>
      <c r="AY971" s="69"/>
    </row>
    <row r="972" spans="1:51">
      <c r="A972" s="2"/>
      <c r="AY972" s="69"/>
    </row>
    <row r="973" spans="1:51">
      <c r="A973" s="2"/>
      <c r="AY973" s="69"/>
    </row>
    <row r="974" spans="1:51">
      <c r="A974" s="2"/>
      <c r="AY974" s="69"/>
    </row>
    <row r="975" spans="1:51">
      <c r="A975" s="2"/>
      <c r="AY975" s="69"/>
    </row>
    <row r="976" spans="1:51">
      <c r="A976" s="2"/>
      <c r="AY976" s="69"/>
    </row>
    <row r="977" spans="1:51">
      <c r="A977" s="2"/>
      <c r="AY977" s="69"/>
    </row>
    <row r="978" spans="1:51">
      <c r="A978" s="2"/>
      <c r="AY978" s="69"/>
    </row>
    <row r="979" spans="1:51">
      <c r="A979" s="2"/>
      <c r="AY979" s="69"/>
    </row>
    <row r="980" spans="1:51">
      <c r="A980" s="2"/>
      <c r="AY980" s="69"/>
    </row>
    <row r="981" spans="1:51">
      <c r="A981" s="2"/>
      <c r="AY981" s="69"/>
    </row>
    <row r="982" spans="1:51">
      <c r="A982" s="2"/>
      <c r="AY982" s="69"/>
    </row>
    <row r="983" spans="1:51">
      <c r="A983" s="2"/>
      <c r="AY983" s="69"/>
    </row>
    <row r="984" spans="1:51">
      <c r="A984" s="2"/>
      <c r="AY984" s="69"/>
    </row>
    <row r="985" spans="1:51">
      <c r="A985" s="2"/>
      <c r="AY985" s="69"/>
    </row>
    <row r="986" spans="1:51">
      <c r="A986" s="2"/>
      <c r="AY986" s="69"/>
    </row>
    <row r="987" spans="1:51">
      <c r="A987" s="2"/>
      <c r="AY987" s="69"/>
    </row>
    <row r="988" spans="1:51">
      <c r="A988" s="2"/>
      <c r="AY988" s="69"/>
    </row>
    <row r="989" spans="1:51">
      <c r="A989" s="2"/>
      <c r="AY989" s="69"/>
    </row>
    <row r="990" spans="1:51">
      <c r="A990" s="2"/>
      <c r="AY990" s="69"/>
    </row>
    <row r="991" spans="1:51">
      <c r="A991" s="2"/>
      <c r="AY991" s="69"/>
    </row>
    <row r="992" spans="1:51">
      <c r="A992" s="2"/>
      <c r="AY992" s="69"/>
    </row>
    <row r="993" spans="1:51">
      <c r="A993" s="2"/>
      <c r="AY993" s="69"/>
    </row>
    <row r="994" spans="1:51">
      <c r="A994" s="2"/>
      <c r="AY994" s="69"/>
    </row>
    <row r="995" spans="1:51">
      <c r="A995" s="2"/>
      <c r="AY995" s="69"/>
    </row>
    <row r="996" spans="1:51">
      <c r="A996" s="2"/>
      <c r="AY996" s="69"/>
    </row>
    <row r="997" spans="1:51">
      <c r="A997" s="2"/>
      <c r="AY997" s="69"/>
    </row>
    <row r="998" spans="1:51">
      <c r="A998" s="2"/>
      <c r="AY998" s="69"/>
    </row>
    <row r="999" spans="1:51">
      <c r="A999" s="2"/>
      <c r="AY999" s="69"/>
    </row>
    <row r="1000" spans="1:51">
      <c r="A1000" s="2"/>
      <c r="AY1000" s="69"/>
    </row>
    <row r="1001" spans="1:51">
      <c r="A1001" s="2"/>
      <c r="AY1001" s="69"/>
    </row>
    <row r="1002" spans="1:51">
      <c r="A1002" s="2"/>
      <c r="AY1002" s="69"/>
    </row>
    <row r="1003" spans="1:51">
      <c r="A1003" s="2"/>
      <c r="AY1003" s="69"/>
    </row>
    <row r="1004" spans="1:51">
      <c r="A1004" s="2"/>
      <c r="AY1004" s="69"/>
    </row>
    <row r="1005" spans="1:51">
      <c r="A1005" s="2"/>
      <c r="AY1005" s="69"/>
    </row>
    <row r="1006" spans="1:51">
      <c r="A1006" s="2"/>
      <c r="AY1006" s="69"/>
    </row>
    <row r="1007" spans="1:51">
      <c r="A1007" s="2"/>
      <c r="AY1007" s="69"/>
    </row>
    <row r="1008" spans="1:51">
      <c r="A1008" s="2"/>
      <c r="AY1008" s="69"/>
    </row>
    <row r="1009" spans="1:51">
      <c r="A1009" s="2"/>
      <c r="AY1009" s="69"/>
    </row>
    <row r="1010" spans="1:51">
      <c r="A1010" s="2"/>
      <c r="AY1010" s="69"/>
    </row>
    <row r="1011" spans="1:51">
      <c r="A1011" s="2"/>
      <c r="AY1011" s="69"/>
    </row>
    <row r="1012" spans="1:51">
      <c r="A1012" s="2"/>
      <c r="AY1012" s="69"/>
    </row>
    <row r="1013" spans="1:51">
      <c r="A1013" s="2"/>
      <c r="AY1013" s="69"/>
    </row>
    <row r="1014" spans="1:51">
      <c r="A1014" s="2"/>
      <c r="AY1014" s="69"/>
    </row>
    <row r="1015" spans="1:51">
      <c r="A1015" s="2"/>
      <c r="AY1015" s="69"/>
    </row>
    <row r="1016" spans="1:51">
      <c r="A1016" s="2"/>
      <c r="AY1016" s="69"/>
    </row>
    <row r="1017" spans="1:51">
      <c r="A1017" s="2"/>
      <c r="AY1017" s="69"/>
    </row>
    <row r="1018" spans="1:51">
      <c r="A1018" s="2"/>
      <c r="AY1018" s="69"/>
    </row>
    <row r="1019" spans="1:51">
      <c r="A1019" s="2"/>
      <c r="AY1019" s="69"/>
    </row>
    <row r="1020" spans="1:51">
      <c r="A1020" s="2"/>
      <c r="AY1020" s="69"/>
    </row>
    <row r="1021" spans="1:51">
      <c r="A1021" s="2"/>
      <c r="AY1021" s="69"/>
    </row>
    <row r="1022" spans="1:51">
      <c r="A1022" s="2"/>
      <c r="AY1022" s="69"/>
    </row>
    <row r="1023" spans="1:51">
      <c r="A1023" s="2"/>
      <c r="AY1023" s="69"/>
    </row>
    <row r="1024" spans="1:51">
      <c r="A1024" s="2"/>
      <c r="AY1024" s="69"/>
    </row>
    <row r="1025" spans="1:51">
      <c r="A1025" s="2"/>
      <c r="AY1025" s="69"/>
    </row>
    <row r="1026" spans="1:51">
      <c r="A1026" s="2"/>
      <c r="AY1026" s="69"/>
    </row>
    <row r="1027" spans="1:51">
      <c r="A1027" s="2"/>
      <c r="AY1027" s="69"/>
    </row>
    <row r="1028" spans="1:51">
      <c r="A1028" s="2"/>
      <c r="AY1028" s="69"/>
    </row>
    <row r="1029" spans="1:51">
      <c r="A1029" s="2"/>
      <c r="AY1029" s="69"/>
    </row>
    <row r="1030" spans="1:51">
      <c r="A1030" s="2"/>
      <c r="AY1030" s="69"/>
    </row>
    <row r="1031" spans="1:51">
      <c r="A1031" s="2"/>
      <c r="AY1031" s="69"/>
    </row>
    <row r="1032" spans="1:51">
      <c r="A1032" s="2"/>
      <c r="AY1032" s="69"/>
    </row>
    <row r="1033" spans="1:51">
      <c r="A1033" s="2"/>
      <c r="AY1033" s="69"/>
    </row>
    <row r="1034" spans="1:51">
      <c r="A1034" s="2"/>
      <c r="AY1034" s="69"/>
    </row>
    <row r="1035" spans="1:51">
      <c r="A1035" s="2"/>
      <c r="AY1035" s="69"/>
    </row>
    <row r="1036" spans="1:51">
      <c r="A1036" s="2"/>
      <c r="AY1036" s="69"/>
    </row>
    <row r="1037" spans="1:51">
      <c r="A1037" s="2"/>
      <c r="AY1037" s="69"/>
    </row>
    <row r="1038" spans="1:51">
      <c r="A1038" s="2"/>
      <c r="AY1038" s="69"/>
    </row>
    <row r="1039" spans="1:51">
      <c r="A1039" s="2"/>
      <c r="AY1039" s="69"/>
    </row>
    <row r="1040" spans="1:51">
      <c r="A1040" s="2"/>
      <c r="AY1040" s="69"/>
    </row>
    <row r="1041" spans="1:51">
      <c r="A1041" s="2"/>
      <c r="AY1041" s="69"/>
    </row>
    <row r="1042" spans="1:51">
      <c r="A1042" s="2"/>
      <c r="AY1042" s="69"/>
    </row>
    <row r="1043" spans="1:51">
      <c r="A1043" s="2"/>
      <c r="AY1043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Взрослые</vt:lpstr>
      <vt:lpstr>Дети</vt:lpstr>
      <vt:lpstr>2-8</vt:lpstr>
      <vt:lpstr>9-13</vt:lpstr>
      <vt:lpstr>14-15</vt:lpstr>
      <vt:lpstr>16-40</vt:lpstr>
      <vt:lpstr>41-55</vt:lpstr>
      <vt:lpstr>56+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</dc:creator>
  <cp:lastModifiedBy>Petr</cp:lastModifiedBy>
  <dcterms:created xsi:type="dcterms:W3CDTF">2025-02-17T22:20:02Z</dcterms:created>
  <dcterms:modified xsi:type="dcterms:W3CDTF">2025-11-17T20:48:58Z</dcterms:modified>
</cp:coreProperties>
</file>